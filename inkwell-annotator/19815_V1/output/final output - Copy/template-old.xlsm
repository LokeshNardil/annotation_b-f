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-5\AppData\Local\Revizto6\cad\document\19815\output\final output\"/>
    </mc:Choice>
  </mc:AlternateContent>
  <xr:revisionPtr revIDLastSave="0" documentId="13_ncr:1_{8F89ACE9-39A3-4B3C-B8D9-77E99DEA2605}" xr6:coauthVersionLast="47" xr6:coauthVersionMax="47" xr10:uidLastSave="{00000000-0000-0000-0000-000000000000}"/>
  <bookViews>
    <workbookView xWindow="-120" yWindow="-120" windowWidth="38640" windowHeight="21240" activeTab="8" xr2:uid="{BFC1B837-3021-4C1E-8B6C-AD0DCB435A3E}"/>
  </bookViews>
  <sheets>
    <sheet name="SD" sheetId="1" r:id="rId1"/>
    <sheet name="SD (AU)" sheetId="2" r:id="rId2"/>
    <sheet name="Level" sheetId="3" r:id="rId3"/>
    <sheet name="Level Wise PSI" sheetId="4" r:id="rId4"/>
    <sheet name="Lap" sheetId="5" r:id="rId5"/>
    <sheet name="Grade" sheetId="6" r:id="rId6"/>
    <sheet name="Coupler" sheetId="7" r:id="rId7"/>
    <sheet name="Data" sheetId="8" r:id="rId8"/>
    <sheet name="Ties" sheetId="9" r:id="rId9"/>
    <sheet name="Take-off" sheetId="10" r:id="rId10"/>
    <sheet name="Take-off-Edit" sheetId="11" state="hidden" r:id="rId11"/>
    <sheet name="Soule" sheetId="12" r:id="rId12"/>
    <sheet name="TiesFinal" sheetId="13" r:id="rId13"/>
  </sheets>
  <functionGroups builtInGroupCount="19"/>
  <definedNames>
    <definedName name="_xlnm._FilterDatabase" localSheetId="0" hidden="1">SD!$AK$1:$AN$2252</definedName>
    <definedName name="_xlnm._FilterDatabase" localSheetId="9" hidden="1">'Take-off'!$A$1:$S$1</definedName>
    <definedName name="_xlnm._FilterDatabase" localSheetId="8" hidden="1">Ties!#REF!</definedName>
    <definedName name="_xlpm.auDiv6" hidden="1" xlm="1">#NAME?</definedName>
    <definedName name="_xlpm.calculated_value" hidden="1" xlm="1">#NAME?</definedName>
    <definedName name="_xlpm.cb_value" hidden="1" xlm="1">#NAME?</definedName>
    <definedName name="_xlpm.col_match" hidden="1" xlm="1">#NAME?</definedName>
    <definedName name="_xlpm.condition1" hidden="1" xlm="1">#NAME?</definedName>
    <definedName name="_xlpm.Coup" hidden="1" xlm="1">#NAME?</definedName>
    <definedName name="_xlpm.Coup2" hidden="1" xlm="1">#NAME?</definedName>
    <definedName name="_xlpm.Coup3" hidden="1" xlm="1">#NAME?</definedName>
    <definedName name="_xlpm.coupler_value" hidden="1" xlm="1">#NAME?</definedName>
    <definedName name="_xlpm.dashPos" hidden="1" xlm="1">#NAME?</definedName>
    <definedName name="_xlpm.data_j2_empty" hidden="1" xlm="1">#NAME?</definedName>
    <definedName name="_xlpm.dep" hidden="1" xlm="1">#NAME?</definedName>
    <definedName name="_xlpm.Final" hidden="1" xlm="1">#NAME?</definedName>
    <definedName name="_xlpm.final_result" hidden="1" xlm="1">#NAME?</definedName>
    <definedName name="_xlpm.final_value" hidden="1" xlm="1">#NAME?</definedName>
    <definedName name="_xlpm.GR" hidden="1" xlm="1">#NAME?</definedName>
    <definedName name="_xlpm.grade" hidden="1" xlm="1">#NAME?</definedName>
    <definedName name="_xlpm.grade_offset" hidden="1" xlm="1">#NAME?</definedName>
    <definedName name="_xlpm.grade_range" hidden="1" xlm="1">#NAME?</definedName>
    <definedName name="_xlpm.gradeRange" hidden="1" xlm="1">#NAME?</definedName>
    <definedName name="_xlpm.GRR" hidden="1" xlm="1">#NAME?</definedName>
    <definedName name="_xlpm.hyphen_pos" hidden="1" xlm="1">#NAME?</definedName>
    <definedName name="_xlpm.index_result" hidden="1" xlm="1">#NAME?</definedName>
    <definedName name="_xlpm.index1" hidden="1" xlm="1">#NAME?</definedName>
    <definedName name="_xlpm.index2" hidden="1" xlm="1">#NAME?</definedName>
    <definedName name="_xlpm.is_coupler" hidden="1" xlm="1">#NAME?</definedName>
    <definedName name="_xlpm.is_equal" hidden="1" xlm="1">#NAME?</definedName>
    <definedName name="_xlpm.is_number" hidden="1" xlm="1">#NAME?</definedName>
    <definedName name="_xlpm.left_part" hidden="1" xlm="1">#NAME?</definedName>
    <definedName name="_xlpm.leftPart" hidden="1" xlm="1">#NAME?</definedName>
    <definedName name="_xlpm.lookup_table" hidden="1" xlm="1">#NAME?</definedName>
    <definedName name="_xlpm.match_result" hidden="1" xlm="1">#NAME?</definedName>
    <definedName name="_xlpm.matchValue" hidden="1" xlm="1">#NAME?</definedName>
    <definedName name="_xlpm.maxValue" hidden="1" xlm="1">#NAME?</definedName>
    <definedName name="_xlpm.o_value" hidden="1" xlm="1">#NAME?</definedName>
    <definedName name="_xlpm.p_value" hidden="1" xlm="1">#NAME?</definedName>
    <definedName name="_xlpm.PartF" hidden="1" xlm="1">#NAME?</definedName>
    <definedName name="_xlpm.result" hidden="1" xlm="1">#NAME?</definedName>
    <definedName name="_xlpm.result_if_condition1" hidden="1" xlm="1">#NAME?</definedName>
    <definedName name="_xlpm.right_part" hidden="1" xlm="1">#NAME?</definedName>
    <definedName name="_xlpm.rightPart" hidden="1" xlm="1">#NAME?</definedName>
    <definedName name="_xlpm.row_match" hidden="1" xlm="1">#NAME?</definedName>
    <definedName name="_xlpm.u3_value" hidden="1" xlm="1">#NAME?</definedName>
    <definedName name="_xlpm.vlookup1" hidden="1" xlm="1">#NAME?</definedName>
    <definedName name="_xlpm.vlookup2" hidden="1" xlm="1">#NAME?</definedName>
    <definedName name="A615GR100">SD!$BB$1:$BB$457</definedName>
    <definedName name="A615GR60">SD!$AY$1:$AY$457</definedName>
    <definedName name="A615GR75">SD!$AZ$1:$AZ$457</definedName>
    <definedName name="A615GR80">SD!$BA$1:$BA$457</definedName>
    <definedName name="A706GR60">SD!$BC$1:$BC$457</definedName>
    <definedName name="A706GR80">SD!$BD$1:$BD$457</definedName>
    <definedName name="BCName">SD!$AX$1:$AX$457</definedName>
    <definedName name="BSize">SD!$AW$1:$AW$446</definedName>
    <definedName name="BSizeO">SD!$U$4:$U$14</definedName>
    <definedName name="CBSize">SD!$AM$1:$AM$2252</definedName>
    <definedName name="CCFCoupler">SD!$AO$1:$AO$2191</definedName>
    <definedName name="CCMFM">SD!$AK$1:$AK$2252</definedName>
    <definedName name="CCName">SD!$AL$1:$AL$2252</definedName>
    <definedName name="CCoupler">SD!$AN$1:$AN$2252</definedName>
    <definedName name="CLop">SD!$X$2:$X$3</definedName>
    <definedName name="CLPR">SD!$J$2:$J$4</definedName>
    <definedName name="CName">SD!$AG$2:$AG$390</definedName>
    <definedName name="ColumnSize">SD!$AB$2:$AB$26</definedName>
    <definedName name="ColumnType">SD!$AA$2:$AA$26</definedName>
    <definedName name="CountZone">SD!$Z$2:$Z$4</definedName>
    <definedName name="Coupler">SD!$S$2:$S$4</definedName>
    <definedName name="Customername">SD!$K$2:$K$41</definedName>
    <definedName name="DwlEndCon">SD!$Q$2:$Q$3</definedName>
    <definedName name="ElementName">SD!$N$2:$N$11</definedName>
    <definedName name="EName">SD!$AH$2:$AH$390</definedName>
    <definedName name="EndType">SD!$Q$2:$Q$3</definedName>
    <definedName name="Grade">SD!$P$1:$P$10</definedName>
    <definedName name="Grade_VT">SD!$H$2:$H$10</definedName>
    <definedName name="Lap">SD!$O$2:$O$3</definedName>
    <definedName name="LEVEL">Level!$A$1:$A$500</definedName>
    <definedName name="Lift">SD!$L$2:$L$4</definedName>
    <definedName name="LiftO">SD!$L$2:$L$3</definedName>
    <definedName name="PSI">SD!$M$2:$M$22</definedName>
    <definedName name="PSIPL">SD!$M$4:$M$22</definedName>
    <definedName name="Quantity">SD!$AC$3:$AC$26</definedName>
    <definedName name="S135Range">SD!$AS$13:$AU$23</definedName>
    <definedName name="S180Range">SD!$AS$24:$AU$34</definedName>
    <definedName name="S90Range">SD!$AS$2:$AV$12</definedName>
    <definedName name="SAC">SD!$AI$2:$AI$390</definedName>
    <definedName name="TCName">SD!$BF$1:$BF$458</definedName>
    <definedName name="TData">SD!$BM$2:$BM$18</definedName>
    <definedName name="TDBarSize">SD!$BN$2:$BN$12</definedName>
    <definedName name="TDBarSizeStatus">SD!$BO$2:$BO$12</definedName>
    <definedName name="TDL">SD!$W$2:$W$3</definedName>
    <definedName name="TDLevel">SD!$BP$2:$BP$200</definedName>
    <definedName name="TDLevelStatus">SD!$BQ$2:$BQ$200</definedName>
    <definedName name="TDQTY">SD!$V$2:$V$4</definedName>
    <definedName name="TDTH">SD!$W$7:$W$10</definedName>
    <definedName name="TDVertBars">SD!$U$2:$U$14</definedName>
    <definedName name="TDwlBSize">SD!$U$18:$U$29</definedName>
    <definedName name="TDwlCount">SD!$V$18:$V$19</definedName>
    <definedName name="THead">SD!$BH$1:$BH$458</definedName>
    <definedName name="Ties_Type01">Ties!$A$1:$L$441</definedName>
    <definedName name="TiesType">SD!$T$2:$T$6</definedName>
    <definedName name="TopEnd">SD!$R$2:$R$6</definedName>
    <definedName name="TSize">SD!$BG$1:$BG$458</definedName>
    <definedName name="Unit_Wt">SD!$AP$2:$AQ$12</definedName>
    <definedName name="VDBarSize">SD!$BS$2:$BS$12</definedName>
    <definedName name="VDBarSizeStatus">SD!$BT$2:$BT$12</definedName>
    <definedName name="VDLevel">SD!$BU$2:$BU$200</definedName>
    <definedName name="VDLevelStatus">SD!$BV$2:$BV$200</definedName>
    <definedName name="verticalDowel">SD!$B$21:$C$25,SD!$D$25:$E$25</definedName>
    <definedName name="Zone">SD!$Y$2:$Y$4</definedName>
    <definedName name="Zone_V">SD!$I$2:$I$7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0" l="1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" i="10"/>
  <c r="J3" i="10"/>
  <c r="U3" i="10" s="1"/>
  <c r="J4" i="10"/>
  <c r="U4" i="10" s="1"/>
  <c r="J5" i="10"/>
  <c r="U5" i="10" s="1"/>
  <c r="J6" i="10"/>
  <c r="U6" i="10" s="1"/>
  <c r="J7" i="10"/>
  <c r="U7" i="10" s="1"/>
  <c r="J8" i="10"/>
  <c r="U8" i="10" s="1"/>
  <c r="J9" i="10"/>
  <c r="J10" i="10"/>
  <c r="J11" i="10"/>
  <c r="U11" i="10" s="1"/>
  <c r="J12" i="10"/>
  <c r="U12" i="10" s="1"/>
  <c r="J13" i="10"/>
  <c r="U13" i="10" s="1"/>
  <c r="J14" i="10"/>
  <c r="U14" i="10" s="1"/>
  <c r="J15" i="10"/>
  <c r="U15" i="10" s="1"/>
  <c r="J16" i="10"/>
  <c r="J17" i="10"/>
  <c r="J18" i="10"/>
  <c r="J19" i="10"/>
  <c r="J20" i="10"/>
  <c r="J21" i="10"/>
  <c r="J22" i="10"/>
  <c r="J23" i="10"/>
  <c r="U23" i="10" s="1"/>
  <c r="J24" i="10"/>
  <c r="U24" i="10" s="1"/>
  <c r="J25" i="10"/>
  <c r="U25" i="10" s="1"/>
  <c r="J26" i="10"/>
  <c r="U26" i="10" s="1"/>
  <c r="J27" i="10"/>
  <c r="U27" i="10" s="1"/>
  <c r="J28" i="10"/>
  <c r="U28" i="10" s="1"/>
  <c r="J29" i="10"/>
  <c r="U29" i="10" s="1"/>
  <c r="J30" i="10"/>
  <c r="J31" i="10"/>
  <c r="U31" i="10" s="1"/>
  <c r="J32" i="10"/>
  <c r="J33" i="10"/>
  <c r="U33" i="10" s="1"/>
  <c r="J34" i="10"/>
  <c r="U34" i="10" s="1"/>
  <c r="J35" i="10"/>
  <c r="U35" i="10" s="1"/>
  <c r="J36" i="10"/>
  <c r="J37" i="10"/>
  <c r="J38" i="10"/>
  <c r="J39" i="10"/>
  <c r="J40" i="10"/>
  <c r="J41" i="10"/>
  <c r="J42" i="10"/>
  <c r="J43" i="10"/>
  <c r="U43" i="10" s="1"/>
  <c r="J44" i="10"/>
  <c r="U44" i="10" s="1"/>
  <c r="J45" i="10"/>
  <c r="U45" i="10" s="1"/>
  <c r="J46" i="10"/>
  <c r="U46" i="10" s="1"/>
  <c r="J47" i="10"/>
  <c r="U47" i="10" s="1"/>
  <c r="J48" i="10"/>
  <c r="U48" i="10" s="1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U63" i="10" s="1"/>
  <c r="J64" i="10"/>
  <c r="U64" i="10" s="1"/>
  <c r="J65" i="10"/>
  <c r="U65" i="10" s="1"/>
  <c r="J66" i="10"/>
  <c r="U66" i="10" s="1"/>
  <c r="L66" i="10" s="1"/>
  <c r="J67" i="10"/>
  <c r="J68" i="10"/>
  <c r="U68" i="10" s="1"/>
  <c r="L68" i="10" s="1"/>
  <c r="J69" i="10"/>
  <c r="U69" i="10" s="1"/>
  <c r="J70" i="10"/>
  <c r="J71" i="10"/>
  <c r="J72" i="10"/>
  <c r="J73" i="10"/>
  <c r="U73" i="10" s="1"/>
  <c r="J74" i="10"/>
  <c r="U74" i="10" s="1"/>
  <c r="J75" i="10"/>
  <c r="U75" i="10" s="1"/>
  <c r="J76" i="10"/>
  <c r="J77" i="10"/>
  <c r="J78" i="10"/>
  <c r="J79" i="10"/>
  <c r="J80" i="10"/>
  <c r="J81" i="10"/>
  <c r="J82" i="10"/>
  <c r="U82" i="10" s="1"/>
  <c r="J83" i="10"/>
  <c r="U83" i="10" s="1"/>
  <c r="J84" i="10"/>
  <c r="U84" i="10" s="1"/>
  <c r="J85" i="10"/>
  <c r="U85" i="10" s="1"/>
  <c r="J86" i="10"/>
  <c r="J87" i="10"/>
  <c r="J88" i="10"/>
  <c r="U88" i="10" s="1"/>
  <c r="J89" i="10"/>
  <c r="J90" i="10"/>
  <c r="U90" i="10" s="1"/>
  <c r="J91" i="10"/>
  <c r="U91" i="10" s="1"/>
  <c r="J92" i="10"/>
  <c r="U92" i="10" s="1"/>
  <c r="J93" i="10"/>
  <c r="U93" i="10" s="1"/>
  <c r="L93" i="10" s="1"/>
  <c r="J94" i="10"/>
  <c r="J95" i="10"/>
  <c r="U95" i="10" s="1"/>
  <c r="J96" i="10"/>
  <c r="J97" i="10"/>
  <c r="J98" i="10"/>
  <c r="J99" i="10"/>
  <c r="J100" i="10"/>
  <c r="J101" i="10"/>
  <c r="J102" i="10"/>
  <c r="J103" i="10"/>
  <c r="U103" i="10" s="1"/>
  <c r="J104" i="10"/>
  <c r="U104" i="10" s="1"/>
  <c r="J105" i="10"/>
  <c r="U105" i="10" s="1"/>
  <c r="J106" i="10"/>
  <c r="U106" i="10" s="1"/>
  <c r="J107" i="10"/>
  <c r="U107" i="10" s="1"/>
  <c r="J108" i="10"/>
  <c r="U108" i="10" s="1"/>
  <c r="J109" i="10"/>
  <c r="U109" i="10" s="1"/>
  <c r="J110" i="10"/>
  <c r="U110" i="10" s="1"/>
  <c r="J111" i="10"/>
  <c r="U111" i="10" s="1"/>
  <c r="J112" i="10"/>
  <c r="U112" i="10" s="1"/>
  <c r="J113" i="10"/>
  <c r="J114" i="10"/>
  <c r="U114" i="10" s="1"/>
  <c r="J115" i="10"/>
  <c r="U115" i="10" s="1"/>
  <c r="J116" i="10"/>
  <c r="J117" i="10"/>
  <c r="J118" i="10"/>
  <c r="J119" i="10"/>
  <c r="J120" i="10"/>
  <c r="J121" i="10"/>
  <c r="J122" i="10"/>
  <c r="U122" i="10" s="1"/>
  <c r="J123" i="10"/>
  <c r="U123" i="10" s="1"/>
  <c r="J124" i="10"/>
  <c r="U124" i="10" s="1"/>
  <c r="J125" i="10"/>
  <c r="U125" i="10" s="1"/>
  <c r="J126" i="10"/>
  <c r="U126" i="10" s="1"/>
  <c r="J127" i="10"/>
  <c r="U127" i="10" s="1"/>
  <c r="J128" i="10"/>
  <c r="J129" i="10"/>
  <c r="J130" i="10"/>
  <c r="J131" i="10"/>
  <c r="U131" i="10" s="1"/>
  <c r="J132" i="10"/>
  <c r="J133" i="10"/>
  <c r="U133" i="10" s="1"/>
  <c r="J134" i="10"/>
  <c r="J135" i="10"/>
  <c r="J136" i="10"/>
  <c r="J137" i="10"/>
  <c r="J138" i="10"/>
  <c r="J139" i="10"/>
  <c r="J140" i="10"/>
  <c r="J141" i="10"/>
  <c r="J142" i="10"/>
  <c r="J143" i="10"/>
  <c r="U143" i="10" s="1"/>
  <c r="L143" i="10" s="1"/>
  <c r="J144" i="10"/>
  <c r="U144" i="10" s="1"/>
  <c r="L144" i="10" s="1"/>
  <c r="J145" i="10"/>
  <c r="J146" i="10"/>
  <c r="J147" i="10"/>
  <c r="U147" i="10" s="1"/>
  <c r="J148" i="10"/>
  <c r="U148" i="10" s="1"/>
  <c r="J149" i="10"/>
  <c r="U149" i="10" s="1"/>
  <c r="J150" i="10"/>
  <c r="U150" i="10" s="1"/>
  <c r="J151" i="10"/>
  <c r="U151" i="10" s="1"/>
  <c r="J152" i="10"/>
  <c r="U152" i="10" s="1"/>
  <c r="J153" i="10"/>
  <c r="U153" i="10" s="1"/>
  <c r="J154" i="10"/>
  <c r="J155" i="10"/>
  <c r="J156" i="10"/>
  <c r="J157" i="10"/>
  <c r="J158" i="10"/>
  <c r="J159" i="10"/>
  <c r="J160" i="10"/>
  <c r="J161" i="10"/>
  <c r="J162" i="10"/>
  <c r="J163" i="10"/>
  <c r="U163" i="10" s="1"/>
  <c r="J164" i="10"/>
  <c r="U164" i="10" s="1"/>
  <c r="J165" i="10"/>
  <c r="U165" i="10" s="1"/>
  <c r="J166" i="10"/>
  <c r="J167" i="10"/>
  <c r="U167" i="10" s="1"/>
  <c r="J168" i="10"/>
  <c r="U168" i="10" s="1"/>
  <c r="J169" i="10"/>
  <c r="J170" i="10"/>
  <c r="J171" i="10"/>
  <c r="J172" i="10"/>
  <c r="J173" i="10"/>
  <c r="U173" i="10" s="1"/>
  <c r="J174" i="10"/>
  <c r="J175" i="10"/>
  <c r="J176" i="10"/>
  <c r="J177" i="10"/>
  <c r="J178" i="10"/>
  <c r="J179" i="10"/>
  <c r="J180" i="10"/>
  <c r="J181" i="10"/>
  <c r="J182" i="10"/>
  <c r="J183" i="10"/>
  <c r="U183" i="10" s="1"/>
  <c r="J184" i="10"/>
  <c r="U184" i="10" s="1"/>
  <c r="L184" i="10" s="1"/>
  <c r="J185" i="10"/>
  <c r="U185" i="10" s="1"/>
  <c r="J186" i="10"/>
  <c r="U186" i="10" s="1"/>
  <c r="L186" i="10" s="1"/>
  <c r="J187" i="10"/>
  <c r="U187" i="10" s="1"/>
  <c r="L187" i="10" s="1"/>
  <c r="J188" i="10"/>
  <c r="U188" i="10" s="1"/>
  <c r="J189" i="10"/>
  <c r="U189" i="10" s="1"/>
  <c r="J190" i="10"/>
  <c r="J191" i="10"/>
  <c r="U191" i="10" s="1"/>
  <c r="L191" i="10" s="1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U203" i="10" s="1"/>
  <c r="J204" i="10"/>
  <c r="U204" i="10" s="1"/>
  <c r="J205" i="10"/>
  <c r="U205" i="10" s="1"/>
  <c r="J206" i="10"/>
  <c r="J207" i="10"/>
  <c r="J208" i="10"/>
  <c r="U208" i="10" s="1"/>
  <c r="J209" i="10"/>
  <c r="J210" i="10"/>
  <c r="J211" i="10"/>
  <c r="J212" i="10"/>
  <c r="J213" i="10"/>
  <c r="U213" i="10" s="1"/>
  <c r="J214" i="10"/>
  <c r="U214" i="10" s="1"/>
  <c r="J215" i="10"/>
  <c r="J216" i="10"/>
  <c r="U216" i="10" s="1"/>
  <c r="J217" i="10"/>
  <c r="U217" i="10" s="1"/>
  <c r="J218" i="10"/>
  <c r="J219" i="10"/>
  <c r="J220" i="10"/>
  <c r="J221" i="10"/>
  <c r="J222" i="10"/>
  <c r="J223" i="10"/>
  <c r="U223" i="10" s="1"/>
  <c r="J224" i="10"/>
  <c r="U224" i="10" s="1"/>
  <c r="L224" i="10" s="1"/>
  <c r="J225" i="10"/>
  <c r="U225" i="10" s="1"/>
  <c r="J226" i="10"/>
  <c r="U226" i="10" s="1"/>
  <c r="J227" i="10"/>
  <c r="U227" i="10" s="1"/>
  <c r="J228" i="10"/>
  <c r="J2" i="10"/>
  <c r="U2" i="10" s="1"/>
  <c r="DG228" i="10"/>
  <c r="DG227" i="10"/>
  <c r="DG226" i="10"/>
  <c r="DG225" i="10"/>
  <c r="DG224" i="10"/>
  <c r="DG223" i="10"/>
  <c r="DG222" i="10"/>
  <c r="DG221" i="10"/>
  <c r="DG220" i="10"/>
  <c r="DG219" i="10"/>
  <c r="DG218" i="10"/>
  <c r="DG217" i="10"/>
  <c r="DG216" i="10"/>
  <c r="DG215" i="10"/>
  <c r="DG214" i="10"/>
  <c r="DG213" i="10"/>
  <c r="DG212" i="10"/>
  <c r="DG211" i="10"/>
  <c r="DG210" i="10"/>
  <c r="DG209" i="10"/>
  <c r="DG208" i="10"/>
  <c r="DG207" i="10"/>
  <c r="DG206" i="10"/>
  <c r="DG205" i="10"/>
  <c r="DG204" i="10"/>
  <c r="DG203" i="10"/>
  <c r="DG202" i="10"/>
  <c r="DG201" i="10"/>
  <c r="DG200" i="10"/>
  <c r="DG199" i="10"/>
  <c r="DG198" i="10"/>
  <c r="DG197" i="10"/>
  <c r="DG196" i="10"/>
  <c r="DG195" i="10"/>
  <c r="DG194" i="10"/>
  <c r="DG193" i="10"/>
  <c r="DG192" i="10"/>
  <c r="DG191" i="10"/>
  <c r="DG190" i="10"/>
  <c r="DG189" i="10"/>
  <c r="DG188" i="10"/>
  <c r="DG187" i="10"/>
  <c r="DG186" i="10"/>
  <c r="DG185" i="10"/>
  <c r="DG184" i="10"/>
  <c r="DG183" i="10"/>
  <c r="DG182" i="10"/>
  <c r="DG181" i="10"/>
  <c r="DG180" i="10"/>
  <c r="DG179" i="10"/>
  <c r="DG178" i="10"/>
  <c r="DG177" i="10"/>
  <c r="DG176" i="10"/>
  <c r="DG175" i="10"/>
  <c r="DG174" i="10"/>
  <c r="DG173" i="10"/>
  <c r="DG172" i="10"/>
  <c r="DG171" i="10"/>
  <c r="DG170" i="10"/>
  <c r="DG169" i="10"/>
  <c r="DG168" i="10"/>
  <c r="DG167" i="10"/>
  <c r="DG166" i="10"/>
  <c r="DG165" i="10"/>
  <c r="DG164" i="10"/>
  <c r="DG163" i="10"/>
  <c r="DG162" i="10"/>
  <c r="DG161" i="10"/>
  <c r="DG160" i="10"/>
  <c r="DG159" i="10"/>
  <c r="DG158" i="10"/>
  <c r="DG157" i="10"/>
  <c r="DG156" i="10"/>
  <c r="DG155" i="10"/>
  <c r="DG154" i="10"/>
  <c r="DG153" i="10"/>
  <c r="DG152" i="10"/>
  <c r="DG151" i="10"/>
  <c r="DG150" i="10"/>
  <c r="DG149" i="10"/>
  <c r="DG148" i="10"/>
  <c r="DG147" i="10"/>
  <c r="DG146" i="10"/>
  <c r="DG145" i="10"/>
  <c r="DG144" i="10"/>
  <c r="DG143" i="10"/>
  <c r="DG142" i="10"/>
  <c r="DG141" i="10"/>
  <c r="DG140" i="10"/>
  <c r="DG139" i="10"/>
  <c r="DG138" i="10"/>
  <c r="DG137" i="10"/>
  <c r="DG136" i="10"/>
  <c r="DG135" i="10"/>
  <c r="DG134" i="10"/>
  <c r="DG133" i="10"/>
  <c r="DG132" i="10"/>
  <c r="DG131" i="10"/>
  <c r="DG130" i="10"/>
  <c r="DG129" i="10"/>
  <c r="DG128" i="10"/>
  <c r="DG127" i="10"/>
  <c r="DG126" i="10"/>
  <c r="DG125" i="10"/>
  <c r="DG124" i="10"/>
  <c r="DG123" i="10"/>
  <c r="DG122" i="10"/>
  <c r="DG121" i="10"/>
  <c r="DG120" i="10"/>
  <c r="DG119" i="10"/>
  <c r="DG118" i="10"/>
  <c r="DG117" i="10"/>
  <c r="DG116" i="10"/>
  <c r="DG115" i="10"/>
  <c r="DG114" i="10"/>
  <c r="DG113" i="10"/>
  <c r="DG112" i="10"/>
  <c r="DG111" i="10"/>
  <c r="DG110" i="10"/>
  <c r="DG109" i="10"/>
  <c r="DG108" i="10"/>
  <c r="DG107" i="10"/>
  <c r="DG106" i="10"/>
  <c r="DG105" i="10"/>
  <c r="DG104" i="10"/>
  <c r="DG103" i="10"/>
  <c r="DG102" i="10"/>
  <c r="DG101" i="10"/>
  <c r="DG100" i="10"/>
  <c r="DG99" i="10"/>
  <c r="DG98" i="10"/>
  <c r="DG97" i="10"/>
  <c r="DG96" i="10"/>
  <c r="DG95" i="10"/>
  <c r="DG94" i="10"/>
  <c r="DG93" i="10"/>
  <c r="DG92" i="10"/>
  <c r="DG91" i="10"/>
  <c r="DG90" i="10"/>
  <c r="DG89" i="10"/>
  <c r="DG88" i="10"/>
  <c r="DG87" i="10"/>
  <c r="DG86" i="10"/>
  <c r="DG85" i="10"/>
  <c r="DG84" i="10"/>
  <c r="DG83" i="10"/>
  <c r="DG82" i="10"/>
  <c r="DG81" i="10"/>
  <c r="DG80" i="10"/>
  <c r="DG79" i="10"/>
  <c r="DG78" i="10"/>
  <c r="DG77" i="10"/>
  <c r="DG76" i="10"/>
  <c r="DG75" i="10"/>
  <c r="DG74" i="10"/>
  <c r="DG73" i="10"/>
  <c r="DG72" i="10"/>
  <c r="DG71" i="10"/>
  <c r="DG70" i="10"/>
  <c r="DG69" i="10"/>
  <c r="DG68" i="10"/>
  <c r="DG67" i="10"/>
  <c r="DG66" i="10"/>
  <c r="DG65" i="10"/>
  <c r="DG64" i="10"/>
  <c r="DG63" i="10"/>
  <c r="DG62" i="10"/>
  <c r="DG61" i="10"/>
  <c r="DG60" i="10"/>
  <c r="DG59" i="10"/>
  <c r="DG58" i="10"/>
  <c r="DG57" i="10"/>
  <c r="DG56" i="10"/>
  <c r="DG55" i="10"/>
  <c r="DG54" i="10"/>
  <c r="DG53" i="10"/>
  <c r="DG52" i="10"/>
  <c r="DG51" i="10"/>
  <c r="DG50" i="10"/>
  <c r="DG49" i="10"/>
  <c r="DG48" i="10"/>
  <c r="DG47" i="10"/>
  <c r="DG46" i="10"/>
  <c r="DG45" i="10"/>
  <c r="DG44" i="10"/>
  <c r="DG43" i="10"/>
  <c r="DG42" i="10"/>
  <c r="DG41" i="10"/>
  <c r="DG40" i="10"/>
  <c r="DG39" i="10"/>
  <c r="DG38" i="10"/>
  <c r="DG37" i="10"/>
  <c r="DG36" i="10"/>
  <c r="DG35" i="10"/>
  <c r="DG34" i="10"/>
  <c r="DG33" i="10"/>
  <c r="DG32" i="10"/>
  <c r="DG31" i="10"/>
  <c r="DG30" i="10"/>
  <c r="DG29" i="10"/>
  <c r="DG28" i="10"/>
  <c r="DG27" i="10"/>
  <c r="DG26" i="10"/>
  <c r="DG25" i="10"/>
  <c r="DG24" i="10"/>
  <c r="DG23" i="10"/>
  <c r="DG22" i="10"/>
  <c r="DG21" i="10"/>
  <c r="DG20" i="10"/>
  <c r="DG19" i="10"/>
  <c r="DG18" i="10"/>
  <c r="DG17" i="10"/>
  <c r="DG16" i="10"/>
  <c r="DG15" i="10"/>
  <c r="DG14" i="10"/>
  <c r="DG13" i="10"/>
  <c r="DG12" i="10"/>
  <c r="DG11" i="10"/>
  <c r="DG10" i="10"/>
  <c r="DG9" i="10"/>
  <c r="DG8" i="10"/>
  <c r="DG7" i="10"/>
  <c r="DG6" i="10"/>
  <c r="DG5" i="10"/>
  <c r="DG4" i="10"/>
  <c r="DG3" i="10"/>
  <c r="DG2" i="10"/>
  <c r="L2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31" i="10"/>
  <c r="L43" i="10"/>
  <c r="L44" i="10"/>
  <c r="L56" i="10"/>
  <c r="L57" i="10"/>
  <c r="L69" i="10"/>
  <c r="L80" i="10"/>
  <c r="L81" i="10"/>
  <c r="L82" i="10"/>
  <c r="L94" i="10"/>
  <c r="L95" i="10"/>
  <c r="L96" i="10"/>
  <c r="L108" i="10"/>
  <c r="L109" i="10"/>
  <c r="L110" i="10"/>
  <c r="L111" i="10"/>
  <c r="L112" i="10"/>
  <c r="L113" i="10"/>
  <c r="L114" i="10"/>
  <c r="L115" i="10"/>
  <c r="L116" i="10"/>
  <c r="L128" i="10"/>
  <c r="L140" i="10"/>
  <c r="L152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92" i="10"/>
  <c r="L203" i="10"/>
  <c r="L214" i="10"/>
  <c r="L225" i="10"/>
  <c r="L226" i="10"/>
  <c r="L227" i="10"/>
  <c r="L228" i="10"/>
  <c r="M70" i="10"/>
  <c r="U176" i="10"/>
  <c r="H21" i="10"/>
  <c r="H22" i="10"/>
  <c r="H23" i="10"/>
  <c r="H24" i="10"/>
  <c r="H25" i="10"/>
  <c r="H26" i="10"/>
  <c r="H27" i="10"/>
  <c r="H28" i="10"/>
  <c r="H29" i="10"/>
  <c r="H30" i="10"/>
  <c r="H31" i="10"/>
  <c r="H33" i="10"/>
  <c r="H34" i="10"/>
  <c r="H35" i="10"/>
  <c r="H36" i="10"/>
  <c r="H37" i="10"/>
  <c r="H38" i="10"/>
  <c r="H39" i="10"/>
  <c r="H40" i="10"/>
  <c r="H41" i="10"/>
  <c r="H42" i="10"/>
  <c r="H43" i="10"/>
  <c r="H46" i="10"/>
  <c r="H47" i="10"/>
  <c r="H48" i="10"/>
  <c r="H49" i="10"/>
  <c r="H50" i="10"/>
  <c r="H51" i="10"/>
  <c r="H52" i="10"/>
  <c r="H53" i="10"/>
  <c r="H54" i="10"/>
  <c r="H55" i="10"/>
  <c r="H56" i="10"/>
  <c r="H59" i="10"/>
  <c r="H60" i="10"/>
  <c r="H61" i="10"/>
  <c r="H62" i="10"/>
  <c r="H63" i="10"/>
  <c r="H64" i="10"/>
  <c r="H65" i="10"/>
  <c r="H66" i="10"/>
  <c r="H67" i="10"/>
  <c r="H68" i="10"/>
  <c r="H69" i="10"/>
  <c r="H71" i="10"/>
  <c r="H72" i="10"/>
  <c r="H73" i="10"/>
  <c r="H74" i="10"/>
  <c r="H75" i="10"/>
  <c r="H76" i="10"/>
  <c r="H77" i="10"/>
  <c r="H78" i="10"/>
  <c r="H79" i="10"/>
  <c r="H80" i="10"/>
  <c r="H84" i="10"/>
  <c r="H85" i="10"/>
  <c r="H86" i="10"/>
  <c r="H87" i="10"/>
  <c r="H88" i="10"/>
  <c r="H89" i="10"/>
  <c r="H90" i="10"/>
  <c r="H91" i="10"/>
  <c r="H92" i="10"/>
  <c r="H93" i="10"/>
  <c r="H94" i="10"/>
  <c r="H98" i="10"/>
  <c r="H99" i="10"/>
  <c r="H100" i="10"/>
  <c r="H101" i="10"/>
  <c r="H102" i="10"/>
  <c r="H103" i="10"/>
  <c r="H104" i="10"/>
  <c r="H105" i="10"/>
  <c r="H106" i="10"/>
  <c r="H107" i="10"/>
  <c r="H108" i="10"/>
  <c r="H118" i="10"/>
  <c r="H119" i="10"/>
  <c r="H120" i="10"/>
  <c r="H121" i="10"/>
  <c r="H122" i="10"/>
  <c r="H123" i="10"/>
  <c r="H124" i="10"/>
  <c r="H125" i="10"/>
  <c r="H126" i="10"/>
  <c r="H127" i="10"/>
  <c r="H128" i="10"/>
  <c r="H130" i="10"/>
  <c r="H131" i="10"/>
  <c r="H132" i="10"/>
  <c r="H133" i="10"/>
  <c r="H134" i="10"/>
  <c r="H135" i="10"/>
  <c r="H136" i="10"/>
  <c r="H137" i="10"/>
  <c r="H138" i="10"/>
  <c r="H139" i="10"/>
  <c r="H140" i="10"/>
  <c r="H142" i="10"/>
  <c r="H143" i="10"/>
  <c r="H144" i="10"/>
  <c r="H145" i="10"/>
  <c r="H146" i="10"/>
  <c r="H147" i="10"/>
  <c r="H148" i="10"/>
  <c r="H149" i="10"/>
  <c r="H150" i="10"/>
  <c r="H151" i="10"/>
  <c r="H152" i="10"/>
  <c r="H154" i="10"/>
  <c r="H155" i="10"/>
  <c r="H156" i="10"/>
  <c r="H157" i="10"/>
  <c r="H158" i="10"/>
  <c r="H159" i="10"/>
  <c r="H160" i="10"/>
  <c r="H161" i="10"/>
  <c r="H162" i="10"/>
  <c r="H163" i="10"/>
  <c r="H164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M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Z2" i="10"/>
  <c r="Z3" i="10"/>
  <c r="Z4" i="10"/>
  <c r="Z5" i="10"/>
  <c r="Z6" i="10"/>
  <c r="Z7" i="10"/>
  <c r="Z8" i="10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Z40" i="10"/>
  <c r="Z41" i="10"/>
  <c r="Z42" i="10"/>
  <c r="Z43" i="10"/>
  <c r="Z44" i="10"/>
  <c r="Z45" i="10"/>
  <c r="Z46" i="10"/>
  <c r="Z47" i="10"/>
  <c r="Z48" i="10"/>
  <c r="Z49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Z79" i="10"/>
  <c r="Z80" i="10"/>
  <c r="Z81" i="10"/>
  <c r="Z82" i="10"/>
  <c r="Z83" i="10"/>
  <c r="Z84" i="10"/>
  <c r="Z85" i="10"/>
  <c r="Z86" i="10"/>
  <c r="Z87" i="10"/>
  <c r="Z88" i="10"/>
  <c r="Z89" i="10"/>
  <c r="Z90" i="10"/>
  <c r="Z91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Y2" i="10"/>
  <c r="Y3" i="10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E2" i="10"/>
  <c r="E3" i="10"/>
  <c r="E4" i="10"/>
  <c r="E11" i="10"/>
  <c r="E13" i="10"/>
  <c r="E19" i="10"/>
  <c r="E21" i="10"/>
  <c r="E22" i="10"/>
  <c r="E23" i="10"/>
  <c r="E24" i="10"/>
  <c r="E25" i="10"/>
  <c r="E26" i="10"/>
  <c r="E27" i="10"/>
  <c r="E28" i="10"/>
  <c r="E29" i="10"/>
  <c r="E30" i="10"/>
  <c r="E31" i="10"/>
  <c r="E33" i="10"/>
  <c r="E34" i="10"/>
  <c r="E35" i="10"/>
  <c r="E36" i="10"/>
  <c r="E37" i="10"/>
  <c r="E38" i="10"/>
  <c r="E39" i="10"/>
  <c r="E40" i="10"/>
  <c r="E41" i="10"/>
  <c r="E42" i="10"/>
  <c r="E43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9" i="10"/>
  <c r="E60" i="10"/>
  <c r="E61" i="10"/>
  <c r="E62" i="10"/>
  <c r="E63" i="10"/>
  <c r="E64" i="10"/>
  <c r="E65" i="10"/>
  <c r="E66" i="10"/>
  <c r="E67" i="10"/>
  <c r="E68" i="10"/>
  <c r="E69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4" i="10"/>
  <c r="E85" i="10"/>
  <c r="E86" i="10"/>
  <c r="E87" i="10"/>
  <c r="E88" i="10"/>
  <c r="E89" i="10"/>
  <c r="E90" i="10"/>
  <c r="E91" i="10"/>
  <c r="E92" i="10"/>
  <c r="E93" i="10"/>
  <c r="E94" i="10"/>
  <c r="E96" i="10"/>
  <c r="E98" i="10"/>
  <c r="E99" i="10"/>
  <c r="E100" i="10"/>
  <c r="E101" i="10"/>
  <c r="E102" i="10"/>
  <c r="E103" i="10"/>
  <c r="E104" i="10"/>
  <c r="E105" i="10"/>
  <c r="E106" i="10"/>
  <c r="E107" i="10"/>
  <c r="E108" i="10"/>
  <c r="E111" i="10"/>
  <c r="E112" i="10"/>
  <c r="E114" i="10"/>
  <c r="E116" i="10"/>
  <c r="E118" i="10"/>
  <c r="E119" i="10"/>
  <c r="E120" i="10"/>
  <c r="E121" i="10"/>
  <c r="E122" i="10"/>
  <c r="E123" i="10"/>
  <c r="E124" i="10"/>
  <c r="E125" i="10"/>
  <c r="E126" i="10"/>
  <c r="E127" i="10"/>
  <c r="E128" i="10"/>
  <c r="E130" i="10"/>
  <c r="E131" i="10"/>
  <c r="E132" i="10"/>
  <c r="E133" i="10"/>
  <c r="E134" i="10"/>
  <c r="E135" i="10"/>
  <c r="E136" i="10"/>
  <c r="E137" i="10"/>
  <c r="E138" i="10"/>
  <c r="E139" i="10"/>
  <c r="E140" i="10"/>
  <c r="E142" i="10"/>
  <c r="E143" i="10"/>
  <c r="E144" i="10"/>
  <c r="E145" i="10"/>
  <c r="E146" i="10"/>
  <c r="E147" i="10"/>
  <c r="E148" i="10"/>
  <c r="E149" i="10"/>
  <c r="E150" i="10"/>
  <c r="E151" i="10"/>
  <c r="E152" i="10"/>
  <c r="E154" i="10"/>
  <c r="E155" i="10"/>
  <c r="E156" i="10"/>
  <c r="E157" i="10"/>
  <c r="E158" i="10"/>
  <c r="E159" i="10"/>
  <c r="E160" i="10"/>
  <c r="E161" i="10"/>
  <c r="E162" i="10"/>
  <c r="E163" i="10"/>
  <c r="E164" i="10"/>
  <c r="E166" i="10"/>
  <c r="E168" i="10"/>
  <c r="E169" i="10"/>
  <c r="E170" i="10"/>
  <c r="E171" i="10"/>
  <c r="E172" i="10"/>
  <c r="E173" i="10"/>
  <c r="E176" i="10"/>
  <c r="E177" i="10"/>
  <c r="E178" i="10"/>
  <c r="E179" i="10"/>
  <c r="E180" i="10"/>
  <c r="E181" i="10"/>
  <c r="E183" i="10"/>
  <c r="E184" i="10"/>
  <c r="E185" i="10"/>
  <c r="E186" i="10"/>
  <c r="E187" i="10"/>
  <c r="E188" i="10"/>
  <c r="E189" i="10"/>
  <c r="E190" i="10"/>
  <c r="E191" i="10"/>
  <c r="E192" i="10"/>
  <c r="E194" i="10"/>
  <c r="E195" i="10"/>
  <c r="E196" i="10"/>
  <c r="E197" i="10"/>
  <c r="E198" i="10"/>
  <c r="E199" i="10"/>
  <c r="E200" i="10"/>
  <c r="E201" i="10"/>
  <c r="E202" i="10"/>
  <c r="E203" i="10"/>
  <c r="E205" i="10"/>
  <c r="E206" i="10"/>
  <c r="E207" i="10"/>
  <c r="E208" i="10"/>
  <c r="E209" i="10"/>
  <c r="E210" i="10"/>
  <c r="E211" i="10"/>
  <c r="E212" i="10"/>
  <c r="E213" i="10"/>
  <c r="E214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DG229" i="10"/>
  <c r="Z229" i="10"/>
  <c r="Y229" i="10"/>
  <c r="U229" i="10"/>
  <c r="C46" i="1"/>
  <c r="F33" i="1"/>
  <c r="L223" i="10" l="1"/>
  <c r="L126" i="10"/>
  <c r="L90" i="10"/>
  <c r="L88" i="10"/>
  <c r="L217" i="10"/>
  <c r="L188" i="10"/>
  <c r="L183" i="10"/>
  <c r="L153" i="10"/>
  <c r="L107" i="10"/>
  <c r="L34" i="10"/>
  <c r="L103" i="10"/>
  <c r="L125" i="10"/>
  <c r="L75" i="10"/>
  <c r="L33" i="10"/>
  <c r="L189" i="10"/>
  <c r="L27" i="10"/>
  <c r="L105" i="10"/>
  <c r="L106" i="10"/>
  <c r="L28" i="10"/>
  <c r="L205" i="10"/>
  <c r="L63" i="10"/>
  <c r="L185" i="10"/>
  <c r="L64" i="10"/>
  <c r="L73" i="10"/>
  <c r="L131" i="10"/>
  <c r="L208" i="10"/>
  <c r="L29" i="10"/>
  <c r="L83" i="10"/>
  <c r="L26" i="10"/>
  <c r="L122" i="10"/>
  <c r="L92" i="10"/>
  <c r="L147" i="10"/>
  <c r="L151" i="10"/>
  <c r="L35" i="10"/>
  <c r="L84" i="10"/>
  <c r="L104" i="10"/>
  <c r="L123" i="10"/>
  <c r="L91" i="10"/>
  <c r="L48" i="10"/>
  <c r="L163" i="10"/>
  <c r="L46" i="10"/>
  <c r="L204" i="10"/>
  <c r="L85" i="10"/>
  <c r="L216" i="10"/>
  <c r="L45" i="10"/>
  <c r="L25" i="10"/>
  <c r="L133" i="10"/>
  <c r="L23" i="10"/>
  <c r="L213" i="10"/>
  <c r="L24" i="10"/>
  <c r="L150" i="10"/>
  <c r="L124" i="10"/>
  <c r="L74" i="10"/>
  <c r="L65" i="10"/>
  <c r="L47" i="10"/>
  <c r="L148" i="10"/>
  <c r="L127" i="10"/>
  <c r="L149" i="10"/>
  <c r="U206" i="10"/>
  <c r="U67" i="10"/>
  <c r="U51" i="10"/>
  <c r="U86" i="10"/>
  <c r="U211" i="10"/>
  <c r="U146" i="10"/>
  <c r="U222" i="10"/>
  <c r="U202" i="10"/>
  <c r="U182" i="10"/>
  <c r="U162" i="10"/>
  <c r="U142" i="10"/>
  <c r="U102" i="10"/>
  <c r="U62" i="10"/>
  <c r="U42" i="10"/>
  <c r="U22" i="10"/>
  <c r="U207" i="10"/>
  <c r="U166" i="10"/>
  <c r="U30" i="10"/>
  <c r="U128" i="10"/>
  <c r="U134" i="10"/>
  <c r="U145" i="10"/>
  <c r="U178" i="10"/>
  <c r="U177" i="10"/>
  <c r="U228" i="10"/>
  <c r="U32" i="10"/>
  <c r="U54" i="10"/>
  <c r="U171" i="10"/>
  <c r="U55" i="10"/>
  <c r="U52" i="10"/>
  <c r="U70" i="10"/>
  <c r="U17" i="10"/>
  <c r="U18" i="10"/>
  <c r="U87" i="10"/>
  <c r="U113" i="10"/>
  <c r="U190" i="10"/>
  <c r="U71" i="10"/>
  <c r="U120" i="10"/>
  <c r="U79" i="10"/>
  <c r="U196" i="10"/>
  <c r="U156" i="10"/>
  <c r="U116" i="10"/>
  <c r="U76" i="10"/>
  <c r="U36" i="10"/>
  <c r="U136" i="10"/>
  <c r="U137" i="10"/>
  <c r="M153" i="10"/>
  <c r="U154" i="10"/>
  <c r="U195" i="10"/>
  <c r="U99" i="10"/>
  <c r="U193" i="10"/>
  <c r="U72" i="10"/>
  <c r="U97" i="10"/>
  <c r="U192" i="10"/>
  <c r="U57" i="10"/>
  <c r="U200" i="10"/>
  <c r="U80" i="10"/>
  <c r="U219" i="10"/>
  <c r="U138" i="10"/>
  <c r="U98" i="10"/>
  <c r="U78" i="10"/>
  <c r="U179" i="10"/>
  <c r="U197" i="10"/>
  <c r="U157" i="10"/>
  <c r="U100" i="10"/>
  <c r="U194" i="10"/>
  <c r="U96" i="10"/>
  <c r="U161" i="10"/>
  <c r="U160" i="10"/>
  <c r="U201" i="10"/>
  <c r="U121" i="10"/>
  <c r="U139" i="10"/>
  <c r="U117" i="10"/>
  <c r="U77" i="10"/>
  <c r="U37" i="10"/>
  <c r="U215" i="10"/>
  <c r="U135" i="10"/>
  <c r="U56" i="10"/>
  <c r="U175" i="10"/>
  <c r="U40" i="10"/>
  <c r="U16" i="10"/>
  <c r="U155" i="10"/>
  <c r="U41" i="10"/>
  <c r="U220" i="10"/>
  <c r="U119" i="10"/>
  <c r="U58" i="10"/>
  <c r="U158" i="10"/>
  <c r="U59" i="10"/>
  <c r="U159" i="10"/>
  <c r="U141" i="10"/>
  <c r="U180" i="10"/>
  <c r="U60" i="10"/>
  <c r="U38" i="10"/>
  <c r="U101" i="10"/>
  <c r="U19" i="10"/>
  <c r="U39" i="10"/>
  <c r="U118" i="10"/>
  <c r="U81" i="10"/>
  <c r="U221" i="10"/>
  <c r="U181" i="10"/>
  <c r="U61" i="10"/>
  <c r="U21" i="10"/>
  <c r="U140" i="10"/>
  <c r="U20" i="10"/>
  <c r="U218" i="10"/>
  <c r="U198" i="10"/>
  <c r="U199" i="10"/>
  <c r="U49" i="10"/>
  <c r="U9" i="10"/>
  <c r="U10" i="10"/>
  <c r="U170" i="10"/>
  <c r="U132" i="10"/>
  <c r="U172" i="10"/>
  <c r="U212" i="10"/>
  <c r="U130" i="10"/>
  <c r="U53" i="10"/>
  <c r="U94" i="10"/>
  <c r="U174" i="10"/>
  <c r="U89" i="10"/>
  <c r="U129" i="10"/>
  <c r="U169" i="10"/>
  <c r="U209" i="10"/>
  <c r="U50" i="10"/>
  <c r="U210" i="10"/>
  <c r="E20" i="1"/>
  <c r="L70" i="10" l="1"/>
  <c r="L195" i="10"/>
  <c r="L30" i="10"/>
  <c r="L154" i="10"/>
  <c r="L212" i="10"/>
  <c r="L54" i="10"/>
  <c r="L211" i="10"/>
  <c r="L200" i="10"/>
  <c r="L87" i="10"/>
  <c r="L198" i="10"/>
  <c r="L58" i="10"/>
  <c r="L77" i="10"/>
  <c r="L156" i="10"/>
  <c r="L52" i="10"/>
  <c r="L39" i="10"/>
  <c r="L137" i="10"/>
  <c r="L215" i="10"/>
  <c r="L199" i="10"/>
  <c r="L51" i="10"/>
  <c r="L97" i="10"/>
  <c r="L221" i="10"/>
  <c r="L222" i="10"/>
  <c r="L190" i="10"/>
  <c r="L22" i="10"/>
  <c r="L86" i="10"/>
  <c r="L89" i="10"/>
  <c r="L118" i="10"/>
  <c r="L138" i="10"/>
  <c r="L101" i="10"/>
  <c r="L135" i="10"/>
  <c r="L119" i="10"/>
  <c r="L62" i="10"/>
  <c r="L117" i="10"/>
  <c r="L55" i="10"/>
  <c r="L202" i="10"/>
  <c r="L132" i="10"/>
  <c r="L100" i="10"/>
  <c r="L20" i="10"/>
  <c r="L196" i="10"/>
  <c r="L209" i="10"/>
  <c r="L79" i="10"/>
  <c r="L98" i="10"/>
  <c r="L40" i="10"/>
  <c r="L71" i="10"/>
  <c r="L53" i="10"/>
  <c r="L160" i="10"/>
  <c r="L130" i="10"/>
  <c r="L219" i="10"/>
  <c r="L161" i="10"/>
  <c r="L38" i="10"/>
  <c r="L207" i="10"/>
  <c r="L60" i="10"/>
  <c r="L146" i="10"/>
  <c r="L49" i="10"/>
  <c r="L37" i="10"/>
  <c r="L42" i="10"/>
  <c r="L41" i="10"/>
  <c r="L102" i="10"/>
  <c r="L206" i="10"/>
  <c r="L61" i="10"/>
  <c r="L155" i="10"/>
  <c r="L72" i="10"/>
  <c r="L142" i="10"/>
  <c r="L201" i="10"/>
  <c r="L99" i="10"/>
  <c r="L182" i="10"/>
  <c r="L136" i="10"/>
  <c r="L36" i="10"/>
  <c r="L141" i="10"/>
  <c r="L76" i="10"/>
  <c r="L32" i="10"/>
  <c r="L159" i="10"/>
  <c r="L59" i="10"/>
  <c r="L194" i="10"/>
  <c r="L158" i="10"/>
  <c r="L218" i="10"/>
  <c r="L157" i="10"/>
  <c r="L210" i="10"/>
  <c r="L220" i="10"/>
  <c r="L197" i="10"/>
  <c r="L67" i="10"/>
  <c r="L50" i="10"/>
  <c r="L21" i="10"/>
  <c r="L139" i="10"/>
  <c r="L145" i="10"/>
  <c r="L129" i="10"/>
  <c r="L121" i="10"/>
  <c r="L78" i="10"/>
  <c r="L193" i="10"/>
  <c r="L120" i="10"/>
  <c r="L134" i="10"/>
  <c r="L162" i="10"/>
  <c r="E14" i="1"/>
  <c r="E13" i="1"/>
  <c r="E12" i="1"/>
  <c r="AU34" i="1" l="1"/>
  <c r="AU33" i="1"/>
  <c r="AU32" i="1"/>
  <c r="AU31" i="1"/>
  <c r="AU30" i="1"/>
  <c r="AU29" i="1"/>
  <c r="AU28" i="1"/>
  <c r="AU27" i="1"/>
  <c r="AU26" i="1"/>
  <c r="AU25" i="1"/>
  <c r="AU24" i="1"/>
  <c r="AU18" i="1"/>
  <c r="AU17" i="1"/>
  <c r="AU16" i="1"/>
  <c r="AU15" i="1"/>
  <c r="AU14" i="1"/>
  <c r="AU13" i="1"/>
  <c r="AV12" i="1"/>
  <c r="AU12" i="1"/>
  <c r="AV11" i="1"/>
  <c r="AU11" i="1"/>
  <c r="AV9" i="1"/>
  <c r="AU9" i="1"/>
  <c r="AV8" i="1"/>
  <c r="AU8" i="1"/>
  <c r="AV7" i="1"/>
  <c r="AU7" i="1"/>
  <c r="AV6" i="1"/>
  <c r="AU6" i="1"/>
  <c r="AV4" i="1"/>
  <c r="AU4" i="1"/>
  <c r="AV3" i="1"/>
  <c r="AU3" i="1"/>
  <c r="AV2" i="1"/>
</calcChain>
</file>

<file path=xl/sharedStrings.xml><?xml version="1.0" encoding="utf-8"?>
<sst xmlns="http://schemas.openxmlformats.org/spreadsheetml/2006/main" count="25169" uniqueCount="951">
  <si>
    <t>Customer name</t>
  </si>
  <si>
    <t xml:space="preserve">Element name </t>
  </si>
  <si>
    <t>Sac Code</t>
  </si>
  <si>
    <t>Bar Size</t>
  </si>
  <si>
    <t>Coupler Part Code</t>
  </si>
  <si>
    <t>FEMALE Part Code</t>
  </si>
  <si>
    <t>BarSize</t>
  </si>
  <si>
    <t>Unit Weight</t>
  </si>
  <si>
    <t>Bend</t>
  </si>
  <si>
    <t>Length</t>
  </si>
  <si>
    <t>ClientName</t>
  </si>
  <si>
    <t>A615 Grade 60</t>
  </si>
  <si>
    <t>A615 Grade 75</t>
  </si>
  <si>
    <t>A615 Grade 80</t>
  </si>
  <si>
    <t>A615 Grade 100</t>
  </si>
  <si>
    <t>A706 Grade 60</t>
  </si>
  <si>
    <t>A706 Grade 80</t>
  </si>
  <si>
    <t>A706 Grade 100</t>
  </si>
  <si>
    <t>T-head name</t>
  </si>
  <si>
    <t>T-head Part Code</t>
  </si>
  <si>
    <t>T-Head BarSize TD</t>
  </si>
  <si>
    <t>TD Barsize Status</t>
  </si>
  <si>
    <t>T-Head Level TD</t>
  </si>
  <si>
    <t>TD Level Status</t>
  </si>
  <si>
    <t>T-Head BarSize VD</t>
  </si>
  <si>
    <t>VD Barsize Status</t>
  </si>
  <si>
    <t>T-Head Level VD</t>
  </si>
  <si>
    <t>VD Level Status</t>
  </si>
  <si>
    <t>Close Ties</t>
  </si>
  <si>
    <t>Close Hook1</t>
  </si>
  <si>
    <t>Close Hook2</t>
  </si>
  <si>
    <t>Cross Ties</t>
  </si>
  <si>
    <t>Cross Hook1</t>
  </si>
  <si>
    <t>Cross Hook2</t>
  </si>
  <si>
    <t>Per Bar Size/ Level</t>
  </si>
  <si>
    <t>H/6,Max D, 18"</t>
  </si>
  <si>
    <t>CMC - Florida</t>
  </si>
  <si>
    <t>Single Lift</t>
  </si>
  <si>
    <t>From Schedule</t>
  </si>
  <si>
    <t xml:space="preserve">Concrete Columns </t>
  </si>
  <si>
    <t>Per Uploaded File</t>
  </si>
  <si>
    <t>Defualt Length</t>
  </si>
  <si>
    <t>Hook</t>
  </si>
  <si>
    <t>Per Schedule</t>
  </si>
  <si>
    <t xml:space="preserve">Match Vertical Bars </t>
  </si>
  <si>
    <t>Match Lap</t>
  </si>
  <si>
    <t>Per Bar Size</t>
  </si>
  <si>
    <t>Normal</t>
  </si>
  <si>
    <t>Zone 1</t>
  </si>
  <si>
    <t>Male</t>
  </si>
  <si>
    <t>#4#4</t>
  </si>
  <si>
    <t>LE04</t>
  </si>
  <si>
    <t>#3</t>
  </si>
  <si>
    <t>S90</t>
  </si>
  <si>
    <t>3-</t>
  </si>
  <si>
    <t>3/</t>
  </si>
  <si>
    <t>3**</t>
  </si>
  <si>
    <t>3+</t>
  </si>
  <si>
    <t>3\</t>
  </si>
  <si>
    <t>T3</t>
  </si>
  <si>
    <t>Acc</t>
  </si>
  <si>
    <t>Mark</t>
  </si>
  <si>
    <t>T1</t>
  </si>
  <si>
    <t>S135</t>
  </si>
  <si>
    <t>T5</t>
  </si>
  <si>
    <t>S180</t>
  </si>
  <si>
    <t>Lap</t>
  </si>
  <si>
    <t>Harris - Florida/Orlando</t>
  </si>
  <si>
    <t>Double Lift</t>
  </si>
  <si>
    <t>Level wise</t>
  </si>
  <si>
    <t>Create</t>
  </si>
  <si>
    <t>T-Head</t>
  </si>
  <si>
    <t>Per schedule</t>
  </si>
  <si>
    <t>Per level</t>
  </si>
  <si>
    <t>Count Spacing</t>
  </si>
  <si>
    <t>Zone 2</t>
  </si>
  <si>
    <t>Vert Dowels</t>
  </si>
  <si>
    <t>2200 CD</t>
  </si>
  <si>
    <t>#5#5</t>
  </si>
  <si>
    <t>LE05</t>
  </si>
  <si>
    <t>#4</t>
  </si>
  <si>
    <t>4-</t>
  </si>
  <si>
    <t>4/</t>
  </si>
  <si>
    <t>4**</t>
  </si>
  <si>
    <t>4+</t>
  </si>
  <si>
    <t>4\</t>
  </si>
  <si>
    <t>T4</t>
  </si>
  <si>
    <t>Level</t>
  </si>
  <si>
    <t>T2</t>
  </si>
  <si>
    <t>T9</t>
  </si>
  <si>
    <t>General</t>
  </si>
  <si>
    <t>Remaining</t>
  </si>
  <si>
    <t>Coupler</t>
  </si>
  <si>
    <t>Harris - Alabama</t>
  </si>
  <si>
    <t>Per Bar Size Wise</t>
  </si>
  <si>
    <t>Top dowels</t>
  </si>
  <si>
    <t>No Coupler</t>
  </si>
  <si>
    <t>Default Count</t>
  </si>
  <si>
    <t>Zone</t>
  </si>
  <si>
    <t>Zone 3</t>
  </si>
  <si>
    <t>#6#6</t>
  </si>
  <si>
    <t>LE06</t>
  </si>
  <si>
    <t>#5</t>
  </si>
  <si>
    <t>5-</t>
  </si>
  <si>
    <t>5/</t>
  </si>
  <si>
    <t>5**</t>
  </si>
  <si>
    <t>5+</t>
  </si>
  <si>
    <t>5\</t>
  </si>
  <si>
    <t>SAC Code</t>
  </si>
  <si>
    <t>T12</t>
  </si>
  <si>
    <t>Job name</t>
  </si>
  <si>
    <t>Harris - Pacific</t>
  </si>
  <si>
    <t>#7#7</t>
  </si>
  <si>
    <t>LE07</t>
  </si>
  <si>
    <t>#6</t>
  </si>
  <si>
    <t>6-</t>
  </si>
  <si>
    <t>6/</t>
  </si>
  <si>
    <t>6**</t>
  </si>
  <si>
    <t>6+</t>
  </si>
  <si>
    <t>6\</t>
  </si>
  <si>
    <t>T6</t>
  </si>
  <si>
    <t>PSI</t>
  </si>
  <si>
    <t>T13</t>
  </si>
  <si>
    <t>T17</t>
  </si>
  <si>
    <t>Job number</t>
  </si>
  <si>
    <t>Default Length</t>
  </si>
  <si>
    <t>Harris - N.Carolina</t>
  </si>
  <si>
    <t>#8#8</t>
  </si>
  <si>
    <t>LE08</t>
  </si>
  <si>
    <t>#7</t>
  </si>
  <si>
    <t>7-</t>
  </si>
  <si>
    <t>7/</t>
  </si>
  <si>
    <t>7**</t>
  </si>
  <si>
    <t>7+</t>
  </si>
  <si>
    <t>7\</t>
  </si>
  <si>
    <t>T7</t>
  </si>
  <si>
    <t>FTG Depth</t>
  </si>
  <si>
    <t>S15</t>
  </si>
  <si>
    <t>CMC - Muncie</t>
  </si>
  <si>
    <t>Loose Dowels</t>
  </si>
  <si>
    <t>#9#9</t>
  </si>
  <si>
    <t>LE09</t>
  </si>
  <si>
    <t>#8</t>
  </si>
  <si>
    <t>8-</t>
  </si>
  <si>
    <t>8/</t>
  </si>
  <si>
    <t>8**</t>
  </si>
  <si>
    <t>8+</t>
  </si>
  <si>
    <t>8\</t>
  </si>
  <si>
    <t>T8</t>
  </si>
  <si>
    <t>Multiple</t>
  </si>
  <si>
    <t>CMC - Illinois</t>
  </si>
  <si>
    <t>No T-Head</t>
  </si>
  <si>
    <t>#10#10</t>
  </si>
  <si>
    <t>LE10</t>
  </si>
  <si>
    <t>#9</t>
  </si>
  <si>
    <t>9-</t>
  </si>
  <si>
    <t>9/</t>
  </si>
  <si>
    <t>9**</t>
  </si>
  <si>
    <t>9+</t>
  </si>
  <si>
    <t>9\</t>
  </si>
  <si>
    <t>Size</t>
  </si>
  <si>
    <t>Column lift condtion</t>
  </si>
  <si>
    <t>Nucor - Florida/Orlando</t>
  </si>
  <si>
    <t>Level Wise</t>
  </si>
  <si>
    <t>#11#11</t>
  </si>
  <si>
    <t>LE11</t>
  </si>
  <si>
    <t>#10</t>
  </si>
  <si>
    <t>10-</t>
  </si>
  <si>
    <t>10/</t>
  </si>
  <si>
    <t>10**</t>
  </si>
  <si>
    <t>10+</t>
  </si>
  <si>
    <t>10\</t>
  </si>
  <si>
    <t>T10</t>
  </si>
  <si>
    <t>Height</t>
  </si>
  <si>
    <t>PSI value</t>
  </si>
  <si>
    <t>Nucor - Alabama</t>
  </si>
  <si>
    <t>BarSize Wise</t>
  </si>
  <si>
    <t>Corbels</t>
  </si>
  <si>
    <t>2429 CL</t>
  </si>
  <si>
    <t>#14#14</t>
  </si>
  <si>
    <t>LE14</t>
  </si>
  <si>
    <t>#11</t>
  </si>
  <si>
    <t>11-</t>
  </si>
  <si>
    <t>11/</t>
  </si>
  <si>
    <t>11**</t>
  </si>
  <si>
    <t>11+</t>
  </si>
  <si>
    <t>11\</t>
  </si>
  <si>
    <t>T11</t>
  </si>
  <si>
    <t>Vert Bars</t>
  </si>
  <si>
    <t xml:space="preserve">Lap </t>
  </si>
  <si>
    <t>Circle city</t>
  </si>
  <si>
    <t>Couplers</t>
  </si>
  <si>
    <t>2429 CP</t>
  </si>
  <si>
    <t>#18#18</t>
  </si>
  <si>
    <t>LE18</t>
  </si>
  <si>
    <t>#14</t>
  </si>
  <si>
    <t>14-</t>
  </si>
  <si>
    <t>14/</t>
  </si>
  <si>
    <t>14**</t>
  </si>
  <si>
    <t>14+</t>
  </si>
  <si>
    <t>14\</t>
  </si>
  <si>
    <t>T14</t>
  </si>
  <si>
    <t>Grade V</t>
  </si>
  <si>
    <t>Concrete Cover</t>
  </si>
  <si>
    <t>1.5"</t>
  </si>
  <si>
    <t>CMC - Tennessee</t>
  </si>
  <si>
    <t>#5#6</t>
  </si>
  <si>
    <t>LE0506</t>
  </si>
  <si>
    <t>#18</t>
  </si>
  <si>
    <t>18-</t>
  </si>
  <si>
    <t>18/</t>
  </si>
  <si>
    <t>18**</t>
  </si>
  <si>
    <t>18+</t>
  </si>
  <si>
    <t>18\</t>
  </si>
  <si>
    <t>T18</t>
  </si>
  <si>
    <t>Lap/Coupler</t>
  </si>
  <si>
    <t>Average Slab thickness</t>
  </si>
  <si>
    <t>CMC - N.California</t>
  </si>
  <si>
    <t>#5#7</t>
  </si>
  <si>
    <t>LE0507</t>
  </si>
  <si>
    <t>Oth</t>
  </si>
  <si>
    <t>Vert Conn</t>
  </si>
  <si>
    <t>Footing depth</t>
  </si>
  <si>
    <t>CMC - S.California</t>
  </si>
  <si>
    <t>#5#8</t>
  </si>
  <si>
    <t>LE0508</t>
  </si>
  <si>
    <t>Transition</t>
  </si>
  <si>
    <t>CMC - Utah</t>
  </si>
  <si>
    <t>#6#7</t>
  </si>
  <si>
    <t>LE0607</t>
  </si>
  <si>
    <t>Ties 1</t>
  </si>
  <si>
    <t>CMC - Denver</t>
  </si>
  <si>
    <t>#6#8</t>
  </si>
  <si>
    <t>LE0608</t>
  </si>
  <si>
    <t>Ties 2</t>
  </si>
  <si>
    <t>Vertical bars</t>
  </si>
  <si>
    <t>CMC - Hawaii</t>
  </si>
  <si>
    <t>#6#9</t>
  </si>
  <si>
    <t>LE0609</t>
  </si>
  <si>
    <t>Ties 3</t>
  </si>
  <si>
    <t>Dowels end condition</t>
  </si>
  <si>
    <t>CMC - AZ</t>
  </si>
  <si>
    <t>#7#8</t>
  </si>
  <si>
    <t>LE0708</t>
  </si>
  <si>
    <t>Ties Type</t>
  </si>
  <si>
    <t>Grade Vert</t>
  </si>
  <si>
    <t>CMC - Mesa</t>
  </si>
  <si>
    <t>#7#9</t>
  </si>
  <si>
    <t>LE0709</t>
  </si>
  <si>
    <t>Vertical bar top end condition</t>
  </si>
  <si>
    <t>CMC - Washington</t>
  </si>
  <si>
    <t>#7#10</t>
  </si>
  <si>
    <t>LE0710</t>
  </si>
  <si>
    <t>Top dowel</t>
  </si>
  <si>
    <t>Morse</t>
  </si>
  <si>
    <t>#8#9</t>
  </si>
  <si>
    <t>LE0809</t>
  </si>
  <si>
    <t xml:space="preserve">     Bar Size</t>
  </si>
  <si>
    <t>KM Rebar</t>
  </si>
  <si>
    <t>#8#10</t>
  </si>
  <si>
    <t>LE0810</t>
  </si>
  <si>
    <t xml:space="preserve">     Quantity</t>
  </si>
  <si>
    <t>PSG - N.CA &amp; S.CA</t>
  </si>
  <si>
    <t>#8#11</t>
  </si>
  <si>
    <t>LE0811</t>
  </si>
  <si>
    <t xml:space="preserve">     Length 1</t>
  </si>
  <si>
    <t>Martinez</t>
  </si>
  <si>
    <t>#9#10</t>
  </si>
  <si>
    <t>LE0910</t>
  </si>
  <si>
    <t xml:space="preserve">     Length 2</t>
  </si>
  <si>
    <t>Camblin</t>
  </si>
  <si>
    <t>#9#11</t>
  </si>
  <si>
    <t>LE0911</t>
  </si>
  <si>
    <t>NCR</t>
  </si>
  <si>
    <t>#9#14</t>
  </si>
  <si>
    <t>LE0914</t>
  </si>
  <si>
    <t>Conco</t>
  </si>
  <si>
    <t>#10#11</t>
  </si>
  <si>
    <t>LE1011</t>
  </si>
  <si>
    <t>Ties</t>
  </si>
  <si>
    <t>Del Mar</t>
  </si>
  <si>
    <t>#10#14</t>
  </si>
  <si>
    <t>LE1014</t>
  </si>
  <si>
    <t>Grade Ties</t>
  </si>
  <si>
    <t>Black iron</t>
  </si>
  <si>
    <t>#10#18</t>
  </si>
  <si>
    <t>LE1018</t>
  </si>
  <si>
    <t>Harris - Arizona</t>
  </si>
  <si>
    <t>#11#14</t>
  </si>
  <si>
    <t>LE1114</t>
  </si>
  <si>
    <t>Ties Zone</t>
  </si>
  <si>
    <t>Power construction</t>
  </si>
  <si>
    <t>#11#18</t>
  </si>
  <si>
    <t>LE1118</t>
  </si>
  <si>
    <t xml:space="preserve">    Zone1</t>
  </si>
  <si>
    <t>Count</t>
  </si>
  <si>
    <t>Alta Groups</t>
  </si>
  <si>
    <t>#11#10</t>
  </si>
  <si>
    <t>LE1110</t>
  </si>
  <si>
    <t xml:space="preserve">    Zone2</t>
  </si>
  <si>
    <t>Spacing</t>
  </si>
  <si>
    <t>Regional Steel Corporation</t>
  </si>
  <si>
    <t>#14#18</t>
  </si>
  <si>
    <t>LE1418</t>
  </si>
  <si>
    <t xml:space="preserve">    Zone3</t>
  </si>
  <si>
    <t>C&amp;N Reinforcing</t>
  </si>
  <si>
    <t>#14#11</t>
  </si>
  <si>
    <t>LE1411</t>
  </si>
  <si>
    <t xml:space="preserve">   Default Value</t>
  </si>
  <si>
    <t>Marvella</t>
  </si>
  <si>
    <t>#14#10</t>
  </si>
  <si>
    <t>LE1410</t>
  </si>
  <si>
    <t>Additional Ties Count</t>
  </si>
  <si>
    <t>Associated Rebar</t>
  </si>
  <si>
    <t>#18#14</t>
  </si>
  <si>
    <t>LE1814</t>
  </si>
  <si>
    <t>Template Ties</t>
  </si>
  <si>
    <t>Related Group</t>
  </si>
  <si>
    <t>#18#11</t>
  </si>
  <si>
    <t>LE1811</t>
  </si>
  <si>
    <t>Transpacific Steel</t>
  </si>
  <si>
    <t>#18#10</t>
  </si>
  <si>
    <t>LE1810</t>
  </si>
  <si>
    <t>Vertical Dowels</t>
  </si>
  <si>
    <t>Harris - Texas</t>
  </si>
  <si>
    <t>#6#5</t>
  </si>
  <si>
    <t>LE0605</t>
  </si>
  <si>
    <t>#6#10</t>
  </si>
  <si>
    <t>LE0610</t>
  </si>
  <si>
    <t>#7#5</t>
  </si>
  <si>
    <t>LE0705</t>
  </si>
  <si>
    <t>#7#6</t>
  </si>
  <si>
    <t>LE0706</t>
  </si>
  <si>
    <t>#8#5</t>
  </si>
  <si>
    <t>LE0805</t>
  </si>
  <si>
    <t>#8#6</t>
  </si>
  <si>
    <t>LE0806</t>
  </si>
  <si>
    <t>#8#7</t>
  </si>
  <si>
    <t>LE0807</t>
  </si>
  <si>
    <t>Accessories/Others</t>
  </si>
  <si>
    <t>#8#14</t>
  </si>
  <si>
    <t>LE0814</t>
  </si>
  <si>
    <t>#9#6</t>
  </si>
  <si>
    <t>LE0906</t>
  </si>
  <si>
    <t>#9#7</t>
  </si>
  <si>
    <t>LE0907</t>
  </si>
  <si>
    <t>#9#8</t>
  </si>
  <si>
    <t>LE0908</t>
  </si>
  <si>
    <t>#9#18</t>
  </si>
  <si>
    <t>LE0918</t>
  </si>
  <si>
    <t>#10#6</t>
  </si>
  <si>
    <t>LE1006</t>
  </si>
  <si>
    <t>#10#7</t>
  </si>
  <si>
    <t>LE1007</t>
  </si>
  <si>
    <t>#10#8</t>
  </si>
  <si>
    <t>LE1008</t>
  </si>
  <si>
    <t>#10#9</t>
  </si>
  <si>
    <t>LE1009</t>
  </si>
  <si>
    <t>#11#7</t>
  </si>
  <si>
    <t>LE1107</t>
  </si>
  <si>
    <t>#11#8</t>
  </si>
  <si>
    <t>LE1108</t>
  </si>
  <si>
    <t>#11#9</t>
  </si>
  <si>
    <t>LE1109</t>
  </si>
  <si>
    <t>#14#8</t>
  </si>
  <si>
    <t>LE1408</t>
  </si>
  <si>
    <t>#14#9</t>
  </si>
  <si>
    <t>LE1409</t>
  </si>
  <si>
    <t>#18#8</t>
  </si>
  <si>
    <t>LE1808</t>
  </si>
  <si>
    <t>#18#9</t>
  </si>
  <si>
    <t>LE1819</t>
  </si>
  <si>
    <t>051</t>
  </si>
  <si>
    <t>023</t>
  </si>
  <si>
    <t>3=</t>
  </si>
  <si>
    <t>HRC55503</t>
  </si>
  <si>
    <t>4=</t>
  </si>
  <si>
    <t>HRC55504</t>
  </si>
  <si>
    <t>5=</t>
  </si>
  <si>
    <t>HRC55505</t>
  </si>
  <si>
    <t>6=</t>
  </si>
  <si>
    <t>HRC55506</t>
  </si>
  <si>
    <t>7=</t>
  </si>
  <si>
    <t>HRC55507</t>
  </si>
  <si>
    <t>8=</t>
  </si>
  <si>
    <t>HRC55508</t>
  </si>
  <si>
    <t>610</t>
  </si>
  <si>
    <t>9=</t>
  </si>
  <si>
    <t>HRC55509</t>
  </si>
  <si>
    <t>10=</t>
  </si>
  <si>
    <t>HRC55510</t>
  </si>
  <si>
    <t>11=</t>
  </si>
  <si>
    <t>HRC55511</t>
  </si>
  <si>
    <t>14=</t>
  </si>
  <si>
    <t>HRC55514</t>
  </si>
  <si>
    <t>18=</t>
  </si>
  <si>
    <t>HRC55518</t>
  </si>
  <si>
    <t>2429 CBL</t>
  </si>
  <si>
    <t>4   .15</t>
  </si>
  <si>
    <t>3*</t>
  </si>
  <si>
    <t>3+*</t>
  </si>
  <si>
    <t>4*</t>
  </si>
  <si>
    <t>4+*</t>
  </si>
  <si>
    <t>EL12D6</t>
  </si>
  <si>
    <t>5*</t>
  </si>
  <si>
    <t>5+*</t>
  </si>
  <si>
    <t>EL16D6</t>
  </si>
  <si>
    <t>6*</t>
  </si>
  <si>
    <t>6+*</t>
  </si>
  <si>
    <t>EL20D6</t>
  </si>
  <si>
    <t>7*</t>
  </si>
  <si>
    <t>7+*</t>
  </si>
  <si>
    <t>EL22D6</t>
  </si>
  <si>
    <t>8*</t>
  </si>
  <si>
    <t>8+*</t>
  </si>
  <si>
    <t>EL25D6</t>
  </si>
  <si>
    <t>9*</t>
  </si>
  <si>
    <t>9+*</t>
  </si>
  <si>
    <t>EL28D6</t>
  </si>
  <si>
    <t>10*</t>
  </si>
  <si>
    <t>10+*</t>
  </si>
  <si>
    <t>EL32D6</t>
  </si>
  <si>
    <t>11*</t>
  </si>
  <si>
    <t>11+*</t>
  </si>
  <si>
    <t>EL36D6</t>
  </si>
  <si>
    <t>14*</t>
  </si>
  <si>
    <t>14+*</t>
  </si>
  <si>
    <t>EL43D6</t>
  </si>
  <si>
    <t>18*</t>
  </si>
  <si>
    <t>18+*</t>
  </si>
  <si>
    <t>EL57D6</t>
  </si>
  <si>
    <t>380+</t>
  </si>
  <si>
    <t>300+</t>
  </si>
  <si>
    <t>Term03</t>
  </si>
  <si>
    <t>480+</t>
  </si>
  <si>
    <t>400+</t>
  </si>
  <si>
    <t>Term04</t>
  </si>
  <si>
    <t>580+</t>
  </si>
  <si>
    <t>500+</t>
  </si>
  <si>
    <t>Term05</t>
  </si>
  <si>
    <t>680+</t>
  </si>
  <si>
    <t>600+</t>
  </si>
  <si>
    <t>Term06</t>
  </si>
  <si>
    <t>780+</t>
  </si>
  <si>
    <t>700+</t>
  </si>
  <si>
    <t>Term07</t>
  </si>
  <si>
    <t>880+</t>
  </si>
  <si>
    <t>800+</t>
  </si>
  <si>
    <t>Term08</t>
  </si>
  <si>
    <t>980+</t>
  </si>
  <si>
    <t>900+</t>
  </si>
  <si>
    <t>Term09</t>
  </si>
  <si>
    <t>1080+</t>
  </si>
  <si>
    <t>1000+</t>
  </si>
  <si>
    <t>Term10</t>
  </si>
  <si>
    <t>1180+</t>
  </si>
  <si>
    <t>1100+</t>
  </si>
  <si>
    <t>Term11</t>
  </si>
  <si>
    <t>1480+</t>
  </si>
  <si>
    <t>1400+</t>
  </si>
  <si>
    <t>Term14</t>
  </si>
  <si>
    <t>1880+</t>
  </si>
  <si>
    <t>1800+</t>
  </si>
  <si>
    <t>Term18</t>
  </si>
  <si>
    <t>500HRC4</t>
  </si>
  <si>
    <t>510HRC4</t>
  </si>
  <si>
    <t>500HRC5</t>
  </si>
  <si>
    <t>510HRC5</t>
  </si>
  <si>
    <t>500HRC6</t>
  </si>
  <si>
    <t>510HRC6</t>
  </si>
  <si>
    <t>500HRC7</t>
  </si>
  <si>
    <t>510HRC7</t>
  </si>
  <si>
    <t>500HRC8</t>
  </si>
  <si>
    <t>510HRC8</t>
  </si>
  <si>
    <t>500HRC9</t>
  </si>
  <si>
    <t>510HRC9</t>
  </si>
  <si>
    <t>500HRC10</t>
  </si>
  <si>
    <t>510HRC10</t>
  </si>
  <si>
    <t>500HRC11</t>
  </si>
  <si>
    <t>510HRC11</t>
  </si>
  <si>
    <t>500HRC14</t>
  </si>
  <si>
    <t>510HRC14</t>
  </si>
  <si>
    <t>500HRC18</t>
  </si>
  <si>
    <t>510HRC18</t>
  </si>
  <si>
    <t>501HRC6</t>
  </si>
  <si>
    <t>502HRC7</t>
  </si>
  <si>
    <t>503H0805</t>
  </si>
  <si>
    <t>501HRC7</t>
  </si>
  <si>
    <t>502HRC8</t>
  </si>
  <si>
    <t>503HRC09</t>
  </si>
  <si>
    <t>504HRC10</t>
  </si>
  <si>
    <t>501HRC8</t>
  </si>
  <si>
    <t>502H0907</t>
  </si>
  <si>
    <t>503HRC10</t>
  </si>
  <si>
    <t>501H0809</t>
  </si>
  <si>
    <t>502HRC10</t>
  </si>
  <si>
    <t>503H0811</t>
  </si>
  <si>
    <t>505HRC14</t>
  </si>
  <si>
    <t>501HRC9</t>
  </si>
  <si>
    <t>501HRC10</t>
  </si>
  <si>
    <t>502H0911</t>
  </si>
  <si>
    <t>503HRC14</t>
  </si>
  <si>
    <t>502HR189</t>
  </si>
  <si>
    <t>501HRC11</t>
  </si>
  <si>
    <t>502HRC14</t>
  </si>
  <si>
    <t>503HRC18</t>
  </si>
  <si>
    <t>502H1107</t>
  </si>
  <si>
    <t>503H1108</t>
  </si>
  <si>
    <t>502HRC11</t>
  </si>
  <si>
    <t>501H1114</t>
  </si>
  <si>
    <t>502HRC18</t>
  </si>
  <si>
    <t>501HRC14</t>
  </si>
  <si>
    <t>501HRC18</t>
  </si>
  <si>
    <t>505HRC18</t>
  </si>
  <si>
    <t>#5#4</t>
  </si>
  <si>
    <t>501HRC5</t>
  </si>
  <si>
    <t>502HRC9</t>
  </si>
  <si>
    <t>EL12A2</t>
  </si>
  <si>
    <t>EL16A2</t>
  </si>
  <si>
    <t>EL20A2</t>
  </si>
  <si>
    <t>EL22A2</t>
  </si>
  <si>
    <t>EL25A2</t>
  </si>
  <si>
    <t>EL28A2</t>
  </si>
  <si>
    <t>EL32A2</t>
  </si>
  <si>
    <t>EL36A2</t>
  </si>
  <si>
    <t>EL43A2</t>
  </si>
  <si>
    <t>EL57A2</t>
  </si>
  <si>
    <t>sds</t>
  </si>
  <si>
    <t>Lap schedule</t>
  </si>
  <si>
    <t>0-10</t>
  </si>
  <si>
    <t>2-0</t>
  </si>
  <si>
    <t>Grade 60</t>
  </si>
  <si>
    <t>Grade 80</t>
  </si>
  <si>
    <t>Grade 75</t>
  </si>
  <si>
    <t>Per Level</t>
  </si>
  <si>
    <t>Per Bar Size T</t>
  </si>
  <si>
    <t>Per Level T</t>
  </si>
  <si>
    <t>LAP</t>
  </si>
  <si>
    <t>Type</t>
  </si>
  <si>
    <t>Long</t>
  </si>
  <si>
    <t>Short</t>
  </si>
  <si>
    <t>Circular</t>
  </si>
  <si>
    <t>L-V Bar Count</t>
  </si>
  <si>
    <t>S-V Bar Count</t>
  </si>
  <si>
    <t>Quantity</t>
  </si>
  <si>
    <t>Grade T</t>
  </si>
  <si>
    <t>Helper Column LAP</t>
  </si>
  <si>
    <t>Bar Count</t>
  </si>
  <si>
    <t>Width</t>
  </si>
  <si>
    <t>Breath</t>
  </si>
  <si>
    <t>Ties Select</t>
  </si>
  <si>
    <t>VBars Hook</t>
  </si>
  <si>
    <t>C-Length</t>
  </si>
  <si>
    <t>Length Help</t>
  </si>
  <si>
    <t>Ties Zone1 Size</t>
  </si>
  <si>
    <t>Ties Zone1 Count</t>
  </si>
  <si>
    <t>Height Help</t>
  </si>
  <si>
    <t>Overall Ties length</t>
  </si>
  <si>
    <t>Ties Weight</t>
  </si>
  <si>
    <t>VertPart</t>
  </si>
  <si>
    <t>Ties zone1Size</t>
  </si>
  <si>
    <t>Ties zone2Size</t>
  </si>
  <si>
    <t>Ties zone3Size</t>
  </si>
  <si>
    <t>H/6, Max D, 18"</t>
  </si>
  <si>
    <t>Ties zone1Span</t>
  </si>
  <si>
    <t>Ties zone2Span</t>
  </si>
  <si>
    <t>Ties zone3Span</t>
  </si>
  <si>
    <t>Zone 1 Count</t>
  </si>
  <si>
    <t>Zone 2 Count</t>
  </si>
  <si>
    <t>Zone 3 Count</t>
  </si>
  <si>
    <t>Overall length</t>
  </si>
  <si>
    <t>VDwl-Vbars</t>
  </si>
  <si>
    <t>VDwls-Size</t>
  </si>
  <si>
    <t>Length 1</t>
  </si>
  <si>
    <t>Length 2</t>
  </si>
  <si>
    <t>Total Length</t>
  </si>
  <si>
    <t>QTY - Dwls</t>
  </si>
  <si>
    <t>Bar Size - Dwls</t>
  </si>
  <si>
    <t>Length - Dwls</t>
  </si>
  <si>
    <t>Temp Ties</t>
  </si>
  <si>
    <t>Addl Ties</t>
  </si>
  <si>
    <t>VertDwl-Thead</t>
  </si>
  <si>
    <t>TopDwl-Bar Size</t>
  </si>
  <si>
    <t>RM-Mark</t>
  </si>
  <si>
    <t>RM-Height</t>
  </si>
  <si>
    <t>Help-Height</t>
  </si>
  <si>
    <t>RM-Size</t>
  </si>
  <si>
    <t>VD - Coupler-FM</t>
  </si>
  <si>
    <t>Dwl - Coupler - FM</t>
  </si>
  <si>
    <t>Ties_Count</t>
  </si>
  <si>
    <t>H/8, Max D, 18"</t>
  </si>
  <si>
    <t>A</t>
  </si>
  <si>
    <t>B</t>
  </si>
  <si>
    <t>C</t>
  </si>
  <si>
    <t>SIZE</t>
  </si>
  <si>
    <t>VERTICAL</t>
  </si>
  <si>
    <t>TIES 1</t>
  </si>
  <si>
    <t>TIES 2</t>
  </si>
  <si>
    <t>TIES 3</t>
  </si>
  <si>
    <t>TYPE</t>
  </si>
  <si>
    <t>COUPLER</t>
  </si>
  <si>
    <t>DOWELS</t>
  </si>
  <si>
    <t>qty</t>
  </si>
  <si>
    <t>S. No</t>
  </si>
  <si>
    <t xml:space="preserve">     T-Head</t>
  </si>
  <si>
    <t>type</t>
  </si>
  <si>
    <t>size</t>
  </si>
  <si>
    <t>mark</t>
  </si>
  <si>
    <t>create</t>
  </si>
  <si>
    <t>Inte Rebar</t>
  </si>
  <si>
    <t>3 G80</t>
  </si>
  <si>
    <t>4 G80</t>
  </si>
  <si>
    <t>5 G80</t>
  </si>
  <si>
    <t>6 G80</t>
  </si>
  <si>
    <t>7 G80</t>
  </si>
  <si>
    <t>8 G80</t>
  </si>
  <si>
    <t>9 G80</t>
  </si>
  <si>
    <t>10 G80</t>
  </si>
  <si>
    <t>11 G80</t>
  </si>
  <si>
    <t>14 G80</t>
  </si>
  <si>
    <t>18 G80</t>
  </si>
  <si>
    <t>5+G80</t>
  </si>
  <si>
    <t>4+G80</t>
  </si>
  <si>
    <t>3+G80</t>
  </si>
  <si>
    <t>6+G80</t>
  </si>
  <si>
    <t>7+G80</t>
  </si>
  <si>
    <t>8+G80</t>
  </si>
  <si>
    <t>9+G80</t>
  </si>
  <si>
    <t>10+G80</t>
  </si>
  <si>
    <t>11+G80</t>
  </si>
  <si>
    <t>14+G80</t>
  </si>
  <si>
    <t>18+G80</t>
  </si>
  <si>
    <t>TERM04</t>
  </si>
  <si>
    <t>TERM05</t>
  </si>
  <si>
    <t>TERM06</t>
  </si>
  <si>
    <t>TERM07</t>
  </si>
  <si>
    <t>TERM08</t>
  </si>
  <si>
    <t>TERM09</t>
  </si>
  <si>
    <t>TERM10</t>
  </si>
  <si>
    <t>TERM11</t>
  </si>
  <si>
    <t>TERM14</t>
  </si>
  <si>
    <t>TERM18</t>
  </si>
  <si>
    <t>TERM03</t>
  </si>
  <si>
    <t>Lig Support</t>
  </si>
  <si>
    <t>SPI_Dia</t>
  </si>
  <si>
    <t>SPI_Pitch</t>
  </si>
  <si>
    <t>SIP_Extruns</t>
  </si>
  <si>
    <t>SIP_BT</t>
  </si>
  <si>
    <t>Sub_Length</t>
  </si>
  <si>
    <t>S Count</t>
  </si>
  <si>
    <t>Side</t>
  </si>
  <si>
    <t>Close Tie Names</t>
  </si>
  <si>
    <t>Cross Tie Names</t>
  </si>
  <si>
    <t>Category</t>
  </si>
  <si>
    <t>Name</t>
  </si>
  <si>
    <t>Shape</t>
  </si>
  <si>
    <t>Matched Size</t>
  </si>
  <si>
    <t>Bar Spacing</t>
  </si>
  <si>
    <t>LEVEL 01</t>
  </si>
  <si>
    <t>3'-6.00"</t>
  </si>
  <si>
    <t>'22-1</t>
  </si>
  <si>
    <t>LEVEL 02</t>
  </si>
  <si>
    <t>25'-7.00"</t>
  </si>
  <si>
    <t>'10-7</t>
  </si>
  <si>
    <t>LEVEL 03</t>
  </si>
  <si>
    <t>36'-2.00"</t>
  </si>
  <si>
    <t>LEVEL 04</t>
  </si>
  <si>
    <t>46'-9.00"</t>
  </si>
  <si>
    <t>LEVEL 05</t>
  </si>
  <si>
    <t>57'-4.00"</t>
  </si>
  <si>
    <t>LEVEL 06</t>
  </si>
  <si>
    <t>67'-11.00"</t>
  </si>
  <si>
    <t>LEVEL 07</t>
  </si>
  <si>
    <t>78'-6.00"</t>
  </si>
  <si>
    <t>LEVEL 08</t>
  </si>
  <si>
    <t>89'-1.00"</t>
  </si>
  <si>
    <t>LEVEL 09</t>
  </si>
  <si>
    <t>99'-8.00"</t>
  </si>
  <si>
    <t>LEVEL 10</t>
  </si>
  <si>
    <t>110'-3.00"</t>
  </si>
  <si>
    <t>LEVEL 11</t>
  </si>
  <si>
    <t>120'-10.00"</t>
  </si>
  <si>
    <t>LEVEL 12</t>
  </si>
  <si>
    <t>131'-5.00"</t>
  </si>
  <si>
    <t>ROOF TOP</t>
  </si>
  <si>
    <t>142'-0.00"</t>
  </si>
  <si>
    <t>'15-0</t>
  </si>
  <si>
    <t>STAIR ROOF TOP</t>
  </si>
  <si>
    <t>157'-0.00"</t>
  </si>
  <si>
    <t>'None</t>
  </si>
  <si>
    <t>12 x 56</t>
  </si>
  <si>
    <t>14 - #7</t>
  </si>
  <si>
    <t>#3 @ 6"</t>
  </si>
  <si>
    <t>#3 @ 12"</t>
  </si>
  <si>
    <t>14ARC</t>
  </si>
  <si>
    <t>8 x 36</t>
  </si>
  <si>
    <t>6 - #7</t>
  </si>
  <si>
    <t>#3 @ 8"</t>
  </si>
  <si>
    <t>6R</t>
  </si>
  <si>
    <t>24 x 36</t>
  </si>
  <si>
    <t>12 - #9</t>
  </si>
  <si>
    <t>12R</t>
  </si>
  <si>
    <t>16 - #11</t>
  </si>
  <si>
    <t>#4 @ 6"</t>
  </si>
  <si>
    <t>#4 @ 12"</t>
  </si>
  <si>
    <t>16R</t>
  </si>
  <si>
    <t>14 x 24</t>
  </si>
  <si>
    <t>16 x 30</t>
  </si>
  <si>
    <t>8 - #7</t>
  </si>
  <si>
    <t>8R</t>
  </si>
  <si>
    <t>18 - #9</t>
  </si>
  <si>
    <t>18R</t>
  </si>
  <si>
    <t>8 - #10</t>
  </si>
  <si>
    <t>36" dia</t>
  </si>
  <si>
    <t>10 - #10</t>
  </si>
  <si>
    <t>30" dia</t>
  </si>
  <si>
    <t>6 - #10</t>
  </si>
  <si>
    <t>10 - #8</t>
  </si>
  <si>
    <t>18 x 30</t>
  </si>
  <si>
    <t>10 - #7</t>
  </si>
  <si>
    <t>10R</t>
  </si>
  <si>
    <t>20 x 36</t>
  </si>
  <si>
    <t>24 x 30</t>
  </si>
  <si>
    <t>18 x 72</t>
  </si>
  <si>
    <t>12 - #10</t>
  </si>
  <si>
    <t>16 - #9</t>
  </si>
  <si>
    <t>8 - #9</t>
  </si>
  <si>
    <t>36 x 36</t>
  </si>
  <si>
    <t>16 x 24</t>
  </si>
  <si>
    <t>24" dia</t>
  </si>
  <si>
    <t>BELLA MAR HOLLYWOOD</t>
  </si>
  <si>
    <t>0-8</t>
  </si>
  <si>
    <t>3-0</t>
  </si>
  <si>
    <t>1-0</t>
  </si>
  <si>
    <t>0"</t>
  </si>
  <si>
    <t>0-0</t>
  </si>
  <si>
    <t>1-6</t>
  </si>
  <si>
    <t>1-10</t>
  </si>
  <si>
    <t>2-8</t>
  </si>
  <si>
    <t>2-6</t>
  </si>
  <si>
    <t>3-4</t>
  </si>
  <si>
    <t>3-2</t>
  </si>
  <si>
    <t>4-0</t>
  </si>
  <si>
    <t>3-9</t>
  </si>
  <si>
    <t>3-6</t>
  </si>
  <si>
    <t>4-8</t>
  </si>
  <si>
    <t>4-4</t>
  </si>
  <si>
    <t>5-4</t>
  </si>
  <si>
    <t>5-0</t>
  </si>
  <si>
    <t>4-6</t>
  </si>
  <si>
    <t>6-0</t>
  </si>
  <si>
    <t>5-8</t>
  </si>
  <si>
    <t>5-1</t>
  </si>
  <si>
    <t>6-9</t>
  </si>
  <si>
    <t>6-4</t>
  </si>
  <si>
    <t>7-7</t>
  </si>
  <si>
    <t>7-1</t>
  </si>
  <si>
    <t/>
  </si>
  <si>
    <t>12-3</t>
  </si>
  <si>
    <t>19-7</t>
  </si>
  <si>
    <t>21-7</t>
  </si>
  <si>
    <t>5-10</t>
  </si>
  <si>
    <t>5-6</t>
  </si>
  <si>
    <t>1</t>
  </si>
  <si>
    <t>MARK - 1</t>
  </si>
  <si>
    <t>MARK - 10</t>
  </si>
  <si>
    <t>MARK - 11</t>
  </si>
  <si>
    <t>MARK - 12</t>
  </si>
  <si>
    <t>MARK - 13</t>
  </si>
  <si>
    <t>MARK - 14</t>
  </si>
  <si>
    <t>MARK - 15</t>
  </si>
  <si>
    <t>MARK - 16</t>
  </si>
  <si>
    <t>MARK - 17</t>
  </si>
  <si>
    <t>MARK - 18</t>
  </si>
  <si>
    <t>MARK - 19</t>
  </si>
  <si>
    <t>MARK - 2</t>
  </si>
  <si>
    <t>MARK - 20</t>
  </si>
  <si>
    <t>MARK - 21</t>
  </si>
  <si>
    <t>MARK - 22</t>
  </si>
  <si>
    <t>MARK - 23</t>
  </si>
  <si>
    <t>MARK - 24</t>
  </si>
  <si>
    <t>MARK - 25</t>
  </si>
  <si>
    <t>MARK - 26</t>
  </si>
  <si>
    <t>MARK - 27</t>
  </si>
  <si>
    <t>MARK - 28</t>
  </si>
  <si>
    <t>MARK - 29</t>
  </si>
  <si>
    <t>MARK - 3</t>
  </si>
  <si>
    <t>MARK - 30</t>
  </si>
  <si>
    <t>MARK - 31</t>
  </si>
  <si>
    <t>MARK - 32</t>
  </si>
  <si>
    <t>MARK - 33</t>
  </si>
  <si>
    <t>MARK - 34</t>
  </si>
  <si>
    <t>MARK - 35</t>
  </si>
  <si>
    <t>MARK - 36</t>
  </si>
  <si>
    <t>MARK - 37</t>
  </si>
  <si>
    <t>MARK - 38</t>
  </si>
  <si>
    <t>MARK - 39</t>
  </si>
  <si>
    <t>MARK - 4</t>
  </si>
  <si>
    <t>MARK - 40</t>
  </si>
  <si>
    <t>MARK - 41</t>
  </si>
  <si>
    <t>MARK - 42</t>
  </si>
  <si>
    <t>MARK - 43</t>
  </si>
  <si>
    <t>MARK - 44</t>
  </si>
  <si>
    <t>MARK - 45</t>
  </si>
  <si>
    <t>MARK - 46</t>
  </si>
  <si>
    <t>MARK - 47</t>
  </si>
  <si>
    <t>MARK - 48</t>
  </si>
  <si>
    <t>MARK - 49</t>
  </si>
  <si>
    <t>MARK - 5</t>
  </si>
  <si>
    <t>MARK - 50</t>
  </si>
  <si>
    <t>MARK - 51</t>
  </si>
  <si>
    <t>MARK - 52</t>
  </si>
  <si>
    <t>MARK - 53</t>
  </si>
  <si>
    <t>MARK - 54</t>
  </si>
  <si>
    <t>MARK - 55</t>
  </si>
  <si>
    <t>MARK - 56</t>
  </si>
  <si>
    <t>MARK - 57</t>
  </si>
  <si>
    <t>MARK - 58</t>
  </si>
  <si>
    <t>MARK - 59</t>
  </si>
  <si>
    <t>MARK - 6</t>
  </si>
  <si>
    <t>MARK - 60</t>
  </si>
  <si>
    <t>MARK - 61</t>
  </si>
  <si>
    <t>MARK - 62</t>
  </si>
  <si>
    <t>MARK - 63</t>
  </si>
  <si>
    <t>MARK - 64</t>
  </si>
  <si>
    <t>MARK - 65</t>
  </si>
  <si>
    <t>MARK - 66</t>
  </si>
  <si>
    <t>MARK - 67</t>
  </si>
  <si>
    <t>MARK - 7</t>
  </si>
  <si>
    <t>MARK - 8</t>
  </si>
  <si>
    <t>MARK - 9</t>
  </si>
  <si>
    <t>VARIOUS</t>
  </si>
  <si>
    <t>SIZE: 12 x 56</t>
  </si>
  <si>
    <t>SIZE: 8 x 36</t>
  </si>
  <si>
    <t>SIZE: 24 x 36</t>
  </si>
  <si>
    <t>SIZE: 14 x 24</t>
  </si>
  <si>
    <t>SIZE: 16 x 30</t>
  </si>
  <si>
    <t>SIZE: VARIOUS</t>
  </si>
  <si>
    <t>SIZE: 30" dia</t>
  </si>
  <si>
    <t>SIZE: 16 x 24</t>
  </si>
  <si>
    <t>SIZE: 24" dia</t>
  </si>
  <si>
    <t>SIZE: 18 x 30</t>
  </si>
  <si>
    <t>HEIGHT: 19-7</t>
  </si>
  <si>
    <t>HEIGHT: 21-7</t>
  </si>
  <si>
    <t>HEIGHT: 12-3</t>
  </si>
  <si>
    <t>HEIGHT: 138-0</t>
  </si>
  <si>
    <t>HEIGHT: 127-5</t>
  </si>
  <si>
    <t>HEIGHT: 136-0</t>
  </si>
  <si>
    <t>HEIGHT: 116-5</t>
  </si>
  <si>
    <t>LEVEL 01 VERT DWLS</t>
  </si>
  <si>
    <t>Hea</t>
  </si>
  <si>
    <t>LEVEL 02 VERT DWLS</t>
  </si>
  <si>
    <t>LEVEL 01 VERT</t>
  </si>
  <si>
    <t>LEVEL 02 VERT</t>
  </si>
  <si>
    <t>LEVEL 03 VERT</t>
  </si>
  <si>
    <t>LEVEL 04 VERT</t>
  </si>
  <si>
    <t>LEVEL 05 VERT</t>
  </si>
  <si>
    <t>LEVEL 06 VERT</t>
  </si>
  <si>
    <t>LEVEL 07 VERT</t>
  </si>
  <si>
    <t>LEVEL 08 VERT</t>
  </si>
  <si>
    <t>LEVEL 09 VERT</t>
  </si>
  <si>
    <t>LEVEL 10 VERT</t>
  </si>
  <si>
    <t>LEVEL 11 VERT</t>
  </si>
  <si>
    <t>LEVEL 12 VERT</t>
  </si>
  <si>
    <t>10</t>
  </si>
  <si>
    <t>LEVEL 01 Loose Dwls</t>
  </si>
  <si>
    <t>Str</t>
  </si>
  <si>
    <t>6</t>
  </si>
  <si>
    <t>5</t>
  </si>
  <si>
    <t>LEVEL 01 Ties-Z1</t>
  </si>
  <si>
    <t>Lig</t>
  </si>
  <si>
    <t>LEVEL 02 Ties-Z1</t>
  </si>
  <si>
    <t>LEVEL 03 Ties-Z1</t>
  </si>
  <si>
    <t>LEVEL 04 Ties-Z1</t>
  </si>
  <si>
    <t>LEVEL 05 Ties-Z1</t>
  </si>
  <si>
    <t>LEVEL 06 Ties-Z1</t>
  </si>
  <si>
    <t>LEVEL 07 Ties-Z1</t>
  </si>
  <si>
    <t>LEVEL 08 Ties-Z1</t>
  </si>
  <si>
    <t>LEVEL 09 Ties-Z1</t>
  </si>
  <si>
    <t>LEVEL 10 Ties-Z1</t>
  </si>
  <si>
    <t>LEVEL 11 Ties-Z1</t>
  </si>
  <si>
    <t>LEVEL 12 Ties-Z1</t>
  </si>
  <si>
    <t>LEVEL 01 Ties-Z2</t>
  </si>
  <si>
    <t>LEVEL 02 Ties-Z2</t>
  </si>
  <si>
    <t>LEVEL 03 Ties-Z2</t>
  </si>
  <si>
    <t>LEVEL 04 Ties-Z2</t>
  </si>
  <si>
    <t>LEVEL 05 Ties-Z2</t>
  </si>
  <si>
    <t>LEVEL 06 Ties-Z2</t>
  </si>
  <si>
    <t>LEVEL 07 Ties-Z2</t>
  </si>
  <si>
    <t>LEVEL 08 Ties-Z2</t>
  </si>
  <si>
    <t>LEVEL 09 Ties-Z2</t>
  </si>
  <si>
    <t>LEVEL 10 Ties-Z2</t>
  </si>
  <si>
    <t>LEVEL 11 Ties-Z2</t>
  </si>
  <si>
    <t>LEVEL 12 Ties-Z2</t>
  </si>
  <si>
    <t>LEVEL 01 Ties-Z3</t>
  </si>
  <si>
    <t>LEVEL 02 Ties-Z3</t>
  </si>
  <si>
    <t>LEVEL 03 Ties-Z3</t>
  </si>
  <si>
    <t>LEVEL 04 Ties-Z3</t>
  </si>
  <si>
    <t>LEVEL 05 Ties-Z3</t>
  </si>
  <si>
    <t>LEVEL 06 Ties-Z3</t>
  </si>
  <si>
    <t>LEVEL 07 Ties-Z3</t>
  </si>
  <si>
    <t>LEVEL 08 Ties-Z3</t>
  </si>
  <si>
    <t>LEVEL 09 Ties-Z3</t>
  </si>
  <si>
    <t>LEVEL 10 Ties-Z3</t>
  </si>
  <si>
    <t>LEVEL 11 Ties-Z3</t>
  </si>
  <si>
    <t>LEVEL 12 Ties-Z3</t>
  </si>
  <si>
    <t>LEVEL 01 TEMP TIES</t>
  </si>
  <si>
    <t>LEVEL 02 TEMP TIES</t>
  </si>
  <si>
    <t>LEVEL 01 ADDL TIES</t>
  </si>
  <si>
    <t>LEVEL 02 ADDL TIES</t>
  </si>
  <si>
    <t>LEVEL 03 ADDL TIES</t>
  </si>
  <si>
    <t>LEVEL 04 ADDL TIES</t>
  </si>
  <si>
    <t>LEVEL 05 ADDL TIES</t>
  </si>
  <si>
    <t>LEVEL 06 ADDL TIES</t>
  </si>
  <si>
    <t>LEVEL 07 ADDL TIES</t>
  </si>
  <si>
    <t>LEVEL 08 ADDL TIES</t>
  </si>
  <si>
    <t>LEVEL 09 ADDL TIES</t>
  </si>
  <si>
    <t>LEVEL 10 ADDL TIES</t>
  </si>
  <si>
    <t>LEVEL 11 ADDL TIES</t>
  </si>
  <si>
    <t>LEVEL 12 ADDL TIES</t>
  </si>
  <si>
    <t>Class</t>
  </si>
  <si>
    <t>1,1 1,4 3,4 3,1</t>
  </si>
  <si>
    <t>2,1 2,4 &amp; 1,2 3,2 &amp; 1,3 3,3</t>
  </si>
  <si>
    <t>S135 &amp; S135 &amp; S135</t>
  </si>
  <si>
    <t>S90 &amp; S90 &amp; S90</t>
  </si>
  <si>
    <t>T9 &amp; T9 &amp; T9</t>
  </si>
  <si>
    <t>1,1 1,5 3,5 3,1</t>
  </si>
  <si>
    <t>2,1 2,5 &amp; 1,2 3,2 &amp; 1,3 3,3 &amp; 1,4 3,4</t>
  </si>
  <si>
    <t>S135 &amp; S135 &amp; S135 &amp; S135</t>
  </si>
  <si>
    <t>S90 &amp; S90 &amp; S90 &amp; S90</t>
  </si>
  <si>
    <t>T9 &amp; T9 &amp; T9 &amp; T9</t>
  </si>
  <si>
    <t>1,1 1,6 4,6 4,1</t>
  </si>
  <si>
    <t>2,1 2,6 &amp; 3,1 3,6 &amp; 1,2 4,2 &amp; 1,3 4,3 &amp; 1,4 4,4 &amp; 1,5 4,5</t>
  </si>
  <si>
    <t>S135 &amp; S135 &amp; S135 &amp; S135 &amp; S135 &amp; S135</t>
  </si>
  <si>
    <t>S90 &amp; S90 &amp; S90 &amp; S90 &amp; S90 &amp; S90</t>
  </si>
  <si>
    <t>T9 &amp; T9 &amp; T9 &amp; T9 &amp; T9 &amp; T9</t>
  </si>
  <si>
    <t>1,1 1,3 2,3 2,1</t>
  </si>
  <si>
    <t>1,2 2,2</t>
  </si>
  <si>
    <t>1,1 1,4 2,4 2,1</t>
  </si>
  <si>
    <t>1,2 2,2 &amp; 1,3 2,3</t>
  </si>
  <si>
    <t>S135 &amp; S135</t>
  </si>
  <si>
    <t>S90 &amp; S90</t>
  </si>
  <si>
    <t>T9 &amp; T9</t>
  </si>
  <si>
    <t>1,1 1,5 6,5 6,1</t>
  </si>
  <si>
    <t>1,3 6,3 &amp; 2,1 2,5 &amp; 3,1 3,5 &amp; 4,1 4,5 &amp; 5,1 5,5</t>
  </si>
  <si>
    <t>S135 &amp; S135 &amp; S135 &amp; S135 &amp; S135</t>
  </si>
  <si>
    <t>S90 &amp; S90 &amp; S90 &amp; S90 &amp; S90</t>
  </si>
  <si>
    <t>T9 &amp; T9 &amp; T9 &amp; T9 &amp; T9</t>
  </si>
  <si>
    <t>0-6</t>
  </si>
  <si>
    <t>yuiyu</t>
  </si>
  <si>
    <t>hjhjkjkl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</si>
</sst>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[&gt;=1]&quot;'#'0'&quot;;[&gt;=0.0833]&quot;'#'0&quot;;"/>
    <numFmt numFmtId="165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BE5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83">
    <xf numFmtId="0" fontId="0" fillId="0" borderId="0" xfId="0"/>
    <xf numFmtId="0" fontId="1" fillId="2" borderId="0" xfId="0" applyFont="1" applyFill="1"/>
    <xf numFmtId="0" fontId="2" fillId="0" borderId="0" xfId="0" applyFont="1"/>
    <xf numFmtId="0" fontId="2" fillId="3" borderId="0" xfId="0" applyFont="1" applyFill="1"/>
    <xf numFmtId="164" fontId="0" fillId="0" borderId="0" xfId="0" applyNumberFormat="1"/>
    <xf numFmtId="0" fontId="0" fillId="0" borderId="0" xfId="0" applyAlignment="1">
      <alignment horizontal="left"/>
    </xf>
    <xf numFmtId="0" fontId="3" fillId="0" borderId="0" xfId="1"/>
    <xf numFmtId="0" fontId="4" fillId="4" borderId="1" xfId="0" applyFont="1" applyFill="1" applyBorder="1"/>
    <xf numFmtId="0" fontId="4" fillId="4" borderId="0" xfId="0" applyFont="1" applyFill="1" applyAlignment="1">
      <alignment horizontal="center"/>
    </xf>
    <xf numFmtId="0" fontId="4" fillId="5" borderId="1" xfId="0" applyFont="1" applyFill="1" applyBorder="1"/>
    <xf numFmtId="0" fontId="4" fillId="6" borderId="1" xfId="0" applyFont="1" applyFill="1" applyBorder="1"/>
    <xf numFmtId="0" fontId="4" fillId="6" borderId="2" xfId="0" applyFont="1" applyFill="1" applyBorder="1"/>
    <xf numFmtId="0" fontId="4" fillId="5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6" fontId="0" fillId="0" borderId="0" xfId="0" applyNumberFormat="1"/>
    <xf numFmtId="49" fontId="0" fillId="0" borderId="0" xfId="0" applyNumberFormat="1"/>
    <xf numFmtId="49" fontId="4" fillId="6" borderId="1" xfId="0" applyNumberFormat="1" applyFont="1" applyFill="1" applyBorder="1"/>
    <xf numFmtId="0" fontId="2" fillId="7" borderId="0" xfId="0" applyFont="1" applyFill="1"/>
    <xf numFmtId="0" fontId="0" fillId="3" borderId="0" xfId="0" applyFill="1"/>
    <xf numFmtId="49" fontId="0" fillId="0" borderId="0" xfId="0" applyNumberFormat="1" applyAlignment="1">
      <alignment horizontal="left"/>
    </xf>
    <xf numFmtId="0" fontId="4" fillId="4" borderId="2" xfId="0" applyFont="1" applyFill="1" applyBorder="1"/>
    <xf numFmtId="49" fontId="4" fillId="4" borderId="1" xfId="0" applyNumberFormat="1" applyFont="1" applyFill="1" applyBorder="1"/>
    <xf numFmtId="49" fontId="0" fillId="0" borderId="0" xfId="0" quotePrefix="1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0" fillId="0" borderId="0" xfId="0" applyNumberFormat="1"/>
    <xf numFmtId="2" fontId="0" fillId="3" borderId="0" xfId="0" applyNumberFormat="1" applyFill="1"/>
    <xf numFmtId="0" fontId="2" fillId="8" borderId="0" xfId="0" applyFont="1" applyFill="1"/>
    <xf numFmtId="0" fontId="0" fillId="8" borderId="0" xfId="0" applyFill="1"/>
    <xf numFmtId="0" fontId="0" fillId="7" borderId="0" xfId="0" applyFill="1"/>
    <xf numFmtId="1" fontId="0" fillId="7" borderId="0" xfId="0" applyNumberFormat="1" applyFill="1"/>
    <xf numFmtId="0" fontId="0" fillId="6" borderId="0" xfId="0" applyFill="1"/>
    <xf numFmtId="2" fontId="2" fillId="8" borderId="0" xfId="0" applyNumberFormat="1" applyFont="1" applyFill="1"/>
    <xf numFmtId="2" fontId="0" fillId="8" borderId="0" xfId="0" applyNumberFormat="1" applyFill="1"/>
    <xf numFmtId="0" fontId="0" fillId="9" borderId="0" xfId="0" applyFill="1"/>
    <xf numFmtId="0" fontId="2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" fontId="0" fillId="11" borderId="0" xfId="0" applyNumberFormat="1" applyFill="1"/>
    <xf numFmtId="2" fontId="0" fillId="12" borderId="0" xfId="0" applyNumberFormat="1" applyFill="1"/>
    <xf numFmtId="0" fontId="0" fillId="13" borderId="0" xfId="0" applyFill="1"/>
    <xf numFmtId="49" fontId="0" fillId="3" borderId="0" xfId="0" applyNumberFormat="1" applyFill="1"/>
    <xf numFmtId="0" fontId="0" fillId="14" borderId="0" xfId="0" applyFill="1"/>
    <xf numFmtId="0" fontId="0" fillId="9" borderId="0" xfId="0" applyFill="1" applyAlignment="1">
      <alignment horizontal="left"/>
    </xf>
    <xf numFmtId="0" fontId="0" fillId="5" borderId="0" xfId="0" applyFill="1"/>
    <xf numFmtId="2" fontId="0" fillId="5" borderId="0" xfId="0" applyNumberFormat="1" applyFill="1"/>
    <xf numFmtId="0" fontId="0" fillId="0" borderId="0" xfId="0" applyProtection="1">
      <protection locked="0"/>
    </xf>
    <xf numFmtId="0" fontId="5" fillId="0" borderId="0" xfId="0" applyFont="1"/>
    <xf numFmtId="0" fontId="5" fillId="16" borderId="0" xfId="0" applyFont="1" applyFill="1"/>
    <xf numFmtId="0" fontId="0" fillId="16" borderId="0" xfId="0" applyFill="1"/>
    <xf numFmtId="49" fontId="6" fillId="0" borderId="0" xfId="0" applyNumberFormat="1" applyFont="1"/>
    <xf numFmtId="49" fontId="5" fillId="0" borderId="0" xfId="0" applyNumberFormat="1" applyFont="1"/>
    <xf numFmtId="0" fontId="7" fillId="0" borderId="0" xfId="0" applyFont="1"/>
    <xf numFmtId="0" fontId="5" fillId="3" borderId="0" xfId="0" applyFont="1" applyFill="1"/>
    <xf numFmtId="0" fontId="7" fillId="3" borderId="0" xfId="0" applyFont="1" applyFill="1"/>
    <xf numFmtId="1" fontId="0" fillId="0" borderId="0" xfId="0" applyNumberFormat="1" applyAlignment="1">
      <alignment horizontal="right"/>
    </xf>
    <xf numFmtId="49" fontId="0" fillId="6" borderId="0" xfId="0" applyNumberFormat="1" applyFill="1"/>
    <xf numFmtId="0" fontId="0" fillId="17" borderId="0" xfId="0" applyFill="1"/>
    <xf numFmtId="0" fontId="0" fillId="0" borderId="0" xfId="0" applyAlignment="1">
      <alignment horizontal="left" vertical="center"/>
    </xf>
    <xf numFmtId="0" fontId="0" fillId="4" borderId="0" xfId="0" applyFill="1"/>
    <xf numFmtId="0" fontId="8" fillId="18" borderId="0" xfId="0" applyFont="1" applyFill="1"/>
    <xf numFmtId="2" fontId="0" fillId="19" borderId="0" xfId="0" applyNumberFormat="1" applyFill="1"/>
    <xf numFmtId="0" fontId="2" fillId="15" borderId="0" xfId="0" applyFont="1" applyFill="1"/>
    <xf numFmtId="49" fontId="4" fillId="5" borderId="1" xfId="0" applyNumberFormat="1" applyFont="1" applyFill="1" applyBorder="1"/>
    <xf numFmtId="49" fontId="0" fillId="20" borderId="0" xfId="0" applyNumberFormat="1" applyFill="1"/>
    <xf numFmtId="0" fontId="0" fillId="13" borderId="1" xfId="0" applyFill="1" applyBorder="1"/>
    <xf numFmtId="0" fontId="0" fillId="6" borderId="1" xfId="0" applyFill="1" applyBorder="1"/>
    <xf numFmtId="49" fontId="4" fillId="4" borderId="0" xfId="0" applyNumberFormat="1" applyFont="1" applyFill="1" applyAlignment="1">
      <alignment horizontal="center"/>
    </xf>
    <xf numFmtId="49" fontId="4" fillId="5" borderId="1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16" fontId="0" fillId="0" borderId="0" xfId="0" applyNumberFormat="1"/>
    <xf numFmtId="2" fontId="2" fillId="6" borderId="0" xfId="0" applyNumberFormat="1" applyFont="1" applyFill="1"/>
    <xf numFmtId="2" fontId="0" fillId="6" borderId="0" xfId="0" applyNumberFormat="1" applyFill="1"/>
    <xf numFmtId="0" fontId="0" fillId="13" borderId="0" xfId="0" applyFill="1" applyAlignment="1">
      <alignment horizontal="left"/>
    </xf>
    <xf numFmtId="49" fontId="0" fillId="13" borderId="0" xfId="0" applyNumberFormat="1" applyFill="1" applyAlignment="1">
      <alignment horizontal="left"/>
    </xf>
    <xf numFmtId="49" fontId="0" fillId="13" borderId="0" xfId="0" applyNumberFormat="1" applyFill="1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2" fontId="0" fillId="0" borderId="0" xfId="0" applyNumberFormat="1"/>
    <xf numFmtId="0" fontId="2" fillId="15" borderId="0" xfId="0" applyFont="1" applyFill="1" applyAlignment="1">
      <alignment horizontal="center"/>
    </xf>
    <xf numFmtId="0" fontId="0" fillId="0" borderId="0" xfId="0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CC2252"/>
  <sheetViews>
    <sheetView workbookViewId="0">
      <selection activeCell="D20" sqref="D20"/>
    </sheetView>
  </sheetViews>
  <sheetFormatPr defaultRowHeight="15" x14ac:dyDescent="0.25"/>
  <cols>
    <col min="2" max="2" width="28" bestFit="1" customWidth="1"/>
    <col min="3" max="3" width="22.42578125" style="5" bestFit="1" customWidth="1"/>
    <col min="4" max="4" width="8" bestFit="1" customWidth="1"/>
    <col min="5" max="5" width="12" bestFit="1" customWidth="1"/>
    <col min="6" max="6" width="2" bestFit="1" customWidth="1"/>
    <col min="8" max="8" width="16.7109375" bestFit="1" customWidth="1"/>
    <col min="9" max="9" width="13.7109375" bestFit="1" customWidth="1"/>
    <col min="10" max="10" width="7.85546875" bestFit="1" customWidth="1"/>
    <col min="11" max="11" width="24.7109375" bestFit="1" customWidth="1"/>
    <col min="12" max="12" width="16" bestFit="1" customWidth="1"/>
    <col min="13" max="13" width="14.140625" bestFit="1" customWidth="1"/>
    <col min="14" max="14" width="17.7109375" bestFit="1" customWidth="1"/>
    <col min="15" max="15" width="16.5703125" bestFit="1" customWidth="1"/>
    <col min="16" max="16" width="16.7109375" bestFit="1" customWidth="1"/>
    <col min="17" max="18" width="13.5703125" bestFit="1" customWidth="1"/>
    <col min="19" max="19" width="16.7109375" bestFit="1" customWidth="1"/>
    <col min="20" max="20" width="6.42578125" bestFit="1" customWidth="1"/>
    <col min="21" max="22" width="18.7109375" bestFit="1" customWidth="1"/>
    <col min="23" max="23" width="13.5703125" bestFit="1" customWidth="1"/>
    <col min="24" max="24" width="11.140625" bestFit="1" customWidth="1"/>
    <col min="25" max="25" width="13.7109375" bestFit="1" customWidth="1"/>
    <col min="26" max="26" width="6.7109375" bestFit="1" customWidth="1"/>
    <col min="27" max="27" width="7" bestFit="1" customWidth="1"/>
    <col min="28" max="28" width="3" bestFit="1" customWidth="1"/>
    <col min="29" max="29" width="7" bestFit="1" customWidth="1"/>
    <col min="30" max="30" width="3" bestFit="1" customWidth="1"/>
    <col min="31" max="31" width="7" bestFit="1" customWidth="1"/>
    <col min="32" max="32" width="9.140625" customWidth="1"/>
    <col min="33" max="33" width="24.7109375" bestFit="1" customWidth="1"/>
    <col min="34" max="34" width="17.7109375" bestFit="1" customWidth="1"/>
    <col min="35" max="35" width="9" bestFit="1" customWidth="1"/>
    <col min="36" max="36" width="9.140625" customWidth="1"/>
    <col min="37" max="37" width="5.28515625" bestFit="1" customWidth="1"/>
    <col min="38" max="38" width="24.7109375" bestFit="1" customWidth="1"/>
    <col min="39" max="39" width="10.140625" bestFit="1" customWidth="1"/>
    <col min="40" max="40" width="19.140625" bestFit="1" customWidth="1"/>
    <col min="41" max="41" width="16.5703125" bestFit="1" customWidth="1"/>
    <col min="42" max="42" width="7.42578125" bestFit="1" customWidth="1"/>
    <col min="43" max="43" width="11" bestFit="1" customWidth="1"/>
    <col min="44" max="44" width="9.140625" customWidth="1"/>
    <col min="45" max="45" width="7.85546875" bestFit="1" customWidth="1"/>
    <col min="46" max="46" width="5.42578125" bestFit="1" customWidth="1"/>
    <col min="47" max="48" width="12" bestFit="1" customWidth="1"/>
    <col min="49" max="49" width="7.42578125" bestFit="1" customWidth="1"/>
    <col min="50" max="50" width="24.7109375" bestFit="1" customWidth="1"/>
    <col min="51" max="53" width="13.42578125" bestFit="1" customWidth="1"/>
    <col min="54" max="54" width="14.42578125" bestFit="1" customWidth="1"/>
    <col min="55" max="56" width="13.42578125" bestFit="1" customWidth="1"/>
    <col min="57" max="57" width="14.42578125" bestFit="1" customWidth="1"/>
    <col min="58" max="58" width="24.7109375" bestFit="1" customWidth="1"/>
    <col min="59" max="59" width="7.85546875" bestFit="1" customWidth="1"/>
    <col min="60" max="60" width="16.140625" bestFit="1" customWidth="1"/>
    <col min="61" max="61" width="9.140625" customWidth="1"/>
    <col min="63" max="63" width="4.140625" bestFit="1" customWidth="1"/>
    <col min="65" max="65" width="11.7109375" bestFit="1" customWidth="1"/>
    <col min="66" max="66" width="17" bestFit="1" customWidth="1"/>
    <col min="67" max="67" width="16.140625" bestFit="1" customWidth="1"/>
    <col min="68" max="68" width="14.85546875" bestFit="1" customWidth="1"/>
    <col min="69" max="69" width="14" bestFit="1" customWidth="1"/>
    <col min="71" max="71" width="17.28515625" bestFit="1" customWidth="1"/>
    <col min="72" max="72" width="16.28515625" bestFit="1" customWidth="1"/>
    <col min="73" max="73" width="15" bestFit="1" customWidth="1"/>
    <col min="74" max="74" width="14.140625" bestFit="1" customWidth="1"/>
    <col min="76" max="76" width="9.85546875" bestFit="1" customWidth="1"/>
    <col min="77" max="78" width="11.85546875" bestFit="1" customWidth="1"/>
    <col min="79" max="79" width="10" bestFit="1" customWidth="1"/>
    <col min="80" max="81" width="12" bestFit="1" customWidth="1"/>
  </cols>
  <sheetData>
    <row r="1" spans="2:81" x14ac:dyDescent="0.25">
      <c r="AA1" s="18"/>
      <c r="AB1" s="18"/>
      <c r="AC1" s="18"/>
      <c r="AD1" s="18"/>
      <c r="AE1" s="18"/>
      <c r="AG1" t="s">
        <v>0</v>
      </c>
      <c r="AH1" t="s">
        <v>1</v>
      </c>
      <c r="AI1" t="s">
        <v>2</v>
      </c>
      <c r="AL1" s="18" t="s">
        <v>0</v>
      </c>
      <c r="AM1" s="18" t="s">
        <v>3</v>
      </c>
      <c r="AN1" s="18" t="s">
        <v>4</v>
      </c>
      <c r="AO1" s="18" t="s">
        <v>5</v>
      </c>
      <c r="AP1" t="s">
        <v>6</v>
      </c>
      <c r="AQ1" t="s">
        <v>7</v>
      </c>
      <c r="AS1" t="s">
        <v>3</v>
      </c>
      <c r="AT1" t="s">
        <v>8</v>
      </c>
      <c r="AU1" t="s">
        <v>9</v>
      </c>
      <c r="AW1" t="s">
        <v>6</v>
      </c>
      <c r="AX1" t="s">
        <v>10</v>
      </c>
      <c r="AY1" t="s">
        <v>11</v>
      </c>
      <c r="AZ1" t="s">
        <v>12</v>
      </c>
      <c r="BA1" t="s">
        <v>13</v>
      </c>
      <c r="BB1" t="s">
        <v>14</v>
      </c>
      <c r="BC1" t="s">
        <v>15</v>
      </c>
      <c r="BD1" t="s">
        <v>16</v>
      </c>
      <c r="BE1" t="s">
        <v>17</v>
      </c>
      <c r="BF1" s="18" t="s">
        <v>18</v>
      </c>
      <c r="BG1" s="18" t="s">
        <v>3</v>
      </c>
      <c r="BH1" s="18" t="s">
        <v>19</v>
      </c>
      <c r="BN1" t="s">
        <v>20</v>
      </c>
      <c r="BO1" t="s">
        <v>21</v>
      </c>
      <c r="BP1" t="s">
        <v>22</v>
      </c>
      <c r="BQ1" t="s">
        <v>23</v>
      </c>
      <c r="BS1" t="s">
        <v>24</v>
      </c>
      <c r="BT1" t="s">
        <v>25</v>
      </c>
      <c r="BU1" t="s">
        <v>26</v>
      </c>
      <c r="BV1" t="s">
        <v>27</v>
      </c>
      <c r="BX1" t="s">
        <v>28</v>
      </c>
      <c r="BY1" t="s">
        <v>29</v>
      </c>
      <c r="BZ1" t="s">
        <v>30</v>
      </c>
      <c r="CA1" t="s">
        <v>31</v>
      </c>
      <c r="CB1" t="s">
        <v>32</v>
      </c>
      <c r="CC1" t="s">
        <v>33</v>
      </c>
    </row>
    <row r="2" spans="2:81" x14ac:dyDescent="0.25">
      <c r="H2" t="s">
        <v>34</v>
      </c>
      <c r="I2" t="s">
        <v>35</v>
      </c>
      <c r="K2" t="s">
        <v>36</v>
      </c>
      <c r="L2" t="s">
        <v>37</v>
      </c>
      <c r="M2" t="s">
        <v>38</v>
      </c>
      <c r="N2" t="s">
        <v>39</v>
      </c>
      <c r="O2" t="s">
        <v>40</v>
      </c>
      <c r="P2" t="s">
        <v>34</v>
      </c>
      <c r="Q2" t="s">
        <v>41</v>
      </c>
      <c r="R2" t="s">
        <v>42</v>
      </c>
      <c r="S2" t="s">
        <v>43</v>
      </c>
      <c r="T2" t="s">
        <v>605</v>
      </c>
      <c r="U2" t="s">
        <v>44</v>
      </c>
      <c r="V2" t="s">
        <v>44</v>
      </c>
      <c r="W2" t="s">
        <v>45</v>
      </c>
      <c r="X2" t="s">
        <v>46</v>
      </c>
      <c r="Y2" t="s">
        <v>47</v>
      </c>
      <c r="Z2" t="s">
        <v>48</v>
      </c>
      <c r="AA2" s="23" t="s">
        <v>720</v>
      </c>
      <c r="AB2">
        <v>1</v>
      </c>
      <c r="AC2" t="s">
        <v>690</v>
      </c>
      <c r="AD2">
        <v>6</v>
      </c>
      <c r="AE2" t="s">
        <v>720</v>
      </c>
      <c r="AG2" t="s">
        <v>36</v>
      </c>
      <c r="AH2" t="s">
        <v>39</v>
      </c>
      <c r="AI2">
        <v>2429</v>
      </c>
      <c r="AK2" s="32" t="s">
        <v>49</v>
      </c>
      <c r="AL2" t="s">
        <v>36</v>
      </c>
      <c r="AM2" t="s">
        <v>50</v>
      </c>
      <c r="AN2" t="s">
        <v>51</v>
      </c>
      <c r="AP2" t="s">
        <v>52</v>
      </c>
      <c r="AQ2" s="26">
        <v>0.376</v>
      </c>
      <c r="AS2" t="s">
        <v>52</v>
      </c>
      <c r="AT2" t="s">
        <v>53</v>
      </c>
      <c r="AU2">
        <v>0.5</v>
      </c>
      <c r="AV2">
        <f>4/12</f>
        <v>0.33333333333333331</v>
      </c>
      <c r="AW2" t="s">
        <v>52</v>
      </c>
      <c r="AX2" t="s">
        <v>36</v>
      </c>
      <c r="AY2">
        <v>3</v>
      </c>
      <c r="AZ2" t="s">
        <v>54</v>
      </c>
      <c r="BA2" t="s">
        <v>55</v>
      </c>
      <c r="BB2" t="s">
        <v>56</v>
      </c>
      <c r="BC2" t="s">
        <v>57</v>
      </c>
      <c r="BD2" t="s">
        <v>58</v>
      </c>
      <c r="BE2" t="s">
        <v>56</v>
      </c>
      <c r="BF2" t="s">
        <v>36</v>
      </c>
      <c r="BG2" t="s">
        <v>52</v>
      </c>
      <c r="BH2" t="s">
        <v>59</v>
      </c>
      <c r="BK2" t="s">
        <v>60</v>
      </c>
      <c r="BM2" s="5" t="s">
        <v>61</v>
      </c>
      <c r="BX2" t="s">
        <v>62</v>
      </c>
      <c r="BY2" t="s">
        <v>63</v>
      </c>
      <c r="BZ2" t="s">
        <v>63</v>
      </c>
      <c r="CA2" t="s">
        <v>64</v>
      </c>
      <c r="CB2" t="s">
        <v>65</v>
      </c>
      <c r="CC2" t="s">
        <v>53</v>
      </c>
    </row>
    <row r="3" spans="2:81" x14ac:dyDescent="0.25">
      <c r="H3" t="s">
        <v>11</v>
      </c>
      <c r="J3" t="s">
        <v>66</v>
      </c>
      <c r="K3" t="s">
        <v>67</v>
      </c>
      <c r="L3" t="s">
        <v>68</v>
      </c>
      <c r="M3" t="s">
        <v>69</v>
      </c>
      <c r="O3" t="s">
        <v>70</v>
      </c>
      <c r="P3" t="s">
        <v>11</v>
      </c>
      <c r="Q3" t="s">
        <v>42</v>
      </c>
      <c r="R3" t="s">
        <v>71</v>
      </c>
      <c r="S3" t="s">
        <v>34</v>
      </c>
      <c r="T3" t="s">
        <v>606</v>
      </c>
      <c r="U3" t="s">
        <v>72</v>
      </c>
      <c r="V3" t="s">
        <v>72</v>
      </c>
      <c r="W3" t="s">
        <v>41</v>
      </c>
      <c r="X3" t="s">
        <v>73</v>
      </c>
      <c r="Y3" t="s">
        <v>74</v>
      </c>
      <c r="Z3" t="s">
        <v>75</v>
      </c>
      <c r="AA3" t="s">
        <v>701</v>
      </c>
      <c r="AB3">
        <v>2</v>
      </c>
      <c r="AC3" t="s">
        <v>706</v>
      </c>
      <c r="AD3">
        <v>8</v>
      </c>
      <c r="AE3" t="s">
        <v>701</v>
      </c>
      <c r="AG3" t="s">
        <v>36</v>
      </c>
      <c r="AH3" s="49" t="s">
        <v>76</v>
      </c>
      <c r="AI3" s="49" t="s">
        <v>77</v>
      </c>
      <c r="AK3" s="32" t="s">
        <v>49</v>
      </c>
      <c r="AL3" t="s">
        <v>36</v>
      </c>
      <c r="AM3" t="s">
        <v>78</v>
      </c>
      <c r="AN3" t="s">
        <v>79</v>
      </c>
      <c r="AP3" t="s">
        <v>80</v>
      </c>
      <c r="AQ3" s="26">
        <v>0.66800000000000004</v>
      </c>
      <c r="AS3" t="s">
        <v>80</v>
      </c>
      <c r="AT3" t="s">
        <v>53</v>
      </c>
      <c r="AU3">
        <f>8/12</f>
        <v>0.66666666666666663</v>
      </c>
      <c r="AV3">
        <f>4.5/12</f>
        <v>0.375</v>
      </c>
      <c r="AW3" t="s">
        <v>80</v>
      </c>
      <c r="AX3" t="s">
        <v>36</v>
      </c>
      <c r="AY3">
        <v>4</v>
      </c>
      <c r="AZ3" t="s">
        <v>81</v>
      </c>
      <c r="BA3" t="s">
        <v>82</v>
      </c>
      <c r="BB3" t="s">
        <v>83</v>
      </c>
      <c r="BC3" t="s">
        <v>84</v>
      </c>
      <c r="BD3" t="s">
        <v>85</v>
      </c>
      <c r="BE3" t="s">
        <v>83</v>
      </c>
      <c r="BF3" t="s">
        <v>36</v>
      </c>
      <c r="BG3" t="s">
        <v>80</v>
      </c>
      <c r="BH3" t="s">
        <v>86</v>
      </c>
      <c r="BK3" t="s">
        <v>60</v>
      </c>
      <c r="BM3" s="5" t="s">
        <v>87</v>
      </c>
      <c r="BX3" t="s">
        <v>88</v>
      </c>
      <c r="BY3" t="s">
        <v>53</v>
      </c>
      <c r="BZ3" t="s">
        <v>53</v>
      </c>
      <c r="CA3" t="s">
        <v>89</v>
      </c>
      <c r="CB3" t="s">
        <v>63</v>
      </c>
      <c r="CC3" t="s">
        <v>53</v>
      </c>
    </row>
    <row r="4" spans="2:81" x14ac:dyDescent="0.25">
      <c r="B4" s="1" t="s">
        <v>90</v>
      </c>
      <c r="H4" t="s">
        <v>12</v>
      </c>
      <c r="I4" t="s">
        <v>91</v>
      </c>
      <c r="J4" t="s">
        <v>92</v>
      </c>
      <c r="K4" t="s">
        <v>93</v>
      </c>
      <c r="L4" t="s">
        <v>94</v>
      </c>
      <c r="M4">
        <v>3000</v>
      </c>
      <c r="P4" t="s">
        <v>12</v>
      </c>
      <c r="R4" t="s">
        <v>95</v>
      </c>
      <c r="S4" t="s">
        <v>96</v>
      </c>
      <c r="T4" t="s">
        <v>602</v>
      </c>
      <c r="U4" t="s">
        <v>52</v>
      </c>
      <c r="V4" t="s">
        <v>97</v>
      </c>
      <c r="Y4" t="s">
        <v>98</v>
      </c>
      <c r="Z4" t="s">
        <v>99</v>
      </c>
      <c r="AA4" t="s">
        <v>694</v>
      </c>
      <c r="AB4">
        <v>3</v>
      </c>
      <c r="AC4" t="s">
        <v>728</v>
      </c>
      <c r="AD4">
        <v>10</v>
      </c>
      <c r="AE4" t="s">
        <v>705</v>
      </c>
      <c r="AG4" t="s">
        <v>36</v>
      </c>
      <c r="AH4" t="s">
        <v>139</v>
      </c>
      <c r="AI4">
        <v>2429</v>
      </c>
      <c r="AK4" s="32" t="s">
        <v>49</v>
      </c>
      <c r="AL4" t="s">
        <v>36</v>
      </c>
      <c r="AM4" t="s">
        <v>100</v>
      </c>
      <c r="AN4" t="s">
        <v>101</v>
      </c>
      <c r="AP4" t="s">
        <v>102</v>
      </c>
      <c r="AQ4" s="26">
        <v>1.0429999999999999</v>
      </c>
      <c r="AS4" t="s">
        <v>102</v>
      </c>
      <c r="AT4" t="s">
        <v>53</v>
      </c>
      <c r="AU4">
        <f>10/12</f>
        <v>0.83333333333333337</v>
      </c>
      <c r="AV4">
        <f>6/12</f>
        <v>0.5</v>
      </c>
      <c r="AW4" t="s">
        <v>102</v>
      </c>
      <c r="AX4" t="s">
        <v>36</v>
      </c>
      <c r="AY4">
        <v>5</v>
      </c>
      <c r="AZ4" t="s">
        <v>103</v>
      </c>
      <c r="BA4" t="s">
        <v>104</v>
      </c>
      <c r="BB4" t="s">
        <v>105</v>
      </c>
      <c r="BC4" t="s">
        <v>106</v>
      </c>
      <c r="BD4" t="s">
        <v>107</v>
      </c>
      <c r="BE4" t="s">
        <v>105</v>
      </c>
      <c r="BF4" t="s">
        <v>36</v>
      </c>
      <c r="BG4" t="s">
        <v>102</v>
      </c>
      <c r="BH4" t="s">
        <v>64</v>
      </c>
      <c r="BK4" t="s">
        <v>60</v>
      </c>
      <c r="BM4" s="5" t="s">
        <v>108</v>
      </c>
      <c r="BX4" t="s">
        <v>86</v>
      </c>
      <c r="BY4" t="s">
        <v>63</v>
      </c>
      <c r="BZ4" t="s">
        <v>63</v>
      </c>
      <c r="CA4" t="s">
        <v>109</v>
      </c>
      <c r="CB4" t="s">
        <v>63</v>
      </c>
      <c r="CC4" t="s">
        <v>63</v>
      </c>
    </row>
    <row r="5" spans="2:81" x14ac:dyDescent="0.25">
      <c r="B5" s="2" t="s">
        <v>110</v>
      </c>
      <c r="C5" s="5" t="s">
        <v>730</v>
      </c>
      <c r="D5" s="2"/>
      <c r="H5" t="s">
        <v>13</v>
      </c>
      <c r="I5" t="s">
        <v>66</v>
      </c>
      <c r="K5" t="s">
        <v>111</v>
      </c>
      <c r="M5">
        <v>3500</v>
      </c>
      <c r="P5" t="s">
        <v>13</v>
      </c>
      <c r="R5" t="s">
        <v>66</v>
      </c>
      <c r="T5" t="s">
        <v>607</v>
      </c>
      <c r="U5" t="s">
        <v>80</v>
      </c>
      <c r="AA5" t="s">
        <v>705</v>
      </c>
      <c r="AB5">
        <v>4</v>
      </c>
      <c r="AC5" t="s">
        <v>707</v>
      </c>
      <c r="AD5">
        <v>12</v>
      </c>
      <c r="AE5" t="s">
        <v>711</v>
      </c>
      <c r="AG5" t="s">
        <v>36</v>
      </c>
      <c r="AH5" t="s">
        <v>177</v>
      </c>
      <c r="AI5" t="s">
        <v>178</v>
      </c>
      <c r="AK5" s="32" t="s">
        <v>49</v>
      </c>
      <c r="AL5" t="s">
        <v>36</v>
      </c>
      <c r="AM5" t="s">
        <v>112</v>
      </c>
      <c r="AN5" t="s">
        <v>113</v>
      </c>
      <c r="AP5" t="s">
        <v>114</v>
      </c>
      <c r="AQ5" s="26">
        <v>1.502</v>
      </c>
      <c r="AS5" t="s">
        <v>114</v>
      </c>
      <c r="AT5" t="s">
        <v>53</v>
      </c>
      <c r="AU5">
        <v>1</v>
      </c>
      <c r="AV5">
        <v>1</v>
      </c>
      <c r="AW5" t="s">
        <v>114</v>
      </c>
      <c r="AX5" t="s">
        <v>36</v>
      </c>
      <c r="AY5">
        <v>6</v>
      </c>
      <c r="AZ5" t="s">
        <v>115</v>
      </c>
      <c r="BA5" t="s">
        <v>116</v>
      </c>
      <c r="BB5" t="s">
        <v>117</v>
      </c>
      <c r="BC5" t="s">
        <v>118</v>
      </c>
      <c r="BD5" t="s">
        <v>119</v>
      </c>
      <c r="BE5" t="s">
        <v>117</v>
      </c>
      <c r="BF5" t="s">
        <v>36</v>
      </c>
      <c r="BG5" t="s">
        <v>114</v>
      </c>
      <c r="BH5" t="s">
        <v>120</v>
      </c>
      <c r="BK5" t="s">
        <v>60</v>
      </c>
      <c r="BM5" s="60" t="s">
        <v>121</v>
      </c>
      <c r="BX5" t="s">
        <v>122</v>
      </c>
      <c r="BY5" t="s">
        <v>63</v>
      </c>
      <c r="BZ5" t="s">
        <v>63</v>
      </c>
      <c r="CA5" t="s">
        <v>123</v>
      </c>
      <c r="CB5" t="s">
        <v>65</v>
      </c>
      <c r="CC5" t="s">
        <v>65</v>
      </c>
    </row>
    <row r="6" spans="2:81" x14ac:dyDescent="0.25">
      <c r="B6" s="2" t="s">
        <v>124</v>
      </c>
      <c r="C6" s="5">
        <v>19815</v>
      </c>
      <c r="D6" s="2"/>
      <c r="H6" t="s">
        <v>14</v>
      </c>
      <c r="I6" t="s">
        <v>125</v>
      </c>
      <c r="K6" t="s">
        <v>126</v>
      </c>
      <c r="M6">
        <v>4000</v>
      </c>
      <c r="P6" t="s">
        <v>14</v>
      </c>
      <c r="R6" t="s">
        <v>41</v>
      </c>
      <c r="T6" t="s">
        <v>608</v>
      </c>
      <c r="U6" t="s">
        <v>102</v>
      </c>
      <c r="AA6" t="s">
        <v>711</v>
      </c>
      <c r="AB6">
        <v>5</v>
      </c>
      <c r="AC6" t="s">
        <v>718</v>
      </c>
      <c r="AD6">
        <v>14</v>
      </c>
      <c r="AE6" t="s">
        <v>729</v>
      </c>
      <c r="AG6" t="s">
        <v>36</v>
      </c>
      <c r="AH6" t="s">
        <v>191</v>
      </c>
      <c r="AI6" t="s">
        <v>192</v>
      </c>
      <c r="AK6" s="32" t="s">
        <v>49</v>
      </c>
      <c r="AL6" t="s">
        <v>36</v>
      </c>
      <c r="AM6" t="s">
        <v>127</v>
      </c>
      <c r="AN6" t="s">
        <v>128</v>
      </c>
      <c r="AP6" t="s">
        <v>129</v>
      </c>
      <c r="AQ6" s="26">
        <v>2.044</v>
      </c>
      <c r="AS6" t="s">
        <v>129</v>
      </c>
      <c r="AT6" t="s">
        <v>53</v>
      </c>
      <c r="AU6">
        <f>1+(2/12)</f>
        <v>1.1666666666666667</v>
      </c>
      <c r="AV6">
        <f>1+(2/12)</f>
        <v>1.1666666666666667</v>
      </c>
      <c r="AW6" t="s">
        <v>129</v>
      </c>
      <c r="AX6" t="s">
        <v>36</v>
      </c>
      <c r="AY6">
        <v>7</v>
      </c>
      <c r="AZ6" t="s">
        <v>130</v>
      </c>
      <c r="BA6" t="s">
        <v>131</v>
      </c>
      <c r="BB6" t="s">
        <v>132</v>
      </c>
      <c r="BC6" t="s">
        <v>133</v>
      </c>
      <c r="BD6" t="s">
        <v>134</v>
      </c>
      <c r="BE6" t="s">
        <v>132</v>
      </c>
      <c r="BF6" t="s">
        <v>36</v>
      </c>
      <c r="BG6" t="s">
        <v>129</v>
      </c>
      <c r="BH6" t="s">
        <v>135</v>
      </c>
      <c r="BK6" t="s">
        <v>60</v>
      </c>
      <c r="BM6" s="19" t="s">
        <v>136</v>
      </c>
      <c r="CA6" t="s">
        <v>137</v>
      </c>
      <c r="CB6" t="s">
        <v>53</v>
      </c>
      <c r="CC6" t="s">
        <v>53</v>
      </c>
    </row>
    <row r="7" spans="2:81" x14ac:dyDescent="0.25">
      <c r="B7" s="2" t="s">
        <v>1</v>
      </c>
      <c r="C7" s="5" t="s">
        <v>39</v>
      </c>
      <c r="D7" s="2"/>
      <c r="H7" t="s">
        <v>15</v>
      </c>
      <c r="K7" t="s">
        <v>138</v>
      </c>
      <c r="M7">
        <v>4500</v>
      </c>
      <c r="P7" t="s">
        <v>15</v>
      </c>
      <c r="U7" t="s">
        <v>114</v>
      </c>
      <c r="W7" t="s">
        <v>71</v>
      </c>
      <c r="AA7" t="s">
        <v>729</v>
      </c>
      <c r="AB7">
        <v>6</v>
      </c>
      <c r="AC7" t="s">
        <v>723</v>
      </c>
      <c r="AD7">
        <v>16</v>
      </c>
      <c r="AE7" t="s">
        <v>715</v>
      </c>
      <c r="AK7" s="32" t="s">
        <v>49</v>
      </c>
      <c r="AL7" t="s">
        <v>36</v>
      </c>
      <c r="AM7" t="s">
        <v>140</v>
      </c>
      <c r="AN7" t="s">
        <v>141</v>
      </c>
      <c r="AP7" t="s">
        <v>142</v>
      </c>
      <c r="AQ7" s="26">
        <v>2.67</v>
      </c>
      <c r="AS7" t="s">
        <v>142</v>
      </c>
      <c r="AT7" t="s">
        <v>53</v>
      </c>
      <c r="AU7">
        <f>1+(4/12)</f>
        <v>1.3333333333333333</v>
      </c>
      <c r="AV7">
        <f>1+(4/12)</f>
        <v>1.3333333333333333</v>
      </c>
      <c r="AW7" t="s">
        <v>142</v>
      </c>
      <c r="AX7" t="s">
        <v>36</v>
      </c>
      <c r="AY7">
        <v>8</v>
      </c>
      <c r="AZ7" t="s">
        <v>143</v>
      </c>
      <c r="BA7" t="s">
        <v>144</v>
      </c>
      <c r="BB7" t="s">
        <v>145</v>
      </c>
      <c r="BC7" t="s">
        <v>146</v>
      </c>
      <c r="BD7" t="s">
        <v>147</v>
      </c>
      <c r="BE7" t="s">
        <v>145</v>
      </c>
      <c r="BF7" t="s">
        <v>36</v>
      </c>
      <c r="BG7" t="s">
        <v>142</v>
      </c>
      <c r="BH7" t="s">
        <v>148</v>
      </c>
      <c r="BK7" t="s">
        <v>60</v>
      </c>
      <c r="BM7" s="5" t="s">
        <v>149</v>
      </c>
    </row>
    <row r="8" spans="2:81" x14ac:dyDescent="0.25">
      <c r="B8" s="2" t="s">
        <v>0</v>
      </c>
      <c r="C8" s="5" t="s">
        <v>36</v>
      </c>
      <c r="H8" t="s">
        <v>16</v>
      </c>
      <c r="K8" t="s">
        <v>150</v>
      </c>
      <c r="M8">
        <v>5000</v>
      </c>
      <c r="P8" t="s">
        <v>16</v>
      </c>
      <c r="U8" t="s">
        <v>129</v>
      </c>
      <c r="W8" t="s">
        <v>151</v>
      </c>
      <c r="AA8" t="s">
        <v>715</v>
      </c>
      <c r="AB8">
        <v>7</v>
      </c>
      <c r="AC8" t="s">
        <v>721</v>
      </c>
      <c r="AD8">
        <v>18</v>
      </c>
      <c r="AE8" t="s">
        <v>713</v>
      </c>
      <c r="AG8" t="s">
        <v>609</v>
      </c>
      <c r="AH8" t="s">
        <v>39</v>
      </c>
      <c r="AI8" s="49">
        <v>51</v>
      </c>
      <c r="AK8" s="32" t="s">
        <v>49</v>
      </c>
      <c r="AL8" t="s">
        <v>36</v>
      </c>
      <c r="AM8" t="s">
        <v>152</v>
      </c>
      <c r="AN8" t="s">
        <v>153</v>
      </c>
      <c r="AP8" t="s">
        <v>154</v>
      </c>
      <c r="AQ8" s="26">
        <v>3.4</v>
      </c>
      <c r="AS8" t="s">
        <v>154</v>
      </c>
      <c r="AT8" t="s">
        <v>53</v>
      </c>
      <c r="AU8">
        <f>1+(7/12)</f>
        <v>1.5833333333333335</v>
      </c>
      <c r="AV8">
        <f>1+(7/12)</f>
        <v>1.5833333333333335</v>
      </c>
      <c r="AW8" t="s">
        <v>154</v>
      </c>
      <c r="AX8" t="s">
        <v>36</v>
      </c>
      <c r="AY8">
        <v>9</v>
      </c>
      <c r="AZ8" t="s">
        <v>155</v>
      </c>
      <c r="BA8" t="s">
        <v>156</v>
      </c>
      <c r="BB8" t="s">
        <v>157</v>
      </c>
      <c r="BC8" t="s">
        <v>158</v>
      </c>
      <c r="BD8" t="s">
        <v>159</v>
      </c>
      <c r="BE8" t="s">
        <v>157</v>
      </c>
      <c r="BF8" t="s">
        <v>36</v>
      </c>
      <c r="BG8" t="s">
        <v>154</v>
      </c>
      <c r="BH8" t="s">
        <v>89</v>
      </c>
      <c r="BK8" t="s">
        <v>60</v>
      </c>
      <c r="BM8" s="5" t="s">
        <v>160</v>
      </c>
    </row>
    <row r="9" spans="2:81" x14ac:dyDescent="0.25">
      <c r="B9" s="2" t="s">
        <v>161</v>
      </c>
      <c r="C9" t="s">
        <v>37</v>
      </c>
      <c r="K9" t="s">
        <v>162</v>
      </c>
      <c r="M9">
        <v>5500</v>
      </c>
      <c r="U9" t="s">
        <v>142</v>
      </c>
      <c r="W9" t="s">
        <v>163</v>
      </c>
      <c r="AA9" t="s">
        <v>713</v>
      </c>
      <c r="AB9">
        <v>8</v>
      </c>
      <c r="AC9" t="s">
        <v>722</v>
      </c>
      <c r="AE9" t="s">
        <v>698</v>
      </c>
      <c r="AG9" t="s">
        <v>609</v>
      </c>
      <c r="AH9" s="49" t="s">
        <v>76</v>
      </c>
      <c r="AI9" s="49">
        <v>39</v>
      </c>
      <c r="AK9" s="32" t="s">
        <v>49</v>
      </c>
      <c r="AL9" t="s">
        <v>36</v>
      </c>
      <c r="AM9" t="s">
        <v>164</v>
      </c>
      <c r="AN9" t="s">
        <v>165</v>
      </c>
      <c r="AP9" t="s">
        <v>166</v>
      </c>
      <c r="AQ9" s="26">
        <v>4.3029999999999999</v>
      </c>
      <c r="AS9" t="s">
        <v>166</v>
      </c>
      <c r="AT9" t="s">
        <v>53</v>
      </c>
      <c r="AU9">
        <f>1+(10/12)</f>
        <v>1.8333333333333335</v>
      </c>
      <c r="AV9">
        <f>1+(10/12)</f>
        <v>1.8333333333333335</v>
      </c>
      <c r="AW9" t="s">
        <v>166</v>
      </c>
      <c r="AX9" t="s">
        <v>36</v>
      </c>
      <c r="AY9">
        <v>10</v>
      </c>
      <c r="AZ9" t="s">
        <v>167</v>
      </c>
      <c r="BA9" t="s">
        <v>168</v>
      </c>
      <c r="BB9" t="s">
        <v>169</v>
      </c>
      <c r="BC9" t="s">
        <v>170</v>
      </c>
      <c r="BD9" t="s">
        <v>171</v>
      </c>
      <c r="BE9" t="s">
        <v>169</v>
      </c>
      <c r="BF9" t="s">
        <v>36</v>
      </c>
      <c r="BG9" t="s">
        <v>166</v>
      </c>
      <c r="BH9" t="s">
        <v>172</v>
      </c>
      <c r="BK9" t="s">
        <v>60</v>
      </c>
      <c r="BM9" s="5" t="s">
        <v>173</v>
      </c>
    </row>
    <row r="10" spans="2:81" x14ac:dyDescent="0.25">
      <c r="B10" s="2" t="s">
        <v>174</v>
      </c>
      <c r="C10">
        <v>10000</v>
      </c>
      <c r="D10" s="6"/>
      <c r="K10" t="s">
        <v>175</v>
      </c>
      <c r="M10">
        <v>6000</v>
      </c>
      <c r="U10" t="s">
        <v>154</v>
      </c>
      <c r="W10" t="s">
        <v>176</v>
      </c>
      <c r="AA10" t="s">
        <v>698</v>
      </c>
      <c r="AB10">
        <v>9</v>
      </c>
      <c r="AC10" t="s">
        <v>699</v>
      </c>
      <c r="AE10" t="s">
        <v>709</v>
      </c>
      <c r="AK10" s="32" t="s">
        <v>49</v>
      </c>
      <c r="AL10" t="s">
        <v>36</v>
      </c>
      <c r="AM10" t="s">
        <v>179</v>
      </c>
      <c r="AN10" t="s">
        <v>180</v>
      </c>
      <c r="AP10" t="s">
        <v>181</v>
      </c>
      <c r="AQ10" s="26">
        <v>5.3129999999999997</v>
      </c>
      <c r="AS10" t="s">
        <v>181</v>
      </c>
      <c r="AT10" t="s">
        <v>53</v>
      </c>
      <c r="AU10">
        <v>2</v>
      </c>
      <c r="AV10">
        <v>2</v>
      </c>
      <c r="AW10" t="s">
        <v>181</v>
      </c>
      <c r="AX10" t="s">
        <v>36</v>
      </c>
      <c r="AY10">
        <v>11</v>
      </c>
      <c r="AZ10" t="s">
        <v>182</v>
      </c>
      <c r="BA10" t="s">
        <v>183</v>
      </c>
      <c r="BB10" t="s">
        <v>184</v>
      </c>
      <c r="BC10" t="s">
        <v>185</v>
      </c>
      <c r="BD10" t="s">
        <v>186</v>
      </c>
      <c r="BE10" t="s">
        <v>184</v>
      </c>
      <c r="BF10" t="s">
        <v>36</v>
      </c>
      <c r="BG10" t="s">
        <v>181</v>
      </c>
      <c r="BH10" t="s">
        <v>187</v>
      </c>
      <c r="BK10" t="s">
        <v>60</v>
      </c>
      <c r="BM10" s="5" t="s">
        <v>188</v>
      </c>
    </row>
    <row r="11" spans="2:81" x14ac:dyDescent="0.25">
      <c r="B11" s="2" t="s">
        <v>189</v>
      </c>
      <c r="C11" s="5" t="s">
        <v>70</v>
      </c>
      <c r="D11" s="6"/>
      <c r="K11" t="s">
        <v>190</v>
      </c>
      <c r="M11">
        <v>6500</v>
      </c>
      <c r="U11" t="s">
        <v>166</v>
      </c>
      <c r="AA11" t="s">
        <v>709</v>
      </c>
      <c r="AB11">
        <v>10</v>
      </c>
      <c r="AC11" t="s">
        <v>729</v>
      </c>
      <c r="AE11" t="s">
        <v>950</v>
      </c>
      <c r="AK11" s="32" t="s">
        <v>49</v>
      </c>
      <c r="AL11" t="s">
        <v>36</v>
      </c>
      <c r="AM11" t="s">
        <v>193</v>
      </c>
      <c r="AN11" t="s">
        <v>194</v>
      </c>
      <c r="AP11" t="s">
        <v>195</v>
      </c>
      <c r="AQ11" s="26">
        <v>7.65</v>
      </c>
      <c r="AS11" t="s">
        <v>195</v>
      </c>
      <c r="AT11" t="s">
        <v>53</v>
      </c>
      <c r="AU11">
        <f>2+(7/12)</f>
        <v>2.5833333333333335</v>
      </c>
      <c r="AV11">
        <f>2+(7/12)</f>
        <v>2.5833333333333335</v>
      </c>
      <c r="AW11" t="s">
        <v>195</v>
      </c>
      <c r="AX11" t="s">
        <v>36</v>
      </c>
      <c r="AY11">
        <v>14</v>
      </c>
      <c r="AZ11" t="s">
        <v>196</v>
      </c>
      <c r="BA11" t="s">
        <v>197</v>
      </c>
      <c r="BB11" t="s">
        <v>198</v>
      </c>
      <c r="BC11" t="s">
        <v>199</v>
      </c>
      <c r="BD11" t="s">
        <v>200</v>
      </c>
      <c r="BE11" t="s">
        <v>198</v>
      </c>
      <c r="BF11" t="s">
        <v>36</v>
      </c>
      <c r="BG11" t="s">
        <v>195</v>
      </c>
      <c r="BH11" t="s">
        <v>201</v>
      </c>
      <c r="BK11" t="s">
        <v>60</v>
      </c>
      <c r="BM11" s="5" t="s">
        <v>202</v>
      </c>
    </row>
    <row r="12" spans="2:81" x14ac:dyDescent="0.25">
      <c r="B12" s="2" t="s">
        <v>203</v>
      </c>
      <c r="C12" s="5" t="s">
        <v>204</v>
      </c>
      <c r="E12" s="61" t="str">
        <f>LEFT(C12,LEN(C12)-1)</f>
        <v>1.5</v>
      </c>
      <c r="K12" t="s">
        <v>205</v>
      </c>
      <c r="M12">
        <v>7000</v>
      </c>
      <c r="U12" t="s">
        <v>181</v>
      </c>
      <c r="AB12">
        <v>11</v>
      </c>
      <c r="AC12" t="s">
        <v>715</v>
      </c>
      <c r="AE12" t="s">
        <v>949</v>
      </c>
      <c r="AG12" t="s">
        <v>67</v>
      </c>
      <c r="AH12" t="s">
        <v>39</v>
      </c>
      <c r="AI12">
        <v>200</v>
      </c>
      <c r="AK12" s="32" t="s">
        <v>49</v>
      </c>
      <c r="AL12" t="s">
        <v>36</v>
      </c>
      <c r="AM12" t="s">
        <v>206</v>
      </c>
      <c r="AN12" t="s">
        <v>207</v>
      </c>
      <c r="AP12" t="s">
        <v>208</v>
      </c>
      <c r="AQ12" s="26">
        <v>13.6</v>
      </c>
      <c r="AS12" t="s">
        <v>208</v>
      </c>
      <c r="AT12" t="s">
        <v>53</v>
      </c>
      <c r="AU12">
        <f>3+(5/12)</f>
        <v>3.4166666666666665</v>
      </c>
      <c r="AV12">
        <f>3+(5/12)</f>
        <v>3.4166666666666665</v>
      </c>
      <c r="AW12" t="s">
        <v>208</v>
      </c>
      <c r="AX12" t="s">
        <v>36</v>
      </c>
      <c r="AY12">
        <v>18</v>
      </c>
      <c r="AZ12" t="s">
        <v>209</v>
      </c>
      <c r="BA12" t="s">
        <v>210</v>
      </c>
      <c r="BB12" t="s">
        <v>211</v>
      </c>
      <c r="BC12" t="s">
        <v>212</v>
      </c>
      <c r="BD12" t="s">
        <v>213</v>
      </c>
      <c r="BE12" t="s">
        <v>211</v>
      </c>
      <c r="BF12" t="s">
        <v>36</v>
      </c>
      <c r="BG12" t="s">
        <v>208</v>
      </c>
      <c r="BH12" t="s">
        <v>214</v>
      </c>
      <c r="BK12" t="s">
        <v>60</v>
      </c>
      <c r="BM12" s="5" t="s">
        <v>215</v>
      </c>
    </row>
    <row r="13" spans="2:81" x14ac:dyDescent="0.25">
      <c r="B13" s="2" t="s">
        <v>216</v>
      </c>
      <c r="C13" s="19" t="s">
        <v>731</v>
      </c>
      <c r="E13" s="61">
        <f>LEFT(C13,FIND("-",C13)-1)+(RIGHT(C13,LEN(C13)-FIND("-",C13))/12)</f>
        <v>0.66666666666666663</v>
      </c>
      <c r="K13" t="s">
        <v>217</v>
      </c>
      <c r="M13">
        <v>7500</v>
      </c>
      <c r="U13" t="s">
        <v>195</v>
      </c>
      <c r="AB13">
        <v>12</v>
      </c>
      <c r="AC13" t="s">
        <v>727</v>
      </c>
      <c r="AG13" t="s">
        <v>67</v>
      </c>
      <c r="AH13" s="49" t="s">
        <v>76</v>
      </c>
      <c r="AI13" s="49">
        <v>120</v>
      </c>
      <c r="AK13" s="32" t="s">
        <v>49</v>
      </c>
      <c r="AL13" t="s">
        <v>36</v>
      </c>
      <c r="AM13" t="s">
        <v>218</v>
      </c>
      <c r="AN13" t="s">
        <v>219</v>
      </c>
      <c r="AS13" t="s">
        <v>52</v>
      </c>
      <c r="AT13" t="s">
        <v>63</v>
      </c>
      <c r="AU13">
        <f>4/12</f>
        <v>0.33333333333333331</v>
      </c>
      <c r="AW13" t="s">
        <v>52</v>
      </c>
      <c r="AX13" s="18" t="s">
        <v>609</v>
      </c>
      <c r="AY13" s="18">
        <v>3</v>
      </c>
      <c r="AZ13" s="18" t="s">
        <v>55</v>
      </c>
      <c r="BA13" s="18" t="s">
        <v>610</v>
      </c>
      <c r="BB13" t="s">
        <v>56</v>
      </c>
      <c r="BC13" s="18" t="s">
        <v>57</v>
      </c>
      <c r="BD13" s="18" t="s">
        <v>623</v>
      </c>
      <c r="BE13" t="s">
        <v>56</v>
      </c>
      <c r="BF13" s="18" t="s">
        <v>609</v>
      </c>
      <c r="BG13" s="18" t="s">
        <v>52</v>
      </c>
      <c r="BH13" s="18" t="s">
        <v>642</v>
      </c>
      <c r="BK13" t="s">
        <v>220</v>
      </c>
      <c r="BM13" s="19" t="s">
        <v>221</v>
      </c>
    </row>
    <row r="14" spans="2:81" x14ac:dyDescent="0.25">
      <c r="B14" s="2" t="s">
        <v>222</v>
      </c>
      <c r="C14" s="19" t="s">
        <v>732</v>
      </c>
      <c r="E14" s="61">
        <f>LEFT(C14,FIND("-",C14)-1)+(RIGHT(C14,LEN(C14)-FIND("-",C14))/12)</f>
        <v>3</v>
      </c>
      <c r="K14" t="s">
        <v>223</v>
      </c>
      <c r="M14">
        <v>8000</v>
      </c>
      <c r="U14" t="s">
        <v>208</v>
      </c>
      <c r="AB14">
        <v>13</v>
      </c>
      <c r="AC14" t="s">
        <v>713</v>
      </c>
      <c r="AH14" s="49"/>
      <c r="AI14" s="49"/>
      <c r="AK14" s="32" t="s">
        <v>49</v>
      </c>
      <c r="AL14" t="s">
        <v>36</v>
      </c>
      <c r="AM14" t="s">
        <v>224</v>
      </c>
      <c r="AN14" t="s">
        <v>225</v>
      </c>
      <c r="AS14" t="s">
        <v>80</v>
      </c>
      <c r="AT14" t="s">
        <v>63</v>
      </c>
      <c r="AU14">
        <f>4.5/12</f>
        <v>0.375</v>
      </c>
      <c r="AW14" t="s">
        <v>80</v>
      </c>
      <c r="AX14" s="18" t="s">
        <v>609</v>
      </c>
      <c r="AY14" s="18">
        <v>4</v>
      </c>
      <c r="AZ14" s="18" t="s">
        <v>82</v>
      </c>
      <c r="BA14" s="18" t="s">
        <v>611</v>
      </c>
      <c r="BB14" t="s">
        <v>83</v>
      </c>
      <c r="BC14" s="18" t="s">
        <v>84</v>
      </c>
      <c r="BD14" s="18" t="s">
        <v>622</v>
      </c>
      <c r="BE14" t="s">
        <v>83</v>
      </c>
      <c r="BF14" s="18" t="s">
        <v>609</v>
      </c>
      <c r="BG14" s="18" t="s">
        <v>80</v>
      </c>
      <c r="BH14" s="18" t="s">
        <v>632</v>
      </c>
      <c r="BK14" t="s">
        <v>60</v>
      </c>
      <c r="BM14" s="5" t="s">
        <v>226</v>
      </c>
    </row>
    <row r="15" spans="2:81" x14ac:dyDescent="0.25">
      <c r="K15" t="s">
        <v>227</v>
      </c>
      <c r="M15">
        <v>8500</v>
      </c>
      <c r="AB15">
        <v>14</v>
      </c>
      <c r="AC15" t="s">
        <v>695</v>
      </c>
      <c r="AH15" s="49"/>
      <c r="AI15" s="49"/>
      <c r="AK15" s="32" t="s">
        <v>49</v>
      </c>
      <c r="AL15" t="s">
        <v>36</v>
      </c>
      <c r="AM15" t="s">
        <v>228</v>
      </c>
      <c r="AN15" t="s">
        <v>229</v>
      </c>
      <c r="AS15" t="s">
        <v>102</v>
      </c>
      <c r="AT15" t="s">
        <v>63</v>
      </c>
      <c r="AU15">
        <f>5.5/12</f>
        <v>0.45833333333333331</v>
      </c>
      <c r="AW15" t="s">
        <v>102</v>
      </c>
      <c r="AX15" s="18" t="s">
        <v>609</v>
      </c>
      <c r="AY15" s="18">
        <v>5</v>
      </c>
      <c r="AZ15" s="18" t="s">
        <v>104</v>
      </c>
      <c r="BA15" s="18" t="s">
        <v>612</v>
      </c>
      <c r="BB15" t="s">
        <v>105</v>
      </c>
      <c r="BC15" s="18" t="s">
        <v>106</v>
      </c>
      <c r="BD15" s="18" t="s">
        <v>621</v>
      </c>
      <c r="BE15" t="s">
        <v>105</v>
      </c>
      <c r="BF15" s="18" t="s">
        <v>609</v>
      </c>
      <c r="BG15" s="18" t="s">
        <v>102</v>
      </c>
      <c r="BH15" s="18" t="s">
        <v>633</v>
      </c>
      <c r="BK15" t="s">
        <v>60</v>
      </c>
      <c r="BM15" s="5" t="s">
        <v>230</v>
      </c>
    </row>
    <row r="16" spans="2:81" x14ac:dyDescent="0.25">
      <c r="K16" t="s">
        <v>231</v>
      </c>
      <c r="M16">
        <v>9000</v>
      </c>
      <c r="AB16">
        <v>15</v>
      </c>
      <c r="AH16" s="49"/>
      <c r="AI16" s="49"/>
      <c r="AK16" s="32" t="s">
        <v>49</v>
      </c>
      <c r="AL16" t="s">
        <v>36</v>
      </c>
      <c r="AM16" t="s">
        <v>232</v>
      </c>
      <c r="AN16" t="s">
        <v>233</v>
      </c>
      <c r="AS16" t="s">
        <v>114</v>
      </c>
      <c r="AT16" t="s">
        <v>63</v>
      </c>
      <c r="AU16">
        <f>7.75/12</f>
        <v>0.64583333333333337</v>
      </c>
      <c r="AW16" t="s">
        <v>114</v>
      </c>
      <c r="AX16" s="18" t="s">
        <v>609</v>
      </c>
      <c r="AY16" s="18">
        <v>6</v>
      </c>
      <c r="AZ16" s="18" t="s">
        <v>116</v>
      </c>
      <c r="BA16" s="18" t="s">
        <v>613</v>
      </c>
      <c r="BB16" t="s">
        <v>117</v>
      </c>
      <c r="BC16" s="18" t="s">
        <v>118</v>
      </c>
      <c r="BD16" s="18" t="s">
        <v>624</v>
      </c>
      <c r="BE16" t="s">
        <v>117</v>
      </c>
      <c r="BF16" s="18" t="s">
        <v>609</v>
      </c>
      <c r="BG16" s="18" t="s">
        <v>114</v>
      </c>
      <c r="BH16" s="18" t="s">
        <v>634</v>
      </c>
      <c r="BK16" t="s">
        <v>60</v>
      </c>
      <c r="BM16" s="5" t="s">
        <v>234</v>
      </c>
    </row>
    <row r="17" spans="2:65" x14ac:dyDescent="0.25">
      <c r="B17" s="1" t="s">
        <v>235</v>
      </c>
      <c r="K17" t="s">
        <v>236</v>
      </c>
      <c r="M17">
        <v>9500</v>
      </c>
      <c r="AB17">
        <v>16</v>
      </c>
      <c r="AH17" s="49"/>
      <c r="AI17" s="49"/>
      <c r="AK17" s="32" t="s">
        <v>49</v>
      </c>
      <c r="AL17" t="s">
        <v>36</v>
      </c>
      <c r="AM17" t="s">
        <v>237</v>
      </c>
      <c r="AN17" t="s">
        <v>238</v>
      </c>
      <c r="AS17" t="s">
        <v>129</v>
      </c>
      <c r="AT17" t="s">
        <v>63</v>
      </c>
      <c r="AU17">
        <f>9/12</f>
        <v>0.75</v>
      </c>
      <c r="AW17" t="s">
        <v>129</v>
      </c>
      <c r="AX17" s="18" t="s">
        <v>609</v>
      </c>
      <c r="AY17" s="18">
        <v>7</v>
      </c>
      <c r="AZ17" s="18" t="s">
        <v>131</v>
      </c>
      <c r="BA17" s="18" t="s">
        <v>614</v>
      </c>
      <c r="BB17" t="s">
        <v>132</v>
      </c>
      <c r="BC17" s="18" t="s">
        <v>133</v>
      </c>
      <c r="BD17" s="18" t="s">
        <v>625</v>
      </c>
      <c r="BE17" t="s">
        <v>132</v>
      </c>
      <c r="BF17" s="18" t="s">
        <v>609</v>
      </c>
      <c r="BG17" s="18" t="s">
        <v>129</v>
      </c>
      <c r="BH17" s="18" t="s">
        <v>635</v>
      </c>
      <c r="BK17" t="s">
        <v>60</v>
      </c>
      <c r="BM17" s="5" t="s">
        <v>239</v>
      </c>
    </row>
    <row r="18" spans="2:65" x14ac:dyDescent="0.25">
      <c r="B18" s="2" t="s">
        <v>240</v>
      </c>
      <c r="C18"/>
      <c r="D18" s="15"/>
      <c r="K18" t="s">
        <v>241</v>
      </c>
      <c r="M18">
        <v>10000</v>
      </c>
      <c r="U18" t="s">
        <v>44</v>
      </c>
      <c r="V18" t="s">
        <v>44</v>
      </c>
      <c r="AB18">
        <v>17</v>
      </c>
      <c r="AG18" t="s">
        <v>67</v>
      </c>
      <c r="AH18" t="s">
        <v>139</v>
      </c>
      <c r="AI18">
        <v>200</v>
      </c>
      <c r="AK18" s="32" t="s">
        <v>49</v>
      </c>
      <c r="AL18" t="s">
        <v>36</v>
      </c>
      <c r="AM18" t="s">
        <v>242</v>
      </c>
      <c r="AN18" t="s">
        <v>243</v>
      </c>
      <c r="AS18" t="s">
        <v>142</v>
      </c>
      <c r="AT18" t="s">
        <v>63</v>
      </c>
      <c r="AU18">
        <f>10.25/12</f>
        <v>0.85416666666666663</v>
      </c>
      <c r="AW18" t="s">
        <v>142</v>
      </c>
      <c r="AX18" s="18" t="s">
        <v>609</v>
      </c>
      <c r="AY18" s="18">
        <v>8</v>
      </c>
      <c r="AZ18" s="18" t="s">
        <v>144</v>
      </c>
      <c r="BA18" s="18" t="s">
        <v>615</v>
      </c>
      <c r="BB18" t="s">
        <v>145</v>
      </c>
      <c r="BC18" s="18" t="s">
        <v>146</v>
      </c>
      <c r="BD18" s="18" t="s">
        <v>626</v>
      </c>
      <c r="BE18" t="s">
        <v>145</v>
      </c>
      <c r="BF18" s="18" t="s">
        <v>609</v>
      </c>
      <c r="BG18" s="18" t="s">
        <v>142</v>
      </c>
      <c r="BH18" s="18" t="s">
        <v>636</v>
      </c>
      <c r="BK18" t="s">
        <v>60</v>
      </c>
      <c r="BM18" s="5" t="s">
        <v>244</v>
      </c>
    </row>
    <row r="19" spans="2:65" x14ac:dyDescent="0.25">
      <c r="B19" s="2" t="s">
        <v>245</v>
      </c>
      <c r="C19" t="s">
        <v>11</v>
      </c>
      <c r="K19" t="s">
        <v>246</v>
      </c>
      <c r="M19">
        <v>10500</v>
      </c>
      <c r="U19" t="s">
        <v>52</v>
      </c>
      <c r="V19" t="s">
        <v>97</v>
      </c>
      <c r="AB19">
        <v>18</v>
      </c>
      <c r="AK19" s="32" t="s">
        <v>49</v>
      </c>
      <c r="AL19" t="s">
        <v>36</v>
      </c>
      <c r="AM19" t="s">
        <v>247</v>
      </c>
      <c r="AN19" t="s">
        <v>248</v>
      </c>
      <c r="AS19" t="s">
        <v>154</v>
      </c>
      <c r="AT19" t="s">
        <v>63</v>
      </c>
      <c r="AW19" t="s">
        <v>154</v>
      </c>
      <c r="AX19" s="18" t="s">
        <v>609</v>
      </c>
      <c r="AY19" s="18">
        <v>9</v>
      </c>
      <c r="AZ19" s="18" t="s">
        <v>156</v>
      </c>
      <c r="BA19" s="18" t="s">
        <v>616</v>
      </c>
      <c r="BB19" t="s">
        <v>157</v>
      </c>
      <c r="BC19" s="18" t="s">
        <v>158</v>
      </c>
      <c r="BD19" s="18" t="s">
        <v>627</v>
      </c>
      <c r="BE19" t="s">
        <v>157</v>
      </c>
      <c r="BF19" s="18" t="s">
        <v>609</v>
      </c>
      <c r="BG19" s="18" t="s">
        <v>154</v>
      </c>
      <c r="BH19" s="18" t="s">
        <v>637</v>
      </c>
      <c r="BK19" t="s">
        <v>60</v>
      </c>
      <c r="BM19" s="5"/>
    </row>
    <row r="20" spans="2:65" x14ac:dyDescent="0.25">
      <c r="B20" s="2" t="s">
        <v>249</v>
      </c>
      <c r="C20" t="s">
        <v>42</v>
      </c>
      <c r="D20" s="76" t="s">
        <v>735</v>
      </c>
      <c r="E20" s="61">
        <f>LEFT(D20,FIND("-",D20)-1)+(RIGHT(D20,LEN(D20)-FIND("-",D20))/12)</f>
        <v>0</v>
      </c>
      <c r="K20" t="s">
        <v>250</v>
      </c>
      <c r="M20">
        <v>11000</v>
      </c>
      <c r="U20" t="s">
        <v>80</v>
      </c>
      <c r="AB20">
        <v>19</v>
      </c>
      <c r="AG20" t="s">
        <v>67</v>
      </c>
      <c r="AH20" t="s">
        <v>177</v>
      </c>
      <c r="AI20">
        <v>200</v>
      </c>
      <c r="AK20" s="32" t="s">
        <v>49</v>
      </c>
      <c r="AL20" t="s">
        <v>36</v>
      </c>
      <c r="AM20" t="s">
        <v>251</v>
      </c>
      <c r="AN20" t="s">
        <v>252</v>
      </c>
      <c r="AS20" t="s">
        <v>166</v>
      </c>
      <c r="AT20" t="s">
        <v>63</v>
      </c>
      <c r="AW20" t="s">
        <v>166</v>
      </c>
      <c r="AX20" s="18" t="s">
        <v>609</v>
      </c>
      <c r="AY20" s="18">
        <v>10</v>
      </c>
      <c r="AZ20" s="18" t="s">
        <v>168</v>
      </c>
      <c r="BA20" s="18" t="s">
        <v>617</v>
      </c>
      <c r="BB20" t="s">
        <v>169</v>
      </c>
      <c r="BC20" s="18" t="s">
        <v>170</v>
      </c>
      <c r="BD20" s="18" t="s">
        <v>628</v>
      </c>
      <c r="BE20" t="s">
        <v>169</v>
      </c>
      <c r="BF20" s="18" t="s">
        <v>609</v>
      </c>
      <c r="BG20" s="18" t="s">
        <v>166</v>
      </c>
      <c r="BH20" s="18" t="s">
        <v>638</v>
      </c>
      <c r="BK20" t="s">
        <v>60</v>
      </c>
    </row>
    <row r="21" spans="2:65" x14ac:dyDescent="0.25">
      <c r="B21" s="2" t="s">
        <v>253</v>
      </c>
      <c r="D21" s="72"/>
      <c r="K21" t="s">
        <v>254</v>
      </c>
      <c r="M21">
        <v>11500</v>
      </c>
      <c r="U21" t="s">
        <v>102</v>
      </c>
      <c r="AB21">
        <v>20</v>
      </c>
      <c r="AG21" t="s">
        <v>67</v>
      </c>
      <c r="AH21" t="s">
        <v>191</v>
      </c>
      <c r="AI21">
        <v>700</v>
      </c>
      <c r="AK21" s="32" t="s">
        <v>49</v>
      </c>
      <c r="AL21" t="s">
        <v>36</v>
      </c>
      <c r="AM21" t="s">
        <v>255</v>
      </c>
      <c r="AN21" t="s">
        <v>256</v>
      </c>
      <c r="AS21" t="s">
        <v>181</v>
      </c>
      <c r="AT21" t="s">
        <v>63</v>
      </c>
      <c r="AW21" t="s">
        <v>181</v>
      </c>
      <c r="AX21" s="18" t="s">
        <v>609</v>
      </c>
      <c r="AY21" s="18">
        <v>11</v>
      </c>
      <c r="AZ21" s="18" t="s">
        <v>183</v>
      </c>
      <c r="BA21" s="18" t="s">
        <v>618</v>
      </c>
      <c r="BB21" t="s">
        <v>184</v>
      </c>
      <c r="BC21" s="18" t="s">
        <v>185</v>
      </c>
      <c r="BD21" s="18" t="s">
        <v>629</v>
      </c>
      <c r="BE21" t="s">
        <v>184</v>
      </c>
      <c r="BF21" s="18" t="s">
        <v>609</v>
      </c>
      <c r="BG21" s="18" t="s">
        <v>181</v>
      </c>
      <c r="BH21" s="18" t="s">
        <v>639</v>
      </c>
      <c r="BK21" t="s">
        <v>60</v>
      </c>
    </row>
    <row r="22" spans="2:65" x14ac:dyDescent="0.25">
      <c r="B22" s="2" t="s">
        <v>257</v>
      </c>
      <c r="C22" s="19"/>
      <c r="K22" t="s">
        <v>258</v>
      </c>
      <c r="M22">
        <v>12000</v>
      </c>
      <c r="U22" t="s">
        <v>114</v>
      </c>
      <c r="AB22">
        <v>21</v>
      </c>
      <c r="AG22" t="s">
        <v>93</v>
      </c>
      <c r="AH22" t="s">
        <v>39</v>
      </c>
      <c r="AI22">
        <v>200</v>
      </c>
      <c r="AK22" s="32" t="s">
        <v>49</v>
      </c>
      <c r="AL22" t="s">
        <v>36</v>
      </c>
      <c r="AM22" t="s">
        <v>259</v>
      </c>
      <c r="AN22" t="s">
        <v>260</v>
      </c>
      <c r="AS22" t="s">
        <v>195</v>
      </c>
      <c r="AT22" t="s">
        <v>63</v>
      </c>
      <c r="AW22" t="s">
        <v>195</v>
      </c>
      <c r="AX22" s="18" t="s">
        <v>609</v>
      </c>
      <c r="AY22" s="18">
        <v>14</v>
      </c>
      <c r="AZ22" s="18" t="s">
        <v>197</v>
      </c>
      <c r="BA22" s="18" t="s">
        <v>619</v>
      </c>
      <c r="BB22" t="s">
        <v>198</v>
      </c>
      <c r="BC22" s="18" t="s">
        <v>199</v>
      </c>
      <c r="BD22" s="18" t="s">
        <v>630</v>
      </c>
      <c r="BE22" t="s">
        <v>198</v>
      </c>
      <c r="BF22" s="18" t="s">
        <v>609</v>
      </c>
      <c r="BG22" s="18" t="s">
        <v>195</v>
      </c>
      <c r="BH22" s="18" t="s">
        <v>640</v>
      </c>
      <c r="BK22" t="s">
        <v>60</v>
      </c>
    </row>
    <row r="23" spans="2:65" x14ac:dyDescent="0.25">
      <c r="B23" s="2" t="s">
        <v>261</v>
      </c>
      <c r="C23" s="19"/>
      <c r="K23" t="s">
        <v>262</v>
      </c>
      <c r="U23" t="s">
        <v>129</v>
      </c>
      <c r="AB23">
        <v>22</v>
      </c>
      <c r="AG23" t="s">
        <v>93</v>
      </c>
      <c r="AH23" s="49" t="s">
        <v>76</v>
      </c>
      <c r="AI23" s="49">
        <v>120</v>
      </c>
      <c r="AK23" s="32" t="s">
        <v>49</v>
      </c>
      <c r="AL23" t="s">
        <v>36</v>
      </c>
      <c r="AM23" t="s">
        <v>263</v>
      </c>
      <c r="AN23" t="s">
        <v>264</v>
      </c>
      <c r="AS23" t="s">
        <v>208</v>
      </c>
      <c r="AT23" t="s">
        <v>63</v>
      </c>
      <c r="AW23" t="s">
        <v>208</v>
      </c>
      <c r="AX23" s="18" t="s">
        <v>609</v>
      </c>
      <c r="AY23" s="18">
        <v>18</v>
      </c>
      <c r="AZ23" s="18" t="s">
        <v>210</v>
      </c>
      <c r="BA23" s="18" t="s">
        <v>620</v>
      </c>
      <c r="BB23" t="s">
        <v>211</v>
      </c>
      <c r="BC23" s="18" t="s">
        <v>212</v>
      </c>
      <c r="BD23" s="18" t="s">
        <v>631</v>
      </c>
      <c r="BE23" t="s">
        <v>211</v>
      </c>
      <c r="BF23" s="18" t="s">
        <v>609</v>
      </c>
      <c r="BG23" s="18" t="s">
        <v>208</v>
      </c>
      <c r="BH23" s="18" t="s">
        <v>641</v>
      </c>
      <c r="BK23" t="s">
        <v>60</v>
      </c>
    </row>
    <row r="24" spans="2:65" x14ac:dyDescent="0.25">
      <c r="B24" s="2" t="s">
        <v>265</v>
      </c>
      <c r="C24" s="19"/>
      <c r="D24" s="15"/>
      <c r="K24" t="s">
        <v>266</v>
      </c>
      <c r="U24" t="s">
        <v>142</v>
      </c>
      <c r="AB24">
        <v>23</v>
      </c>
      <c r="AH24" s="49"/>
      <c r="AI24" s="49"/>
      <c r="AK24" s="32" t="s">
        <v>49</v>
      </c>
      <c r="AL24" t="s">
        <v>36</v>
      </c>
      <c r="AM24" t="s">
        <v>267</v>
      </c>
      <c r="AN24" t="s">
        <v>268</v>
      </c>
      <c r="AS24" t="s">
        <v>52</v>
      </c>
      <c r="AT24" t="s">
        <v>65</v>
      </c>
      <c r="AU24">
        <f>5/12</f>
        <v>0.41666666666666669</v>
      </c>
      <c r="AW24" t="s">
        <v>52</v>
      </c>
      <c r="AX24" t="s">
        <v>67</v>
      </c>
      <c r="AY24">
        <v>3</v>
      </c>
      <c r="AZ24" t="s">
        <v>54</v>
      </c>
      <c r="BA24" t="s">
        <v>55</v>
      </c>
      <c r="BB24" t="s">
        <v>56</v>
      </c>
      <c r="BC24" t="s">
        <v>57</v>
      </c>
      <c r="BD24" t="s">
        <v>58</v>
      </c>
      <c r="BE24" t="s">
        <v>56</v>
      </c>
      <c r="BF24" t="s">
        <v>67</v>
      </c>
      <c r="BG24" t="s">
        <v>52</v>
      </c>
      <c r="BH24" t="s">
        <v>59</v>
      </c>
      <c r="BK24" t="s">
        <v>60</v>
      </c>
    </row>
    <row r="25" spans="2:65" x14ac:dyDescent="0.25">
      <c r="B25" s="2" t="s">
        <v>269</v>
      </c>
      <c r="C25" s="19"/>
      <c r="D25" s="77"/>
      <c r="E25" s="42"/>
      <c r="K25" t="s">
        <v>270</v>
      </c>
      <c r="U25" t="s">
        <v>154</v>
      </c>
      <c r="AB25">
        <v>24</v>
      </c>
      <c r="AH25" s="49"/>
      <c r="AI25" s="49"/>
      <c r="AK25" s="32" t="s">
        <v>49</v>
      </c>
      <c r="AL25" t="s">
        <v>36</v>
      </c>
      <c r="AM25" t="s">
        <v>271</v>
      </c>
      <c r="AN25" t="s">
        <v>272</v>
      </c>
      <c r="AS25" t="s">
        <v>80</v>
      </c>
      <c r="AT25" t="s">
        <v>65</v>
      </c>
      <c r="AU25">
        <f>6/12</f>
        <v>0.5</v>
      </c>
      <c r="AW25" t="s">
        <v>80</v>
      </c>
      <c r="AX25" t="s">
        <v>67</v>
      </c>
      <c r="AY25">
        <v>4</v>
      </c>
      <c r="AZ25" t="s">
        <v>81</v>
      </c>
      <c r="BA25" t="s">
        <v>82</v>
      </c>
      <c r="BB25" t="s">
        <v>83</v>
      </c>
      <c r="BC25" t="s">
        <v>84</v>
      </c>
      <c r="BD25" t="s">
        <v>85</v>
      </c>
      <c r="BE25" t="s">
        <v>83</v>
      </c>
      <c r="BF25" t="s">
        <v>67</v>
      </c>
      <c r="BG25" t="s">
        <v>80</v>
      </c>
      <c r="BH25" t="s">
        <v>86</v>
      </c>
      <c r="BK25" t="s">
        <v>60</v>
      </c>
    </row>
    <row r="26" spans="2:65" x14ac:dyDescent="0.25">
      <c r="B26" s="2" t="s">
        <v>92</v>
      </c>
      <c r="C26" t="s">
        <v>96</v>
      </c>
      <c r="K26" t="s">
        <v>273</v>
      </c>
      <c r="U26" t="s">
        <v>166</v>
      </c>
      <c r="AB26">
        <v>25</v>
      </c>
      <c r="AH26" s="49"/>
      <c r="AI26" s="49"/>
      <c r="AK26" s="32" t="s">
        <v>49</v>
      </c>
      <c r="AL26" t="s">
        <v>36</v>
      </c>
      <c r="AM26" t="s">
        <v>274</v>
      </c>
      <c r="AN26" t="s">
        <v>275</v>
      </c>
      <c r="AS26" t="s">
        <v>102</v>
      </c>
      <c r="AT26" t="s">
        <v>65</v>
      </c>
      <c r="AU26">
        <f>7/12</f>
        <v>0.58333333333333337</v>
      </c>
      <c r="AW26" t="s">
        <v>102</v>
      </c>
      <c r="AX26" t="s">
        <v>67</v>
      </c>
      <c r="AY26">
        <v>5</v>
      </c>
      <c r="AZ26" t="s">
        <v>103</v>
      </c>
      <c r="BA26" t="s">
        <v>104</v>
      </c>
      <c r="BB26" t="s">
        <v>105</v>
      </c>
      <c r="BC26" t="s">
        <v>106</v>
      </c>
      <c r="BD26" t="s">
        <v>107</v>
      </c>
      <c r="BE26" t="s">
        <v>105</v>
      </c>
      <c r="BF26" t="s">
        <v>67</v>
      </c>
      <c r="BG26" t="s">
        <v>102</v>
      </c>
      <c r="BH26" t="s">
        <v>64</v>
      </c>
      <c r="BK26" t="s">
        <v>60</v>
      </c>
    </row>
    <row r="27" spans="2:65" x14ac:dyDescent="0.25">
      <c r="B27" s="2"/>
      <c r="K27" t="s">
        <v>276</v>
      </c>
      <c r="U27" t="s">
        <v>181</v>
      </c>
      <c r="AB27">
        <v>26</v>
      </c>
      <c r="AH27" s="49"/>
      <c r="AI27" s="49"/>
      <c r="AK27" s="32" t="s">
        <v>49</v>
      </c>
      <c r="AL27" t="s">
        <v>36</v>
      </c>
      <c r="AM27" t="s">
        <v>277</v>
      </c>
      <c r="AN27" t="s">
        <v>278</v>
      </c>
      <c r="AS27" t="s">
        <v>114</v>
      </c>
      <c r="AT27" t="s">
        <v>65</v>
      </c>
      <c r="AU27">
        <f>8/12</f>
        <v>0.66666666666666663</v>
      </c>
      <c r="AW27" t="s">
        <v>114</v>
      </c>
      <c r="AX27" t="s">
        <v>67</v>
      </c>
      <c r="AY27">
        <v>6</v>
      </c>
      <c r="AZ27" t="s">
        <v>115</v>
      </c>
      <c r="BA27" t="s">
        <v>116</v>
      </c>
      <c r="BB27" t="s">
        <v>117</v>
      </c>
      <c r="BC27" t="s">
        <v>118</v>
      </c>
      <c r="BD27" t="s">
        <v>119</v>
      </c>
      <c r="BE27" t="s">
        <v>117</v>
      </c>
      <c r="BF27" t="s">
        <v>67</v>
      </c>
      <c r="BG27" t="s">
        <v>114</v>
      </c>
      <c r="BH27" t="s">
        <v>120</v>
      </c>
      <c r="BK27" t="s">
        <v>60</v>
      </c>
    </row>
    <row r="28" spans="2:65" x14ac:dyDescent="0.25">
      <c r="B28" s="1" t="s">
        <v>279</v>
      </c>
      <c r="K28" t="s">
        <v>280</v>
      </c>
      <c r="U28" t="s">
        <v>195</v>
      </c>
      <c r="AB28">
        <v>27</v>
      </c>
      <c r="AG28" t="s">
        <v>93</v>
      </c>
      <c r="AH28" t="s">
        <v>139</v>
      </c>
      <c r="AI28">
        <v>200</v>
      </c>
      <c r="AK28" s="32" t="s">
        <v>49</v>
      </c>
      <c r="AL28" t="s">
        <v>36</v>
      </c>
      <c r="AM28" t="s">
        <v>281</v>
      </c>
      <c r="AN28" t="s">
        <v>282</v>
      </c>
      <c r="AS28" t="s">
        <v>129</v>
      </c>
      <c r="AT28" t="s">
        <v>65</v>
      </c>
      <c r="AU28">
        <f>10/12</f>
        <v>0.83333333333333337</v>
      </c>
      <c r="AW28" t="s">
        <v>129</v>
      </c>
      <c r="AX28" t="s">
        <v>67</v>
      </c>
      <c r="AY28">
        <v>7</v>
      </c>
      <c r="AZ28" t="s">
        <v>130</v>
      </c>
      <c r="BA28" t="s">
        <v>131</v>
      </c>
      <c r="BB28" t="s">
        <v>132</v>
      </c>
      <c r="BC28" t="s">
        <v>133</v>
      </c>
      <c r="BD28" t="s">
        <v>134</v>
      </c>
      <c r="BE28" t="s">
        <v>132</v>
      </c>
      <c r="BF28" t="s">
        <v>67</v>
      </c>
      <c r="BG28" t="s">
        <v>129</v>
      </c>
      <c r="BH28" t="s">
        <v>135</v>
      </c>
      <c r="BK28" t="s">
        <v>60</v>
      </c>
    </row>
    <row r="29" spans="2:65" x14ac:dyDescent="0.25">
      <c r="B29" s="2" t="s">
        <v>283</v>
      </c>
      <c r="C29" t="s">
        <v>11</v>
      </c>
      <c r="J29" s="4"/>
      <c r="K29" t="s">
        <v>284</v>
      </c>
      <c r="U29" t="s">
        <v>208</v>
      </c>
      <c r="AB29">
        <v>28</v>
      </c>
      <c r="AK29" s="32" t="s">
        <v>49</v>
      </c>
      <c r="AL29" t="s">
        <v>36</v>
      </c>
      <c r="AM29" t="s">
        <v>285</v>
      </c>
      <c r="AN29" t="s">
        <v>286</v>
      </c>
      <c r="AS29" t="s">
        <v>142</v>
      </c>
      <c r="AT29" t="s">
        <v>65</v>
      </c>
      <c r="AU29">
        <f>11/12</f>
        <v>0.91666666666666663</v>
      </c>
      <c r="AW29" t="s">
        <v>142</v>
      </c>
      <c r="AX29" t="s">
        <v>67</v>
      </c>
      <c r="AY29">
        <v>8</v>
      </c>
      <c r="AZ29" t="s">
        <v>143</v>
      </c>
      <c r="BA29" t="s">
        <v>144</v>
      </c>
      <c r="BB29" t="s">
        <v>145</v>
      </c>
      <c r="BC29" t="s">
        <v>146</v>
      </c>
      <c r="BD29" t="s">
        <v>147</v>
      </c>
      <c r="BE29" t="s">
        <v>145</v>
      </c>
      <c r="BF29" t="s">
        <v>67</v>
      </c>
      <c r="BG29" t="s">
        <v>142</v>
      </c>
      <c r="BH29" t="s">
        <v>148</v>
      </c>
      <c r="BK29" t="s">
        <v>60</v>
      </c>
    </row>
    <row r="30" spans="2:65" x14ac:dyDescent="0.25">
      <c r="B30" s="2" t="s">
        <v>244</v>
      </c>
      <c r="C30"/>
      <c r="J30" s="4"/>
      <c r="K30" t="s">
        <v>287</v>
      </c>
      <c r="AB30">
        <v>29</v>
      </c>
      <c r="AG30" t="s">
        <v>93</v>
      </c>
      <c r="AH30" t="s">
        <v>177</v>
      </c>
      <c r="AI30">
        <v>200</v>
      </c>
      <c r="AK30" s="32" t="s">
        <v>49</v>
      </c>
      <c r="AL30" t="s">
        <v>36</v>
      </c>
      <c r="AM30" t="s">
        <v>288</v>
      </c>
      <c r="AN30" t="s">
        <v>289</v>
      </c>
      <c r="AS30" t="s">
        <v>154</v>
      </c>
      <c r="AT30" t="s">
        <v>65</v>
      </c>
      <c r="AU30">
        <f>1+(3/12)</f>
        <v>1.25</v>
      </c>
      <c r="AW30" t="s">
        <v>154</v>
      </c>
      <c r="AX30" t="s">
        <v>67</v>
      </c>
      <c r="AY30">
        <v>9</v>
      </c>
      <c r="AZ30" t="s">
        <v>155</v>
      </c>
      <c r="BA30" t="s">
        <v>156</v>
      </c>
      <c r="BB30" t="s">
        <v>157</v>
      </c>
      <c r="BC30" t="s">
        <v>158</v>
      </c>
      <c r="BD30" t="s">
        <v>159</v>
      </c>
      <c r="BE30" t="s">
        <v>157</v>
      </c>
      <c r="BF30" t="s">
        <v>67</v>
      </c>
      <c r="BG30" t="s">
        <v>154</v>
      </c>
      <c r="BH30" t="s">
        <v>89</v>
      </c>
      <c r="BK30" t="s">
        <v>60</v>
      </c>
    </row>
    <row r="31" spans="2:65" x14ac:dyDescent="0.25">
      <c r="B31" s="2" t="s">
        <v>290</v>
      </c>
      <c r="C31" s="5" t="s">
        <v>98</v>
      </c>
      <c r="J31" s="4"/>
      <c r="K31" t="s">
        <v>291</v>
      </c>
      <c r="AB31">
        <v>30</v>
      </c>
      <c r="AG31" t="s">
        <v>93</v>
      </c>
      <c r="AH31" t="s">
        <v>191</v>
      </c>
      <c r="AI31">
        <v>700</v>
      </c>
      <c r="AK31" s="32" t="s">
        <v>49</v>
      </c>
      <c r="AL31" t="s">
        <v>36</v>
      </c>
      <c r="AM31" t="s">
        <v>292</v>
      </c>
      <c r="AN31" t="s">
        <v>293</v>
      </c>
      <c r="AS31" t="s">
        <v>166</v>
      </c>
      <c r="AT31" t="s">
        <v>65</v>
      </c>
      <c r="AU31">
        <f>1+(5/12)</f>
        <v>1.4166666666666667</v>
      </c>
      <c r="AW31" t="s">
        <v>166</v>
      </c>
      <c r="AX31" t="s">
        <v>67</v>
      </c>
      <c r="AY31">
        <v>10</v>
      </c>
      <c r="AZ31" t="s">
        <v>167</v>
      </c>
      <c r="BA31" t="s">
        <v>168</v>
      </c>
      <c r="BB31" t="s">
        <v>169</v>
      </c>
      <c r="BC31" t="s">
        <v>170</v>
      </c>
      <c r="BD31" t="s">
        <v>171</v>
      </c>
      <c r="BE31" t="s">
        <v>169</v>
      </c>
      <c r="BF31" t="s">
        <v>67</v>
      </c>
      <c r="BG31" t="s">
        <v>166</v>
      </c>
      <c r="BH31" t="s">
        <v>172</v>
      </c>
      <c r="BK31" t="s">
        <v>60</v>
      </c>
    </row>
    <row r="32" spans="2:65" x14ac:dyDescent="0.25">
      <c r="B32" s="2" t="s">
        <v>294</v>
      </c>
      <c r="C32" t="s">
        <v>66</v>
      </c>
      <c r="D32" s="2" t="s">
        <v>295</v>
      </c>
      <c r="E32" s="5"/>
      <c r="J32" s="4"/>
      <c r="K32" t="s">
        <v>296</v>
      </c>
      <c r="AB32">
        <v>31</v>
      </c>
      <c r="AG32" t="s">
        <v>111</v>
      </c>
      <c r="AH32" t="s">
        <v>39</v>
      </c>
      <c r="AI32">
        <v>200</v>
      </c>
      <c r="AK32" s="32" t="s">
        <v>49</v>
      </c>
      <c r="AL32" t="s">
        <v>36</v>
      </c>
      <c r="AM32" t="s">
        <v>297</v>
      </c>
      <c r="AN32" t="s">
        <v>298</v>
      </c>
      <c r="AS32" t="s">
        <v>181</v>
      </c>
      <c r="AT32" t="s">
        <v>65</v>
      </c>
      <c r="AU32">
        <f>1+(7/12)</f>
        <v>1.5833333333333335</v>
      </c>
      <c r="AW32" t="s">
        <v>181</v>
      </c>
      <c r="AX32" t="s">
        <v>67</v>
      </c>
      <c r="AY32">
        <v>11</v>
      </c>
      <c r="AZ32" t="s">
        <v>182</v>
      </c>
      <c r="BA32" t="s">
        <v>183</v>
      </c>
      <c r="BB32" t="s">
        <v>184</v>
      </c>
      <c r="BC32" t="s">
        <v>185</v>
      </c>
      <c r="BD32" t="s">
        <v>186</v>
      </c>
      <c r="BE32" t="s">
        <v>184</v>
      </c>
      <c r="BF32" t="s">
        <v>67</v>
      </c>
      <c r="BG32" t="s">
        <v>181</v>
      </c>
      <c r="BH32" t="s">
        <v>187</v>
      </c>
      <c r="BK32" t="s">
        <v>220</v>
      </c>
    </row>
    <row r="33" spans="2:63" x14ac:dyDescent="0.25">
      <c r="B33" s="2" t="s">
        <v>299</v>
      </c>
      <c r="C33" t="s">
        <v>91</v>
      </c>
      <c r="D33" s="2" t="s">
        <v>300</v>
      </c>
      <c r="E33" s="5" t="s">
        <v>734</v>
      </c>
      <c r="F33" s="61" t="str">
        <f>LEFT(E33,LEN(E33)-1)</f>
        <v>0</v>
      </c>
      <c r="K33" t="s">
        <v>301</v>
      </c>
      <c r="AB33">
        <v>32</v>
      </c>
      <c r="AG33" t="s">
        <v>111</v>
      </c>
      <c r="AH33" s="49" t="s">
        <v>76</v>
      </c>
      <c r="AI33" s="49">
        <v>120</v>
      </c>
      <c r="AK33" s="32" t="s">
        <v>49</v>
      </c>
      <c r="AL33" t="s">
        <v>36</v>
      </c>
      <c r="AM33" t="s">
        <v>302</v>
      </c>
      <c r="AN33" t="s">
        <v>303</v>
      </c>
      <c r="AS33" t="s">
        <v>195</v>
      </c>
      <c r="AT33" t="s">
        <v>65</v>
      </c>
      <c r="AU33">
        <f>2+(3/12)</f>
        <v>2.25</v>
      </c>
      <c r="AW33" t="s">
        <v>195</v>
      </c>
      <c r="AX33" t="s">
        <v>67</v>
      </c>
      <c r="AY33">
        <v>14</v>
      </c>
      <c r="AZ33" t="s">
        <v>196</v>
      </c>
      <c r="BA33" t="s">
        <v>197</v>
      </c>
      <c r="BB33" t="s">
        <v>198</v>
      </c>
      <c r="BC33" t="s">
        <v>199</v>
      </c>
      <c r="BD33" t="s">
        <v>200</v>
      </c>
      <c r="BE33" t="s">
        <v>198</v>
      </c>
      <c r="BF33" t="s">
        <v>67</v>
      </c>
      <c r="BG33" t="s">
        <v>195</v>
      </c>
      <c r="BH33" t="s">
        <v>201</v>
      </c>
      <c r="BK33" t="s">
        <v>60</v>
      </c>
    </row>
    <row r="34" spans="2:63" x14ac:dyDescent="0.25">
      <c r="B34" s="2" t="s">
        <v>304</v>
      </c>
      <c r="C34" t="s">
        <v>125</v>
      </c>
      <c r="K34" t="s">
        <v>305</v>
      </c>
      <c r="AB34">
        <v>33</v>
      </c>
      <c r="AH34" s="49"/>
      <c r="AI34" s="49"/>
      <c r="AK34" s="32" t="s">
        <v>49</v>
      </c>
      <c r="AL34" t="s">
        <v>36</v>
      </c>
      <c r="AM34" t="s">
        <v>306</v>
      </c>
      <c r="AN34" t="s">
        <v>307</v>
      </c>
      <c r="AS34" t="s">
        <v>208</v>
      </c>
      <c r="AT34" t="s">
        <v>65</v>
      </c>
      <c r="AU34">
        <f>3</f>
        <v>3</v>
      </c>
      <c r="AW34" t="s">
        <v>208</v>
      </c>
      <c r="AX34" t="s">
        <v>67</v>
      </c>
      <c r="AY34">
        <v>18</v>
      </c>
      <c r="AZ34" t="s">
        <v>209</v>
      </c>
      <c r="BA34" t="s">
        <v>210</v>
      </c>
      <c r="BB34" t="s">
        <v>211</v>
      </c>
      <c r="BC34" t="s">
        <v>212</v>
      </c>
      <c r="BD34" t="s">
        <v>213</v>
      </c>
      <c r="BE34" t="s">
        <v>211</v>
      </c>
      <c r="BF34" t="s">
        <v>67</v>
      </c>
      <c r="BG34" t="s">
        <v>208</v>
      </c>
      <c r="BH34" t="s">
        <v>214</v>
      </c>
      <c r="BK34" t="s">
        <v>60</v>
      </c>
    </row>
    <row r="35" spans="2:63" x14ac:dyDescent="0.25">
      <c r="B35" s="2" t="s">
        <v>308</v>
      </c>
      <c r="C35" s="19" t="s">
        <v>733</v>
      </c>
      <c r="K35" t="s">
        <v>309</v>
      </c>
      <c r="AB35">
        <v>34</v>
      </c>
      <c r="AH35" s="49"/>
      <c r="AI35" s="49"/>
      <c r="AK35" s="32" t="s">
        <v>49</v>
      </c>
      <c r="AL35" t="s">
        <v>36</v>
      </c>
      <c r="AM35" t="s">
        <v>310</v>
      </c>
      <c r="AN35" t="s">
        <v>311</v>
      </c>
      <c r="AW35" s="54" t="s">
        <v>52</v>
      </c>
      <c r="AX35" t="s">
        <v>93</v>
      </c>
      <c r="AY35">
        <v>3</v>
      </c>
      <c r="AZ35" t="s">
        <v>54</v>
      </c>
      <c r="BA35" t="s">
        <v>55</v>
      </c>
      <c r="BB35" t="s">
        <v>56</v>
      </c>
      <c r="BC35" t="s">
        <v>57</v>
      </c>
      <c r="BD35" t="s">
        <v>58</v>
      </c>
      <c r="BE35" t="s">
        <v>56</v>
      </c>
      <c r="BF35" t="s">
        <v>93</v>
      </c>
      <c r="BG35" t="s">
        <v>52</v>
      </c>
      <c r="BH35" t="s">
        <v>59</v>
      </c>
      <c r="BK35" t="s">
        <v>60</v>
      </c>
    </row>
    <row r="36" spans="2:63" x14ac:dyDescent="0.25">
      <c r="B36" s="2" t="s">
        <v>312</v>
      </c>
      <c r="C36" s="5">
        <v>5</v>
      </c>
      <c r="K36" t="s">
        <v>313</v>
      </c>
      <c r="AB36">
        <v>35</v>
      </c>
      <c r="AH36" s="49"/>
      <c r="AI36" s="49"/>
      <c r="AK36" s="32" t="s">
        <v>49</v>
      </c>
      <c r="AL36" t="s">
        <v>36</v>
      </c>
      <c r="AM36" t="s">
        <v>314</v>
      </c>
      <c r="AN36" t="s">
        <v>315</v>
      </c>
      <c r="AW36" s="54" t="s">
        <v>80</v>
      </c>
      <c r="AX36" t="s">
        <v>93</v>
      </c>
      <c r="AY36">
        <v>4</v>
      </c>
      <c r="AZ36" t="s">
        <v>81</v>
      </c>
      <c r="BA36" t="s">
        <v>82</v>
      </c>
      <c r="BB36" t="s">
        <v>83</v>
      </c>
      <c r="BC36" t="s">
        <v>84</v>
      </c>
      <c r="BD36" t="s">
        <v>85</v>
      </c>
      <c r="BE36" t="s">
        <v>83</v>
      </c>
      <c r="BF36" t="s">
        <v>93</v>
      </c>
      <c r="BG36" t="s">
        <v>80</v>
      </c>
      <c r="BH36" t="s">
        <v>86</v>
      </c>
      <c r="BK36" t="s">
        <v>60</v>
      </c>
    </row>
    <row r="37" spans="2:63" x14ac:dyDescent="0.25">
      <c r="B37" s="2" t="s">
        <v>316</v>
      </c>
      <c r="C37" s="5">
        <v>3</v>
      </c>
      <c r="K37" t="s">
        <v>317</v>
      </c>
      <c r="AB37">
        <v>36</v>
      </c>
      <c r="AH37" s="49"/>
      <c r="AI37" s="49"/>
      <c r="AK37" s="32" t="s">
        <v>49</v>
      </c>
      <c r="AL37" t="s">
        <v>36</v>
      </c>
      <c r="AM37" t="s">
        <v>318</v>
      </c>
      <c r="AN37" t="s">
        <v>319</v>
      </c>
      <c r="AW37" s="54" t="s">
        <v>102</v>
      </c>
      <c r="AX37" t="s">
        <v>93</v>
      </c>
      <c r="AY37">
        <v>5</v>
      </c>
      <c r="AZ37" t="s">
        <v>103</v>
      </c>
      <c r="BA37" t="s">
        <v>104</v>
      </c>
      <c r="BB37" t="s">
        <v>105</v>
      </c>
      <c r="BC37" t="s">
        <v>106</v>
      </c>
      <c r="BD37" t="s">
        <v>107</v>
      </c>
      <c r="BE37" t="s">
        <v>105</v>
      </c>
      <c r="BF37" t="s">
        <v>93</v>
      </c>
      <c r="BG37" t="s">
        <v>102</v>
      </c>
      <c r="BH37" t="s">
        <v>64</v>
      </c>
      <c r="BK37" t="s">
        <v>60</v>
      </c>
    </row>
    <row r="38" spans="2:63" x14ac:dyDescent="0.25">
      <c r="K38" t="s">
        <v>320</v>
      </c>
      <c r="AB38">
        <v>37</v>
      </c>
      <c r="AG38" t="s">
        <v>111</v>
      </c>
      <c r="AH38" t="s">
        <v>139</v>
      </c>
      <c r="AI38">
        <v>200</v>
      </c>
      <c r="AK38" s="32" t="s">
        <v>49</v>
      </c>
      <c r="AL38" t="s">
        <v>36</v>
      </c>
      <c r="AM38" t="s">
        <v>321</v>
      </c>
      <c r="AN38" t="s">
        <v>322</v>
      </c>
      <c r="AW38" s="54" t="s">
        <v>114</v>
      </c>
      <c r="AX38" t="s">
        <v>93</v>
      </c>
      <c r="AY38">
        <v>6</v>
      </c>
      <c r="AZ38" t="s">
        <v>115</v>
      </c>
      <c r="BA38" t="s">
        <v>116</v>
      </c>
      <c r="BB38" t="s">
        <v>117</v>
      </c>
      <c r="BC38" t="s">
        <v>118</v>
      </c>
      <c r="BD38" t="s">
        <v>119</v>
      </c>
      <c r="BE38" t="s">
        <v>117</v>
      </c>
      <c r="BF38" t="s">
        <v>93</v>
      </c>
      <c r="BG38" t="s">
        <v>114</v>
      </c>
      <c r="BH38" t="s">
        <v>120</v>
      </c>
      <c r="BK38" t="s">
        <v>60</v>
      </c>
    </row>
    <row r="39" spans="2:63" x14ac:dyDescent="0.25">
      <c r="B39" s="2" t="s">
        <v>323</v>
      </c>
      <c r="K39" t="s">
        <v>609</v>
      </c>
      <c r="AB39">
        <v>38</v>
      </c>
      <c r="AK39" s="32" t="s">
        <v>49</v>
      </c>
      <c r="AL39" t="s">
        <v>36</v>
      </c>
      <c r="AM39" t="s">
        <v>325</v>
      </c>
      <c r="AN39" t="s">
        <v>326</v>
      </c>
      <c r="AW39" s="54" t="s">
        <v>129</v>
      </c>
      <c r="AX39" t="s">
        <v>93</v>
      </c>
      <c r="AY39">
        <v>7</v>
      </c>
      <c r="AZ39" t="s">
        <v>130</v>
      </c>
      <c r="BA39" t="s">
        <v>131</v>
      </c>
      <c r="BB39" t="s">
        <v>132</v>
      </c>
      <c r="BC39" t="s">
        <v>133</v>
      </c>
      <c r="BD39" t="s">
        <v>134</v>
      </c>
      <c r="BE39" t="s">
        <v>132</v>
      </c>
      <c r="BF39" t="s">
        <v>93</v>
      </c>
      <c r="BG39" t="s">
        <v>129</v>
      </c>
      <c r="BH39" t="s">
        <v>135</v>
      </c>
      <c r="BK39" t="s">
        <v>60</v>
      </c>
    </row>
    <row r="40" spans="2:63" x14ac:dyDescent="0.25">
      <c r="B40" s="2" t="s">
        <v>257</v>
      </c>
      <c r="C40" t="s">
        <v>44</v>
      </c>
      <c r="K40" t="s">
        <v>324</v>
      </c>
      <c r="AB40">
        <v>39</v>
      </c>
      <c r="AG40" t="s">
        <v>111</v>
      </c>
      <c r="AH40" t="s">
        <v>177</v>
      </c>
      <c r="AI40">
        <v>200</v>
      </c>
      <c r="AK40" s="32" t="s">
        <v>49</v>
      </c>
      <c r="AL40" t="s">
        <v>36</v>
      </c>
      <c r="AM40" t="s">
        <v>327</v>
      </c>
      <c r="AN40" t="s">
        <v>328</v>
      </c>
      <c r="AW40" s="54" t="s">
        <v>142</v>
      </c>
      <c r="AX40" t="s">
        <v>93</v>
      </c>
      <c r="AY40">
        <v>8</v>
      </c>
      <c r="AZ40" t="s">
        <v>143</v>
      </c>
      <c r="BA40" t="s">
        <v>144</v>
      </c>
      <c r="BB40" t="s">
        <v>145</v>
      </c>
      <c r="BC40" t="s">
        <v>146</v>
      </c>
      <c r="BD40" t="s">
        <v>147</v>
      </c>
      <c r="BE40" t="s">
        <v>145</v>
      </c>
      <c r="BF40" t="s">
        <v>93</v>
      </c>
      <c r="BG40" t="s">
        <v>142</v>
      </c>
      <c r="BH40" t="s">
        <v>148</v>
      </c>
      <c r="BK40" t="s">
        <v>60</v>
      </c>
    </row>
    <row r="41" spans="2:63" x14ac:dyDescent="0.25">
      <c r="B41" s="2" t="s">
        <v>261</v>
      </c>
      <c r="C41" t="s">
        <v>44</v>
      </c>
      <c r="AB41">
        <v>40</v>
      </c>
      <c r="AG41" t="s">
        <v>111</v>
      </c>
      <c r="AH41" t="s">
        <v>191</v>
      </c>
      <c r="AI41">
        <v>700</v>
      </c>
      <c r="AK41" s="32" t="s">
        <v>49</v>
      </c>
      <c r="AL41" t="s">
        <v>36</v>
      </c>
      <c r="AM41" t="s">
        <v>329</v>
      </c>
      <c r="AN41" t="s">
        <v>330</v>
      </c>
      <c r="AW41" s="54" t="s">
        <v>154</v>
      </c>
      <c r="AX41" t="s">
        <v>93</v>
      </c>
      <c r="AY41">
        <v>9</v>
      </c>
      <c r="AZ41" t="s">
        <v>155</v>
      </c>
      <c r="BA41" t="s">
        <v>156</v>
      </c>
      <c r="BB41" t="s">
        <v>157</v>
      </c>
      <c r="BC41" t="s">
        <v>158</v>
      </c>
      <c r="BD41" t="s">
        <v>159</v>
      </c>
      <c r="BE41" t="s">
        <v>157</v>
      </c>
      <c r="BF41" t="s">
        <v>93</v>
      </c>
      <c r="BG41" t="s">
        <v>154</v>
      </c>
      <c r="BH41" t="s">
        <v>89</v>
      </c>
    </row>
    <row r="42" spans="2:63" x14ac:dyDescent="0.25">
      <c r="B42" s="2" t="s">
        <v>265</v>
      </c>
      <c r="C42" s="15" t="s">
        <v>42</v>
      </c>
      <c r="D42" s="15"/>
      <c r="AB42">
        <v>41</v>
      </c>
      <c r="AG42" t="s">
        <v>126</v>
      </c>
      <c r="AH42" s="50" t="s">
        <v>39</v>
      </c>
      <c r="AI42" s="50">
        <v>200</v>
      </c>
      <c r="AK42" s="32" t="s">
        <v>49</v>
      </c>
      <c r="AL42" t="s">
        <v>36</v>
      </c>
      <c r="AM42" t="s">
        <v>331</v>
      </c>
      <c r="AN42" t="s">
        <v>332</v>
      </c>
      <c r="AW42" s="54" t="s">
        <v>166</v>
      </c>
      <c r="AX42" t="s">
        <v>93</v>
      </c>
      <c r="AY42">
        <v>10</v>
      </c>
      <c r="AZ42" t="s">
        <v>167</v>
      </c>
      <c r="BA42" t="s">
        <v>168</v>
      </c>
      <c r="BB42" t="s">
        <v>169</v>
      </c>
      <c r="BC42" t="s">
        <v>170</v>
      </c>
      <c r="BD42" t="s">
        <v>171</v>
      </c>
      <c r="BE42" t="s">
        <v>169</v>
      </c>
      <c r="BF42" t="s">
        <v>93</v>
      </c>
      <c r="BG42" t="s">
        <v>166</v>
      </c>
      <c r="BH42" t="s">
        <v>172</v>
      </c>
    </row>
    <row r="43" spans="2:63" x14ac:dyDescent="0.25">
      <c r="B43" s="2" t="s">
        <v>269</v>
      </c>
      <c r="C43" s="15" t="s">
        <v>45</v>
      </c>
      <c r="D43" s="15"/>
      <c r="AB43">
        <v>42</v>
      </c>
      <c r="AG43" t="s">
        <v>126</v>
      </c>
      <c r="AH43" s="50" t="s">
        <v>76</v>
      </c>
      <c r="AI43" s="50">
        <v>120</v>
      </c>
      <c r="AK43" s="32" t="s">
        <v>49</v>
      </c>
      <c r="AL43" t="s">
        <v>36</v>
      </c>
      <c r="AM43" t="s">
        <v>333</v>
      </c>
      <c r="AN43" t="s">
        <v>334</v>
      </c>
      <c r="AW43" s="54" t="s">
        <v>181</v>
      </c>
      <c r="AX43" t="s">
        <v>93</v>
      </c>
      <c r="AY43">
        <v>11</v>
      </c>
      <c r="AZ43" t="s">
        <v>182</v>
      </c>
      <c r="BA43" t="s">
        <v>183</v>
      </c>
      <c r="BB43" t="s">
        <v>184</v>
      </c>
      <c r="BC43" t="s">
        <v>185</v>
      </c>
      <c r="BD43" t="s">
        <v>186</v>
      </c>
      <c r="BE43" t="s">
        <v>184</v>
      </c>
      <c r="BF43" t="s">
        <v>93</v>
      </c>
      <c r="BG43" t="s">
        <v>181</v>
      </c>
      <c r="BH43" t="s">
        <v>187</v>
      </c>
    </row>
    <row r="44" spans="2:63" x14ac:dyDescent="0.25">
      <c r="B44" t="s">
        <v>604</v>
      </c>
      <c r="C44" s="75" t="s">
        <v>151</v>
      </c>
      <c r="D44" s="77"/>
      <c r="E44" s="42"/>
      <c r="AB44">
        <v>43</v>
      </c>
      <c r="AH44" s="50"/>
      <c r="AI44" s="50"/>
      <c r="AK44" s="32" t="s">
        <v>49</v>
      </c>
      <c r="AL44" t="s">
        <v>36</v>
      </c>
      <c r="AM44" t="s">
        <v>335</v>
      </c>
      <c r="AN44" t="s">
        <v>336</v>
      </c>
      <c r="AW44" s="54" t="s">
        <v>195</v>
      </c>
      <c r="AX44" t="s">
        <v>93</v>
      </c>
      <c r="AY44">
        <v>14</v>
      </c>
      <c r="AZ44" t="s">
        <v>196</v>
      </c>
      <c r="BA44" t="s">
        <v>197</v>
      </c>
      <c r="BB44" t="s">
        <v>198</v>
      </c>
      <c r="BC44" t="s">
        <v>199</v>
      </c>
      <c r="BD44" t="s">
        <v>200</v>
      </c>
      <c r="BE44" t="s">
        <v>198</v>
      </c>
      <c r="BF44" t="s">
        <v>93</v>
      </c>
      <c r="BG44" t="s">
        <v>195</v>
      </c>
      <c r="BH44" t="s">
        <v>201</v>
      </c>
    </row>
    <row r="45" spans="2:63" x14ac:dyDescent="0.25">
      <c r="AB45">
        <v>44</v>
      </c>
      <c r="AH45" s="50"/>
      <c r="AI45" s="50"/>
      <c r="AK45" s="32" t="s">
        <v>49</v>
      </c>
      <c r="AL45" t="s">
        <v>36</v>
      </c>
      <c r="AM45" t="s">
        <v>337</v>
      </c>
      <c r="AN45" t="s">
        <v>338</v>
      </c>
      <c r="AW45" s="54" t="s">
        <v>208</v>
      </c>
      <c r="AX45" t="s">
        <v>93</v>
      </c>
      <c r="AY45">
        <v>18</v>
      </c>
      <c r="AZ45" t="s">
        <v>209</v>
      </c>
      <c r="BA45" t="s">
        <v>210</v>
      </c>
      <c r="BB45" t="s">
        <v>211</v>
      </c>
      <c r="BC45" t="s">
        <v>212</v>
      </c>
      <c r="BD45" t="s">
        <v>213</v>
      </c>
      <c r="BE45" t="s">
        <v>211</v>
      </c>
      <c r="BF45" t="s">
        <v>93</v>
      </c>
      <c r="BG45" t="s">
        <v>208</v>
      </c>
      <c r="BH45" t="s">
        <v>214</v>
      </c>
    </row>
    <row r="46" spans="2:63" x14ac:dyDescent="0.25">
      <c r="B46" s="2" t="s">
        <v>339</v>
      </c>
      <c r="C46" s="45" t="str">
        <f>INDEX(BK2:BK41,MATCH(C8,Customername,0))</f>
        <v>Acc</v>
      </c>
      <c r="AB46">
        <v>45</v>
      </c>
      <c r="AH46" s="50"/>
      <c r="AI46" s="50"/>
      <c r="AK46" s="32" t="s">
        <v>49</v>
      </c>
      <c r="AL46" t="s">
        <v>36</v>
      </c>
      <c r="AM46" t="s">
        <v>340</v>
      </c>
      <c r="AN46" t="s">
        <v>341</v>
      </c>
      <c r="AW46" s="54" t="s">
        <v>52</v>
      </c>
      <c r="AX46" s="54" t="s">
        <v>111</v>
      </c>
      <c r="AY46" s="54">
        <v>3</v>
      </c>
      <c r="AZ46" s="54" t="s">
        <v>54</v>
      </c>
      <c r="BA46" s="54" t="s">
        <v>55</v>
      </c>
      <c r="BB46" s="54" t="s">
        <v>56</v>
      </c>
      <c r="BC46" s="54" t="s">
        <v>57</v>
      </c>
      <c r="BD46" s="54" t="s">
        <v>58</v>
      </c>
      <c r="BE46" s="54" t="s">
        <v>56</v>
      </c>
      <c r="BF46" s="54" t="s">
        <v>111</v>
      </c>
      <c r="BG46" s="54" t="s">
        <v>52</v>
      </c>
      <c r="BH46" s="54" t="s">
        <v>59</v>
      </c>
    </row>
    <row r="47" spans="2:63" x14ac:dyDescent="0.25">
      <c r="AB47">
        <v>46</v>
      </c>
      <c r="AH47" s="50"/>
      <c r="AI47" s="50"/>
      <c r="AK47" s="32" t="s">
        <v>49</v>
      </c>
      <c r="AL47" t="s">
        <v>36</v>
      </c>
      <c r="AM47" t="s">
        <v>342</v>
      </c>
      <c r="AN47" t="s">
        <v>343</v>
      </c>
      <c r="AW47" s="54" t="s">
        <v>80</v>
      </c>
      <c r="AX47" s="54" t="s">
        <v>111</v>
      </c>
      <c r="AY47" s="54">
        <v>4</v>
      </c>
      <c r="AZ47" s="54" t="s">
        <v>81</v>
      </c>
      <c r="BA47" s="54" t="s">
        <v>82</v>
      </c>
      <c r="BB47" s="54" t="s">
        <v>83</v>
      </c>
      <c r="BC47" s="54" t="s">
        <v>84</v>
      </c>
      <c r="BD47" s="54" t="s">
        <v>85</v>
      </c>
      <c r="BE47" s="54" t="s">
        <v>83</v>
      </c>
      <c r="BF47" s="54" t="s">
        <v>111</v>
      </c>
      <c r="BG47" s="54" t="s">
        <v>80</v>
      </c>
      <c r="BH47" s="54" t="s">
        <v>86</v>
      </c>
    </row>
    <row r="48" spans="2:63" x14ac:dyDescent="0.25">
      <c r="AB48">
        <v>47</v>
      </c>
      <c r="AG48" t="s">
        <v>126</v>
      </c>
      <c r="AH48" s="50" t="s">
        <v>139</v>
      </c>
      <c r="AI48" s="50">
        <v>200</v>
      </c>
      <c r="AK48" s="32" t="s">
        <v>49</v>
      </c>
      <c r="AL48" t="s">
        <v>36</v>
      </c>
      <c r="AM48" t="s">
        <v>344</v>
      </c>
      <c r="AN48" t="s">
        <v>345</v>
      </c>
      <c r="AW48" s="54" t="s">
        <v>102</v>
      </c>
      <c r="AX48" s="54" t="s">
        <v>111</v>
      </c>
      <c r="AY48" s="54">
        <v>5</v>
      </c>
      <c r="AZ48" s="54" t="s">
        <v>103</v>
      </c>
      <c r="BA48" s="54" t="s">
        <v>104</v>
      </c>
      <c r="BB48" s="54" t="s">
        <v>105</v>
      </c>
      <c r="BC48" s="54" t="s">
        <v>106</v>
      </c>
      <c r="BD48" s="54" t="s">
        <v>107</v>
      </c>
      <c r="BE48" s="54" t="s">
        <v>105</v>
      </c>
      <c r="BF48" s="54" t="s">
        <v>111</v>
      </c>
      <c r="BG48" s="54" t="s">
        <v>102</v>
      </c>
      <c r="BH48" s="54" t="s">
        <v>64</v>
      </c>
    </row>
    <row r="49" spans="28:60" x14ac:dyDescent="0.25">
      <c r="AB49">
        <v>48</v>
      </c>
      <c r="AH49" s="50"/>
      <c r="AI49" s="50"/>
      <c r="AK49" s="32" t="s">
        <v>49</v>
      </c>
      <c r="AL49" t="s">
        <v>36</v>
      </c>
      <c r="AM49" t="s">
        <v>346</v>
      </c>
      <c r="AN49" t="s">
        <v>347</v>
      </c>
      <c r="AW49" s="54" t="s">
        <v>114</v>
      </c>
      <c r="AX49" s="54" t="s">
        <v>111</v>
      </c>
      <c r="AY49" s="54">
        <v>6</v>
      </c>
      <c r="AZ49" s="54" t="s">
        <v>115</v>
      </c>
      <c r="BA49" s="54" t="s">
        <v>116</v>
      </c>
      <c r="BB49" s="54" t="s">
        <v>117</v>
      </c>
      <c r="BC49" s="54" t="s">
        <v>118</v>
      </c>
      <c r="BD49" s="54" t="s">
        <v>119</v>
      </c>
      <c r="BE49" s="54" t="s">
        <v>117</v>
      </c>
      <c r="BF49" s="54" t="s">
        <v>111</v>
      </c>
      <c r="BG49" s="54" t="s">
        <v>114</v>
      </c>
      <c r="BH49" s="54" t="s">
        <v>120</v>
      </c>
    </row>
    <row r="50" spans="28:60" x14ac:dyDescent="0.25">
      <c r="AB50">
        <v>49</v>
      </c>
      <c r="AG50" t="s">
        <v>126</v>
      </c>
      <c r="AH50" s="50" t="s">
        <v>177</v>
      </c>
      <c r="AI50" s="50">
        <v>200</v>
      </c>
      <c r="AK50" s="32" t="s">
        <v>49</v>
      </c>
      <c r="AL50" t="s">
        <v>36</v>
      </c>
      <c r="AM50" t="s">
        <v>348</v>
      </c>
      <c r="AN50" t="s">
        <v>349</v>
      </c>
      <c r="AW50" s="54" t="s">
        <v>129</v>
      </c>
      <c r="AX50" s="54" t="s">
        <v>111</v>
      </c>
      <c r="AY50" s="54">
        <v>7</v>
      </c>
      <c r="AZ50" s="54" t="s">
        <v>130</v>
      </c>
      <c r="BA50" s="54" t="s">
        <v>131</v>
      </c>
      <c r="BB50" s="54" t="s">
        <v>132</v>
      </c>
      <c r="BC50" s="54" t="s">
        <v>133</v>
      </c>
      <c r="BD50" s="54" t="s">
        <v>134</v>
      </c>
      <c r="BE50" s="54" t="s">
        <v>132</v>
      </c>
      <c r="BF50" s="54" t="s">
        <v>111</v>
      </c>
      <c r="BG50" s="54" t="s">
        <v>129</v>
      </c>
      <c r="BH50" s="54" t="s">
        <v>135</v>
      </c>
    </row>
    <row r="51" spans="28:60" x14ac:dyDescent="0.25">
      <c r="AB51">
        <v>50</v>
      </c>
      <c r="AG51" t="s">
        <v>126</v>
      </c>
      <c r="AH51" s="50" t="s">
        <v>191</v>
      </c>
      <c r="AI51" s="50">
        <v>700</v>
      </c>
      <c r="AK51" s="32" t="s">
        <v>49</v>
      </c>
      <c r="AL51" t="s">
        <v>36</v>
      </c>
      <c r="AM51" t="s">
        <v>350</v>
      </c>
      <c r="AN51" t="s">
        <v>351</v>
      </c>
      <c r="AW51" s="54" t="s">
        <v>142</v>
      </c>
      <c r="AX51" s="54" t="s">
        <v>111</v>
      </c>
      <c r="AY51" s="54">
        <v>8</v>
      </c>
      <c r="AZ51" s="54" t="s">
        <v>143</v>
      </c>
      <c r="BA51" s="54" t="s">
        <v>144</v>
      </c>
      <c r="BB51" s="54" t="s">
        <v>145</v>
      </c>
      <c r="BC51" s="54" t="s">
        <v>146</v>
      </c>
      <c r="BD51" s="54" t="s">
        <v>147</v>
      </c>
      <c r="BE51" s="54" t="s">
        <v>145</v>
      </c>
      <c r="BF51" s="54" t="s">
        <v>111</v>
      </c>
      <c r="BG51" s="54" t="s">
        <v>142</v>
      </c>
      <c r="BH51" s="54" t="s">
        <v>148</v>
      </c>
    </row>
    <row r="52" spans="28:60" x14ac:dyDescent="0.25">
      <c r="AB52">
        <v>51</v>
      </c>
      <c r="AG52" t="s">
        <v>138</v>
      </c>
      <c r="AH52" t="s">
        <v>39</v>
      </c>
      <c r="AI52">
        <v>2429</v>
      </c>
      <c r="AK52" s="32" t="s">
        <v>49</v>
      </c>
      <c r="AL52" t="s">
        <v>36</v>
      </c>
      <c r="AM52" t="s">
        <v>352</v>
      </c>
      <c r="AN52" t="s">
        <v>353</v>
      </c>
      <c r="AW52" s="54" t="s">
        <v>154</v>
      </c>
      <c r="AX52" s="54" t="s">
        <v>111</v>
      </c>
      <c r="AY52" s="54">
        <v>9</v>
      </c>
      <c r="AZ52" s="54" t="s">
        <v>155</v>
      </c>
      <c r="BA52" s="54" t="s">
        <v>156</v>
      </c>
      <c r="BB52" s="54" t="s">
        <v>157</v>
      </c>
      <c r="BC52" s="54" t="s">
        <v>158</v>
      </c>
      <c r="BD52" s="54" t="s">
        <v>159</v>
      </c>
      <c r="BE52" s="54" t="s">
        <v>157</v>
      </c>
      <c r="BF52" s="54" t="s">
        <v>111</v>
      </c>
      <c r="BG52" s="54" t="s">
        <v>154</v>
      </c>
      <c r="BH52" s="54" t="s">
        <v>89</v>
      </c>
    </row>
    <row r="53" spans="28:60" x14ac:dyDescent="0.25">
      <c r="AB53">
        <v>52</v>
      </c>
      <c r="AG53" t="s">
        <v>138</v>
      </c>
      <c r="AH53" s="49" t="s">
        <v>76</v>
      </c>
      <c r="AI53" s="49" t="s">
        <v>77</v>
      </c>
      <c r="AK53" s="32" t="s">
        <v>49</v>
      </c>
      <c r="AL53" t="s">
        <v>36</v>
      </c>
      <c r="AM53" t="s">
        <v>354</v>
      </c>
      <c r="AN53" t="s">
        <v>355</v>
      </c>
      <c r="AW53" s="54" t="s">
        <v>166</v>
      </c>
      <c r="AX53" s="54" t="s">
        <v>111</v>
      </c>
      <c r="AY53" s="54">
        <v>10</v>
      </c>
      <c r="AZ53" s="54" t="s">
        <v>167</v>
      </c>
      <c r="BA53" s="54" t="s">
        <v>168</v>
      </c>
      <c r="BB53" s="54" t="s">
        <v>169</v>
      </c>
      <c r="BC53" s="54" t="s">
        <v>170</v>
      </c>
      <c r="BD53" s="54" t="s">
        <v>171</v>
      </c>
      <c r="BE53" s="54" t="s">
        <v>169</v>
      </c>
      <c r="BF53" s="54" t="s">
        <v>111</v>
      </c>
      <c r="BG53" s="54" t="s">
        <v>166</v>
      </c>
      <c r="BH53" s="54" t="s">
        <v>172</v>
      </c>
    </row>
    <row r="54" spans="28:60" x14ac:dyDescent="0.25">
      <c r="AB54">
        <v>53</v>
      </c>
      <c r="AH54" s="49"/>
      <c r="AI54" s="49"/>
      <c r="AK54" s="32" t="s">
        <v>49</v>
      </c>
      <c r="AL54" t="s">
        <v>36</v>
      </c>
      <c r="AM54" t="s">
        <v>356</v>
      </c>
      <c r="AN54" t="s">
        <v>357</v>
      </c>
      <c r="AW54" s="54" t="s">
        <v>181</v>
      </c>
      <c r="AX54" s="54" t="s">
        <v>111</v>
      </c>
      <c r="AY54" s="54">
        <v>11</v>
      </c>
      <c r="AZ54" s="54" t="s">
        <v>182</v>
      </c>
      <c r="BA54" s="54" t="s">
        <v>183</v>
      </c>
      <c r="BB54" s="54" t="s">
        <v>184</v>
      </c>
      <c r="BC54" s="54" t="s">
        <v>185</v>
      </c>
      <c r="BD54" s="54" t="s">
        <v>186</v>
      </c>
      <c r="BE54" s="54" t="s">
        <v>184</v>
      </c>
      <c r="BF54" s="54" t="s">
        <v>111</v>
      </c>
      <c r="BG54" s="54" t="s">
        <v>181</v>
      </c>
      <c r="BH54" s="54" t="s">
        <v>187</v>
      </c>
    </row>
    <row r="55" spans="28:60" x14ac:dyDescent="0.25">
      <c r="AB55">
        <v>54</v>
      </c>
      <c r="AH55" s="49"/>
      <c r="AI55" s="49"/>
      <c r="AK55" s="32" t="s">
        <v>49</v>
      </c>
      <c r="AL55" t="s">
        <v>36</v>
      </c>
      <c r="AM55" t="s">
        <v>358</v>
      </c>
      <c r="AN55" t="s">
        <v>359</v>
      </c>
      <c r="AW55" s="54" t="s">
        <v>195</v>
      </c>
      <c r="AX55" s="54" t="s">
        <v>111</v>
      </c>
      <c r="AY55" s="54">
        <v>14</v>
      </c>
      <c r="AZ55" s="54" t="s">
        <v>196</v>
      </c>
      <c r="BA55" s="54" t="s">
        <v>197</v>
      </c>
      <c r="BB55" s="54" t="s">
        <v>198</v>
      </c>
      <c r="BC55" s="54" t="s">
        <v>199</v>
      </c>
      <c r="BD55" s="54" t="s">
        <v>200</v>
      </c>
      <c r="BE55" s="54" t="s">
        <v>198</v>
      </c>
      <c r="BF55" s="54" t="s">
        <v>111</v>
      </c>
      <c r="BG55" s="54" t="s">
        <v>195</v>
      </c>
      <c r="BH55" s="54" t="s">
        <v>201</v>
      </c>
    </row>
    <row r="56" spans="28:60" x14ac:dyDescent="0.25">
      <c r="AB56">
        <v>55</v>
      </c>
      <c r="AH56" s="49"/>
      <c r="AI56" s="49"/>
      <c r="AK56" s="32" t="s">
        <v>49</v>
      </c>
      <c r="AL56" t="s">
        <v>36</v>
      </c>
      <c r="AM56" t="s">
        <v>360</v>
      </c>
      <c r="AN56" t="s">
        <v>361</v>
      </c>
      <c r="AW56" s="54" t="s">
        <v>208</v>
      </c>
      <c r="AX56" s="54" t="s">
        <v>111</v>
      </c>
      <c r="AY56" s="54">
        <v>18</v>
      </c>
      <c r="AZ56" s="54" t="s">
        <v>209</v>
      </c>
      <c r="BA56" s="54" t="s">
        <v>210</v>
      </c>
      <c r="BB56" s="54" t="s">
        <v>211</v>
      </c>
      <c r="BC56" s="54" t="s">
        <v>212</v>
      </c>
      <c r="BD56" s="54" t="s">
        <v>213</v>
      </c>
      <c r="BE56" s="54" t="s">
        <v>211</v>
      </c>
      <c r="BF56" s="54" t="s">
        <v>111</v>
      </c>
      <c r="BG56" s="54" t="s">
        <v>208</v>
      </c>
      <c r="BH56" s="54" t="s">
        <v>214</v>
      </c>
    </row>
    <row r="57" spans="28:60" x14ac:dyDescent="0.25">
      <c r="AB57">
        <v>56</v>
      </c>
      <c r="AG57" t="s">
        <v>138</v>
      </c>
      <c r="AH57" t="s">
        <v>139</v>
      </c>
      <c r="AI57">
        <v>2429</v>
      </c>
      <c r="AK57" s="32" t="s">
        <v>49</v>
      </c>
      <c r="AL57" t="s">
        <v>36</v>
      </c>
      <c r="AM57" t="s">
        <v>362</v>
      </c>
      <c r="AN57" t="s">
        <v>363</v>
      </c>
      <c r="AW57" t="s">
        <v>52</v>
      </c>
      <c r="AX57" s="54" t="s">
        <v>126</v>
      </c>
      <c r="AY57" s="54">
        <v>3</v>
      </c>
      <c r="AZ57" s="54" t="s">
        <v>54</v>
      </c>
      <c r="BA57" s="54" t="s">
        <v>55</v>
      </c>
      <c r="BB57" s="54" t="s">
        <v>56</v>
      </c>
      <c r="BC57" s="54" t="s">
        <v>57</v>
      </c>
      <c r="BD57" s="54" t="s">
        <v>58</v>
      </c>
      <c r="BE57" s="54" t="s">
        <v>56</v>
      </c>
      <c r="BF57" s="54" t="s">
        <v>111</v>
      </c>
      <c r="BG57" s="54" t="s">
        <v>52</v>
      </c>
      <c r="BH57" s="54" t="s">
        <v>59</v>
      </c>
    </row>
    <row r="58" spans="28:60" x14ac:dyDescent="0.25">
      <c r="AB58">
        <v>57</v>
      </c>
      <c r="AH58" s="49"/>
      <c r="AI58" s="49"/>
      <c r="AK58" s="32" t="s">
        <v>49</v>
      </c>
      <c r="AL58" t="s">
        <v>36</v>
      </c>
      <c r="AM58" t="s">
        <v>364</v>
      </c>
      <c r="AN58" t="s">
        <v>365</v>
      </c>
      <c r="AW58" t="s">
        <v>80</v>
      </c>
      <c r="AX58" s="54" t="s">
        <v>126</v>
      </c>
      <c r="AY58" s="54">
        <v>4</v>
      </c>
      <c r="AZ58" s="54" t="s">
        <v>81</v>
      </c>
      <c r="BA58" s="54" t="s">
        <v>82</v>
      </c>
      <c r="BB58" s="54" t="s">
        <v>83</v>
      </c>
      <c r="BC58" s="54" t="s">
        <v>84</v>
      </c>
      <c r="BD58" s="54" t="s">
        <v>85</v>
      </c>
      <c r="BE58" s="54" t="s">
        <v>83</v>
      </c>
      <c r="BF58" s="54" t="s">
        <v>111</v>
      </c>
      <c r="BG58" s="54" t="s">
        <v>80</v>
      </c>
      <c r="BH58" s="54" t="s">
        <v>86</v>
      </c>
    </row>
    <row r="59" spans="28:60" x14ac:dyDescent="0.25">
      <c r="AB59">
        <v>58</v>
      </c>
      <c r="AH59" s="49"/>
      <c r="AI59" s="49"/>
      <c r="AK59" s="32" t="s">
        <v>49</v>
      </c>
      <c r="AL59" t="s">
        <v>36</v>
      </c>
      <c r="AM59" t="s">
        <v>366</v>
      </c>
      <c r="AN59" t="s">
        <v>367</v>
      </c>
      <c r="AW59" t="s">
        <v>102</v>
      </c>
      <c r="AX59" s="54" t="s">
        <v>126</v>
      </c>
      <c r="AY59" s="54">
        <v>5</v>
      </c>
      <c r="AZ59" s="54" t="s">
        <v>103</v>
      </c>
      <c r="BA59" s="54" t="s">
        <v>104</v>
      </c>
      <c r="BB59" s="54" t="s">
        <v>105</v>
      </c>
      <c r="BC59" s="54" t="s">
        <v>106</v>
      </c>
      <c r="BD59" s="54" t="s">
        <v>107</v>
      </c>
      <c r="BE59" s="54" t="s">
        <v>105</v>
      </c>
      <c r="BF59" s="54" t="s">
        <v>111</v>
      </c>
      <c r="BG59" s="54" t="s">
        <v>102</v>
      </c>
      <c r="BH59" s="54" t="s">
        <v>64</v>
      </c>
    </row>
    <row r="60" spans="28:60" x14ac:dyDescent="0.25">
      <c r="AB60">
        <v>59</v>
      </c>
      <c r="AG60" t="s">
        <v>138</v>
      </c>
      <c r="AH60" t="s">
        <v>177</v>
      </c>
      <c r="AI60" t="s">
        <v>178</v>
      </c>
      <c r="AK60" s="32" t="s">
        <v>49</v>
      </c>
      <c r="AL60" t="s">
        <v>36</v>
      </c>
      <c r="AM60" t="s">
        <v>368</v>
      </c>
      <c r="AN60" t="s">
        <v>369</v>
      </c>
      <c r="AW60" t="s">
        <v>114</v>
      </c>
      <c r="AX60" s="54" t="s">
        <v>126</v>
      </c>
      <c r="AY60" s="54">
        <v>6</v>
      </c>
      <c r="AZ60" s="54" t="s">
        <v>115</v>
      </c>
      <c r="BA60" s="54" t="s">
        <v>116</v>
      </c>
      <c r="BB60" s="54" t="s">
        <v>117</v>
      </c>
      <c r="BC60" s="54" t="s">
        <v>118</v>
      </c>
      <c r="BD60" s="54" t="s">
        <v>119</v>
      </c>
      <c r="BE60" s="54" t="s">
        <v>117</v>
      </c>
      <c r="BF60" s="54" t="s">
        <v>111</v>
      </c>
      <c r="BG60" s="54" t="s">
        <v>114</v>
      </c>
      <c r="BH60" s="54" t="s">
        <v>120</v>
      </c>
    </row>
    <row r="61" spans="28:60" x14ac:dyDescent="0.25">
      <c r="AB61">
        <v>60</v>
      </c>
      <c r="AG61" t="s">
        <v>138</v>
      </c>
      <c r="AH61" t="s">
        <v>191</v>
      </c>
      <c r="AI61" t="s">
        <v>192</v>
      </c>
      <c r="AK61" s="32" t="s">
        <v>49</v>
      </c>
      <c r="AL61" t="s">
        <v>36</v>
      </c>
      <c r="AM61" t="s">
        <v>370</v>
      </c>
      <c r="AN61" t="s">
        <v>371</v>
      </c>
      <c r="AW61" t="s">
        <v>129</v>
      </c>
      <c r="AX61" s="54" t="s">
        <v>126</v>
      </c>
      <c r="AY61" s="54">
        <v>7</v>
      </c>
      <c r="AZ61" s="54" t="s">
        <v>130</v>
      </c>
      <c r="BA61" s="54" t="s">
        <v>131</v>
      </c>
      <c r="BB61" s="54" t="s">
        <v>132</v>
      </c>
      <c r="BC61" s="54" t="s">
        <v>133</v>
      </c>
      <c r="BD61" s="54" t="s">
        <v>134</v>
      </c>
      <c r="BE61" s="54" t="s">
        <v>132</v>
      </c>
      <c r="BF61" s="54" t="s">
        <v>111</v>
      </c>
      <c r="BG61" s="54" t="s">
        <v>129</v>
      </c>
      <c r="BH61" s="54" t="s">
        <v>135</v>
      </c>
    </row>
    <row r="62" spans="28:60" x14ac:dyDescent="0.25">
      <c r="AB62">
        <v>61</v>
      </c>
      <c r="AG62" t="s">
        <v>150</v>
      </c>
      <c r="AH62" t="s">
        <v>39</v>
      </c>
      <c r="AI62">
        <v>2429</v>
      </c>
      <c r="AW62" t="s">
        <v>142</v>
      </c>
      <c r="AX62" s="54" t="s">
        <v>126</v>
      </c>
      <c r="AY62" s="54">
        <v>8</v>
      </c>
      <c r="AZ62" s="54" t="s">
        <v>143</v>
      </c>
      <c r="BA62" s="54" t="s">
        <v>144</v>
      </c>
      <c r="BB62" s="54" t="s">
        <v>145</v>
      </c>
      <c r="BC62" s="54" t="s">
        <v>146</v>
      </c>
      <c r="BD62" s="54" t="s">
        <v>147</v>
      </c>
      <c r="BE62" s="54" t="s">
        <v>145</v>
      </c>
      <c r="BF62" s="54" t="s">
        <v>111</v>
      </c>
      <c r="BG62" s="54" t="s">
        <v>142</v>
      </c>
      <c r="BH62" s="54" t="s">
        <v>148</v>
      </c>
    </row>
    <row r="63" spans="28:60" x14ac:dyDescent="0.25">
      <c r="AB63">
        <v>62</v>
      </c>
      <c r="AG63" t="s">
        <v>150</v>
      </c>
      <c r="AH63" s="49" t="s">
        <v>76</v>
      </c>
      <c r="AI63" s="49" t="s">
        <v>77</v>
      </c>
      <c r="AK63" s="32" t="s">
        <v>49</v>
      </c>
      <c r="AL63" t="s">
        <v>609</v>
      </c>
      <c r="AM63" t="s">
        <v>50</v>
      </c>
      <c r="AN63" t="s">
        <v>51</v>
      </c>
      <c r="AW63" t="s">
        <v>154</v>
      </c>
      <c r="AX63" s="54" t="s">
        <v>126</v>
      </c>
      <c r="AY63" s="54">
        <v>9</v>
      </c>
      <c r="AZ63" s="54" t="s">
        <v>155</v>
      </c>
      <c r="BA63" s="54" t="s">
        <v>156</v>
      </c>
      <c r="BB63" s="54" t="s">
        <v>157</v>
      </c>
      <c r="BC63" s="54" t="s">
        <v>158</v>
      </c>
      <c r="BD63" s="54" t="s">
        <v>159</v>
      </c>
      <c r="BE63" s="54" t="s">
        <v>157</v>
      </c>
      <c r="BF63" s="54" t="s">
        <v>111</v>
      </c>
      <c r="BG63" s="54" t="s">
        <v>154</v>
      </c>
      <c r="BH63" s="54" t="s">
        <v>89</v>
      </c>
    </row>
    <row r="64" spans="28:60" x14ac:dyDescent="0.25">
      <c r="AB64">
        <v>63</v>
      </c>
      <c r="AH64" s="49"/>
      <c r="AI64" s="49"/>
      <c r="AK64" s="32" t="s">
        <v>49</v>
      </c>
      <c r="AL64" t="s">
        <v>609</v>
      </c>
      <c r="AM64" t="s">
        <v>78</v>
      </c>
      <c r="AN64" t="s">
        <v>79</v>
      </c>
      <c r="AW64" t="s">
        <v>166</v>
      </c>
      <c r="AX64" s="54" t="s">
        <v>126</v>
      </c>
      <c r="AY64" s="54">
        <v>10</v>
      </c>
      <c r="AZ64" s="54" t="s">
        <v>167</v>
      </c>
      <c r="BA64" s="54" t="s">
        <v>168</v>
      </c>
      <c r="BB64" s="54" t="s">
        <v>169</v>
      </c>
      <c r="BC64" s="54" t="s">
        <v>170</v>
      </c>
      <c r="BD64" s="54" t="s">
        <v>171</v>
      </c>
      <c r="BE64" s="54" t="s">
        <v>169</v>
      </c>
      <c r="BF64" s="54" t="s">
        <v>111</v>
      </c>
      <c r="BG64" s="54" t="s">
        <v>166</v>
      </c>
      <c r="BH64" s="54" t="s">
        <v>172</v>
      </c>
    </row>
    <row r="65" spans="28:60" x14ac:dyDescent="0.25">
      <c r="AB65">
        <v>64</v>
      </c>
      <c r="AH65" s="49"/>
      <c r="AI65" s="49"/>
      <c r="AK65" s="32" t="s">
        <v>49</v>
      </c>
      <c r="AL65" t="s">
        <v>609</v>
      </c>
      <c r="AM65" t="s">
        <v>100</v>
      </c>
      <c r="AN65" t="s">
        <v>101</v>
      </c>
      <c r="AW65" t="s">
        <v>181</v>
      </c>
      <c r="AX65" s="54" t="s">
        <v>126</v>
      </c>
      <c r="AY65" s="54">
        <v>11</v>
      </c>
      <c r="AZ65" s="54" t="s">
        <v>182</v>
      </c>
      <c r="BA65" s="54" t="s">
        <v>183</v>
      </c>
      <c r="BB65" s="54" t="s">
        <v>184</v>
      </c>
      <c r="BC65" s="54" t="s">
        <v>185</v>
      </c>
      <c r="BD65" s="54" t="s">
        <v>186</v>
      </c>
      <c r="BE65" s="54" t="s">
        <v>184</v>
      </c>
      <c r="BF65" s="54" t="s">
        <v>111</v>
      </c>
      <c r="BG65" s="54" t="s">
        <v>181</v>
      </c>
      <c r="BH65" s="54" t="s">
        <v>187</v>
      </c>
    </row>
    <row r="66" spans="28:60" x14ac:dyDescent="0.25">
      <c r="AB66">
        <v>65</v>
      </c>
      <c r="AH66" s="49"/>
      <c r="AI66" s="49"/>
      <c r="AK66" s="32" t="s">
        <v>49</v>
      </c>
      <c r="AL66" t="s">
        <v>609</v>
      </c>
      <c r="AM66" t="s">
        <v>112</v>
      </c>
      <c r="AN66" t="s">
        <v>113</v>
      </c>
      <c r="AW66" t="s">
        <v>195</v>
      </c>
      <c r="AX66" s="54" t="s">
        <v>126</v>
      </c>
      <c r="AY66" s="54">
        <v>14</v>
      </c>
      <c r="AZ66" s="54" t="s">
        <v>196</v>
      </c>
      <c r="BA66" s="54" t="s">
        <v>197</v>
      </c>
      <c r="BB66" s="54" t="s">
        <v>198</v>
      </c>
      <c r="BC66" s="54" t="s">
        <v>199</v>
      </c>
      <c r="BD66" s="54" t="s">
        <v>200</v>
      </c>
      <c r="BE66" s="54" t="s">
        <v>198</v>
      </c>
      <c r="BF66" s="54" t="s">
        <v>111</v>
      </c>
      <c r="BG66" s="54" t="s">
        <v>195</v>
      </c>
      <c r="BH66" s="54" t="s">
        <v>201</v>
      </c>
    </row>
    <row r="67" spans="28:60" x14ac:dyDescent="0.25">
      <c r="AB67">
        <v>66</v>
      </c>
      <c r="AG67" t="s">
        <v>150</v>
      </c>
      <c r="AH67" t="s">
        <v>139</v>
      </c>
      <c r="AI67">
        <v>2429</v>
      </c>
      <c r="AK67" s="32" t="s">
        <v>49</v>
      </c>
      <c r="AL67" t="s">
        <v>609</v>
      </c>
      <c r="AM67" t="s">
        <v>127</v>
      </c>
      <c r="AN67" t="s">
        <v>128</v>
      </c>
      <c r="AW67" t="s">
        <v>208</v>
      </c>
      <c r="AX67" s="54" t="s">
        <v>126</v>
      </c>
      <c r="AY67" s="54">
        <v>18</v>
      </c>
      <c r="AZ67" s="54" t="s">
        <v>209</v>
      </c>
      <c r="BA67" s="54" t="s">
        <v>210</v>
      </c>
      <c r="BB67" s="54" t="s">
        <v>211</v>
      </c>
      <c r="BC67" s="54" t="s">
        <v>212</v>
      </c>
      <c r="BD67" s="54" t="s">
        <v>213</v>
      </c>
      <c r="BE67" s="54" t="s">
        <v>211</v>
      </c>
      <c r="BF67" s="54" t="s">
        <v>111</v>
      </c>
      <c r="BG67" s="54" t="s">
        <v>208</v>
      </c>
      <c r="BH67" s="54" t="s">
        <v>214</v>
      </c>
    </row>
    <row r="68" spans="28:60" x14ac:dyDescent="0.25">
      <c r="AB68">
        <v>67</v>
      </c>
      <c r="AH68" s="49"/>
      <c r="AI68" s="49"/>
      <c r="AK68" s="32" t="s">
        <v>49</v>
      </c>
      <c r="AL68" t="s">
        <v>609</v>
      </c>
      <c r="AM68" t="s">
        <v>140</v>
      </c>
      <c r="AN68" t="s">
        <v>141</v>
      </c>
      <c r="AW68" t="s">
        <v>52</v>
      </c>
      <c r="AX68" t="s">
        <v>138</v>
      </c>
      <c r="AY68">
        <v>3</v>
      </c>
      <c r="AZ68" t="s">
        <v>54</v>
      </c>
      <c r="BA68" t="s">
        <v>55</v>
      </c>
      <c r="BB68" t="s">
        <v>56</v>
      </c>
      <c r="BC68" t="s">
        <v>57</v>
      </c>
      <c r="BD68" t="s">
        <v>58</v>
      </c>
      <c r="BE68" t="s">
        <v>56</v>
      </c>
      <c r="BF68" t="s">
        <v>138</v>
      </c>
      <c r="BG68" t="s">
        <v>52</v>
      </c>
      <c r="BH68" t="s">
        <v>59</v>
      </c>
    </row>
    <row r="69" spans="28:60" x14ac:dyDescent="0.25">
      <c r="AH69" s="49"/>
      <c r="AI69" s="49"/>
      <c r="AK69" s="32" t="s">
        <v>49</v>
      </c>
      <c r="AL69" t="s">
        <v>609</v>
      </c>
      <c r="AM69" t="s">
        <v>152</v>
      </c>
      <c r="AN69" t="s">
        <v>153</v>
      </c>
      <c r="AW69" t="s">
        <v>80</v>
      </c>
      <c r="AX69" t="s">
        <v>138</v>
      </c>
      <c r="AY69">
        <v>4</v>
      </c>
      <c r="AZ69" t="s">
        <v>81</v>
      </c>
      <c r="BA69" t="s">
        <v>82</v>
      </c>
      <c r="BB69" t="s">
        <v>83</v>
      </c>
      <c r="BC69" t="s">
        <v>84</v>
      </c>
      <c r="BD69" t="s">
        <v>85</v>
      </c>
      <c r="BE69" t="s">
        <v>83</v>
      </c>
      <c r="BF69" t="s">
        <v>138</v>
      </c>
      <c r="BG69" t="s">
        <v>80</v>
      </c>
      <c r="BH69" t="s">
        <v>86</v>
      </c>
    </row>
    <row r="70" spans="28:60" x14ac:dyDescent="0.25">
      <c r="AG70" t="s">
        <v>150</v>
      </c>
      <c r="AH70" t="s">
        <v>177</v>
      </c>
      <c r="AI70" t="s">
        <v>178</v>
      </c>
      <c r="AK70" s="32" t="s">
        <v>49</v>
      </c>
      <c r="AL70" t="s">
        <v>609</v>
      </c>
      <c r="AM70" t="s">
        <v>164</v>
      </c>
      <c r="AN70" t="s">
        <v>165</v>
      </c>
      <c r="AW70" t="s">
        <v>102</v>
      </c>
      <c r="AX70" t="s">
        <v>138</v>
      </c>
      <c r="AY70">
        <v>5</v>
      </c>
      <c r="AZ70" t="s">
        <v>103</v>
      </c>
      <c r="BA70" t="s">
        <v>104</v>
      </c>
      <c r="BB70" t="s">
        <v>105</v>
      </c>
      <c r="BC70" t="s">
        <v>106</v>
      </c>
      <c r="BD70" t="s">
        <v>107</v>
      </c>
      <c r="BE70" t="s">
        <v>105</v>
      </c>
      <c r="BF70" t="s">
        <v>138</v>
      </c>
      <c r="BG70" t="s">
        <v>102</v>
      </c>
      <c r="BH70" t="s">
        <v>64</v>
      </c>
    </row>
    <row r="71" spans="28:60" x14ac:dyDescent="0.25">
      <c r="AG71" t="s">
        <v>150</v>
      </c>
      <c r="AH71" t="s">
        <v>191</v>
      </c>
      <c r="AI71" t="s">
        <v>192</v>
      </c>
      <c r="AK71" s="32" t="s">
        <v>49</v>
      </c>
      <c r="AL71" t="s">
        <v>609</v>
      </c>
      <c r="AM71" t="s">
        <v>179</v>
      </c>
      <c r="AN71" t="s">
        <v>180</v>
      </c>
      <c r="AW71" t="s">
        <v>114</v>
      </c>
      <c r="AX71" t="s">
        <v>138</v>
      </c>
      <c r="AY71">
        <v>6</v>
      </c>
      <c r="AZ71" t="s">
        <v>115</v>
      </c>
      <c r="BA71" t="s">
        <v>116</v>
      </c>
      <c r="BB71" t="s">
        <v>117</v>
      </c>
      <c r="BC71" t="s">
        <v>118</v>
      </c>
      <c r="BD71" t="s">
        <v>119</v>
      </c>
      <c r="BE71" t="s">
        <v>117</v>
      </c>
      <c r="BF71" t="s">
        <v>138</v>
      </c>
      <c r="BG71" t="s">
        <v>114</v>
      </c>
      <c r="BH71" t="s">
        <v>120</v>
      </c>
    </row>
    <row r="72" spans="28:60" x14ac:dyDescent="0.25">
      <c r="AG72" t="s">
        <v>162</v>
      </c>
      <c r="AH72" t="s">
        <v>39</v>
      </c>
      <c r="AI72">
        <v>200</v>
      </c>
      <c r="AK72" s="32" t="s">
        <v>49</v>
      </c>
      <c r="AL72" t="s">
        <v>609</v>
      </c>
      <c r="AM72" t="s">
        <v>193</v>
      </c>
      <c r="AN72" t="s">
        <v>194</v>
      </c>
      <c r="AW72" t="s">
        <v>129</v>
      </c>
      <c r="AX72" t="s">
        <v>138</v>
      </c>
      <c r="AY72">
        <v>7</v>
      </c>
      <c r="AZ72" t="s">
        <v>130</v>
      </c>
      <c r="BA72" t="s">
        <v>131</v>
      </c>
      <c r="BB72" t="s">
        <v>132</v>
      </c>
      <c r="BC72" t="s">
        <v>133</v>
      </c>
      <c r="BD72" t="s">
        <v>134</v>
      </c>
      <c r="BE72" t="s">
        <v>132</v>
      </c>
      <c r="BF72" t="s">
        <v>138</v>
      </c>
      <c r="BG72" t="s">
        <v>129</v>
      </c>
      <c r="BH72" t="s">
        <v>135</v>
      </c>
    </row>
    <row r="73" spans="28:60" x14ac:dyDescent="0.25">
      <c r="AG73" t="s">
        <v>162</v>
      </c>
      <c r="AH73" s="49" t="s">
        <v>76</v>
      </c>
      <c r="AI73" s="49">
        <v>120</v>
      </c>
      <c r="AK73" s="32" t="s">
        <v>49</v>
      </c>
      <c r="AL73" t="s">
        <v>609</v>
      </c>
      <c r="AM73" t="s">
        <v>206</v>
      </c>
      <c r="AN73" t="s">
        <v>207</v>
      </c>
      <c r="AW73" t="s">
        <v>142</v>
      </c>
      <c r="AX73" t="s">
        <v>138</v>
      </c>
      <c r="AY73">
        <v>8</v>
      </c>
      <c r="AZ73" t="s">
        <v>143</v>
      </c>
      <c r="BA73" t="s">
        <v>144</v>
      </c>
      <c r="BB73" t="s">
        <v>145</v>
      </c>
      <c r="BC73" t="s">
        <v>146</v>
      </c>
      <c r="BD73" t="s">
        <v>147</v>
      </c>
      <c r="BE73" t="s">
        <v>145</v>
      </c>
      <c r="BF73" t="s">
        <v>138</v>
      </c>
      <c r="BG73" t="s">
        <v>142</v>
      </c>
      <c r="BH73" t="s">
        <v>148</v>
      </c>
    </row>
    <row r="74" spans="28:60" x14ac:dyDescent="0.25">
      <c r="AH74" s="49"/>
      <c r="AI74" s="49"/>
      <c r="AK74" s="32" t="s">
        <v>49</v>
      </c>
      <c r="AL74" t="s">
        <v>609</v>
      </c>
      <c r="AM74" t="s">
        <v>218</v>
      </c>
      <c r="AN74" t="s">
        <v>219</v>
      </c>
      <c r="AW74" t="s">
        <v>154</v>
      </c>
      <c r="AX74" t="s">
        <v>138</v>
      </c>
      <c r="AY74">
        <v>9</v>
      </c>
      <c r="AZ74" t="s">
        <v>155</v>
      </c>
      <c r="BA74" t="s">
        <v>156</v>
      </c>
      <c r="BB74" t="s">
        <v>157</v>
      </c>
      <c r="BC74" t="s">
        <v>158</v>
      </c>
      <c r="BD74" t="s">
        <v>159</v>
      </c>
      <c r="BE74" t="s">
        <v>157</v>
      </c>
      <c r="BF74" t="s">
        <v>138</v>
      </c>
      <c r="BG74" t="s">
        <v>154</v>
      </c>
      <c r="BH74" t="s">
        <v>89</v>
      </c>
    </row>
    <row r="75" spans="28:60" x14ac:dyDescent="0.25">
      <c r="AH75" s="49"/>
      <c r="AI75" s="49"/>
      <c r="AK75" s="32" t="s">
        <v>49</v>
      </c>
      <c r="AL75" t="s">
        <v>609</v>
      </c>
      <c r="AM75" t="s">
        <v>224</v>
      </c>
      <c r="AN75" t="s">
        <v>225</v>
      </c>
      <c r="AW75" t="s">
        <v>166</v>
      </c>
      <c r="AX75" t="s">
        <v>138</v>
      </c>
      <c r="AY75">
        <v>10</v>
      </c>
      <c r="AZ75" t="s">
        <v>167</v>
      </c>
      <c r="BA75" t="s">
        <v>168</v>
      </c>
      <c r="BB75" t="s">
        <v>169</v>
      </c>
      <c r="BC75" t="s">
        <v>170</v>
      </c>
      <c r="BD75" t="s">
        <v>171</v>
      </c>
      <c r="BE75" t="s">
        <v>169</v>
      </c>
      <c r="BF75" t="s">
        <v>138</v>
      </c>
      <c r="BG75" t="s">
        <v>166</v>
      </c>
      <c r="BH75" t="s">
        <v>172</v>
      </c>
    </row>
    <row r="76" spans="28:60" x14ac:dyDescent="0.25">
      <c r="AH76" s="49"/>
      <c r="AI76" s="49"/>
      <c r="AK76" s="32" t="s">
        <v>49</v>
      </c>
      <c r="AL76" t="s">
        <v>609</v>
      </c>
      <c r="AM76" t="s">
        <v>228</v>
      </c>
      <c r="AN76" t="s">
        <v>229</v>
      </c>
      <c r="AW76" t="s">
        <v>181</v>
      </c>
      <c r="AX76" t="s">
        <v>138</v>
      </c>
      <c r="AY76">
        <v>11</v>
      </c>
      <c r="AZ76" t="s">
        <v>182</v>
      </c>
      <c r="BA76" t="s">
        <v>183</v>
      </c>
      <c r="BB76" t="s">
        <v>184</v>
      </c>
      <c r="BC76" t="s">
        <v>185</v>
      </c>
      <c r="BD76" t="s">
        <v>186</v>
      </c>
      <c r="BE76" t="s">
        <v>184</v>
      </c>
      <c r="BF76" t="s">
        <v>138</v>
      </c>
      <c r="BG76" t="s">
        <v>181</v>
      </c>
      <c r="BH76" t="s">
        <v>187</v>
      </c>
    </row>
    <row r="77" spans="28:60" x14ac:dyDescent="0.25">
      <c r="AH77" s="49"/>
      <c r="AI77" s="49"/>
      <c r="AK77" s="32" t="s">
        <v>49</v>
      </c>
      <c r="AL77" t="s">
        <v>609</v>
      </c>
      <c r="AM77" t="s">
        <v>232</v>
      </c>
      <c r="AN77" t="s">
        <v>233</v>
      </c>
      <c r="AW77" t="s">
        <v>195</v>
      </c>
      <c r="AX77" t="s">
        <v>138</v>
      </c>
      <c r="AY77">
        <v>14</v>
      </c>
      <c r="AZ77" t="s">
        <v>196</v>
      </c>
      <c r="BA77" t="s">
        <v>197</v>
      </c>
      <c r="BB77" t="s">
        <v>198</v>
      </c>
      <c r="BC77" t="s">
        <v>199</v>
      </c>
      <c r="BD77" t="s">
        <v>200</v>
      </c>
      <c r="BE77" t="s">
        <v>198</v>
      </c>
      <c r="BF77" t="s">
        <v>138</v>
      </c>
      <c r="BG77" t="s">
        <v>195</v>
      </c>
      <c r="BH77" t="s">
        <v>201</v>
      </c>
    </row>
    <row r="78" spans="28:60" x14ac:dyDescent="0.25">
      <c r="AG78" t="s">
        <v>162</v>
      </c>
      <c r="AH78" t="s">
        <v>139</v>
      </c>
      <c r="AI78">
        <v>200</v>
      </c>
      <c r="AK78" s="32" t="s">
        <v>49</v>
      </c>
      <c r="AL78" t="s">
        <v>609</v>
      </c>
      <c r="AM78" t="s">
        <v>237</v>
      </c>
      <c r="AN78" t="s">
        <v>238</v>
      </c>
      <c r="AW78" t="s">
        <v>208</v>
      </c>
      <c r="AX78" t="s">
        <v>138</v>
      </c>
      <c r="AY78">
        <v>18</v>
      </c>
      <c r="AZ78" t="s">
        <v>209</v>
      </c>
      <c r="BA78" t="s">
        <v>210</v>
      </c>
      <c r="BB78" t="s">
        <v>211</v>
      </c>
      <c r="BC78" t="s">
        <v>212</v>
      </c>
      <c r="BD78" t="s">
        <v>213</v>
      </c>
      <c r="BE78" t="s">
        <v>211</v>
      </c>
      <c r="BF78" t="s">
        <v>138</v>
      </c>
      <c r="BG78" t="s">
        <v>208</v>
      </c>
      <c r="BH78" t="s">
        <v>214</v>
      </c>
    </row>
    <row r="79" spans="28:60" x14ac:dyDescent="0.25">
      <c r="AK79" s="32" t="s">
        <v>49</v>
      </c>
      <c r="AL79" t="s">
        <v>609</v>
      </c>
      <c r="AM79" t="s">
        <v>242</v>
      </c>
      <c r="AN79" t="s">
        <v>243</v>
      </c>
      <c r="AW79" t="s">
        <v>52</v>
      </c>
      <c r="AX79" t="s">
        <v>150</v>
      </c>
      <c r="AY79">
        <v>3</v>
      </c>
      <c r="AZ79" t="s">
        <v>54</v>
      </c>
      <c r="BA79" t="s">
        <v>55</v>
      </c>
      <c r="BB79" t="s">
        <v>56</v>
      </c>
      <c r="BC79" t="s">
        <v>57</v>
      </c>
      <c r="BD79" t="s">
        <v>58</v>
      </c>
      <c r="BE79" t="s">
        <v>56</v>
      </c>
      <c r="BF79" t="s">
        <v>150</v>
      </c>
      <c r="BG79" t="s">
        <v>52</v>
      </c>
      <c r="BH79" t="s">
        <v>59</v>
      </c>
    </row>
    <row r="80" spans="28:60" x14ac:dyDescent="0.25">
      <c r="AG80" t="s">
        <v>162</v>
      </c>
      <c r="AH80" t="s">
        <v>177</v>
      </c>
      <c r="AI80">
        <v>200</v>
      </c>
      <c r="AK80" s="32" t="s">
        <v>49</v>
      </c>
      <c r="AL80" t="s">
        <v>609</v>
      </c>
      <c r="AM80" t="s">
        <v>247</v>
      </c>
      <c r="AN80" t="s">
        <v>248</v>
      </c>
      <c r="AW80" t="s">
        <v>80</v>
      </c>
      <c r="AX80" t="s">
        <v>150</v>
      </c>
      <c r="AY80">
        <v>4</v>
      </c>
      <c r="AZ80" t="s">
        <v>81</v>
      </c>
      <c r="BA80" t="s">
        <v>82</v>
      </c>
      <c r="BB80" t="s">
        <v>83</v>
      </c>
      <c r="BC80" t="s">
        <v>84</v>
      </c>
      <c r="BD80" t="s">
        <v>85</v>
      </c>
      <c r="BE80" t="s">
        <v>83</v>
      </c>
      <c r="BF80" t="s">
        <v>150</v>
      </c>
      <c r="BG80" t="s">
        <v>80</v>
      </c>
      <c r="BH80" t="s">
        <v>86</v>
      </c>
    </row>
    <row r="81" spans="33:60" x14ac:dyDescent="0.25">
      <c r="AG81" t="s">
        <v>162</v>
      </c>
      <c r="AH81" t="s">
        <v>191</v>
      </c>
      <c r="AI81">
        <v>700</v>
      </c>
      <c r="AK81" s="32" t="s">
        <v>49</v>
      </c>
      <c r="AL81" t="s">
        <v>609</v>
      </c>
      <c r="AM81" t="s">
        <v>251</v>
      </c>
      <c r="AN81" t="s">
        <v>252</v>
      </c>
      <c r="AW81" t="s">
        <v>102</v>
      </c>
      <c r="AX81" t="s">
        <v>150</v>
      </c>
      <c r="AY81">
        <v>5</v>
      </c>
      <c r="AZ81" t="s">
        <v>103</v>
      </c>
      <c r="BA81" t="s">
        <v>104</v>
      </c>
      <c r="BB81" t="s">
        <v>105</v>
      </c>
      <c r="BC81" t="s">
        <v>106</v>
      </c>
      <c r="BD81" t="s">
        <v>107</v>
      </c>
      <c r="BE81" t="s">
        <v>105</v>
      </c>
      <c r="BF81" t="s">
        <v>150</v>
      </c>
      <c r="BG81" t="s">
        <v>102</v>
      </c>
      <c r="BH81" t="s">
        <v>64</v>
      </c>
    </row>
    <row r="82" spans="33:60" x14ac:dyDescent="0.25">
      <c r="AG82" t="s">
        <v>175</v>
      </c>
      <c r="AH82" t="s">
        <v>39</v>
      </c>
      <c r="AI82">
        <v>200</v>
      </c>
      <c r="AK82" s="32" t="s">
        <v>49</v>
      </c>
      <c r="AL82" t="s">
        <v>609</v>
      </c>
      <c r="AM82" t="s">
        <v>255</v>
      </c>
      <c r="AN82" t="s">
        <v>256</v>
      </c>
      <c r="AW82" t="s">
        <v>114</v>
      </c>
      <c r="AX82" t="s">
        <v>150</v>
      </c>
      <c r="AY82">
        <v>6</v>
      </c>
      <c r="AZ82" t="s">
        <v>115</v>
      </c>
      <c r="BA82" t="s">
        <v>116</v>
      </c>
      <c r="BB82" t="s">
        <v>117</v>
      </c>
      <c r="BC82" t="s">
        <v>118</v>
      </c>
      <c r="BD82" t="s">
        <v>119</v>
      </c>
      <c r="BE82" t="s">
        <v>117</v>
      </c>
      <c r="BF82" t="s">
        <v>150</v>
      </c>
      <c r="BG82" t="s">
        <v>114</v>
      </c>
      <c r="BH82" t="s">
        <v>120</v>
      </c>
    </row>
    <row r="83" spans="33:60" x14ac:dyDescent="0.25">
      <c r="AG83" t="s">
        <v>175</v>
      </c>
      <c r="AH83" s="49" t="s">
        <v>76</v>
      </c>
      <c r="AI83" s="49">
        <v>120</v>
      </c>
      <c r="AK83" s="32" t="s">
        <v>49</v>
      </c>
      <c r="AL83" t="s">
        <v>609</v>
      </c>
      <c r="AM83" t="s">
        <v>259</v>
      </c>
      <c r="AN83" t="s">
        <v>260</v>
      </c>
      <c r="AW83" t="s">
        <v>129</v>
      </c>
      <c r="AX83" t="s">
        <v>150</v>
      </c>
      <c r="AY83">
        <v>7</v>
      </c>
      <c r="AZ83" t="s">
        <v>130</v>
      </c>
      <c r="BA83" t="s">
        <v>131</v>
      </c>
      <c r="BB83" t="s">
        <v>132</v>
      </c>
      <c r="BC83" t="s">
        <v>133</v>
      </c>
      <c r="BD83" t="s">
        <v>134</v>
      </c>
      <c r="BE83" t="s">
        <v>132</v>
      </c>
      <c r="BF83" t="s">
        <v>150</v>
      </c>
      <c r="BG83" t="s">
        <v>129</v>
      </c>
      <c r="BH83" t="s">
        <v>135</v>
      </c>
    </row>
    <row r="84" spans="33:60" x14ac:dyDescent="0.25">
      <c r="AH84" s="49"/>
      <c r="AI84" s="49"/>
      <c r="AK84" s="32" t="s">
        <v>49</v>
      </c>
      <c r="AL84" t="s">
        <v>609</v>
      </c>
      <c r="AM84" t="s">
        <v>263</v>
      </c>
      <c r="AN84" t="s">
        <v>264</v>
      </c>
      <c r="AW84" t="s">
        <v>142</v>
      </c>
      <c r="AX84" t="s">
        <v>150</v>
      </c>
      <c r="AY84">
        <v>8</v>
      </c>
      <c r="AZ84" t="s">
        <v>143</v>
      </c>
      <c r="BA84" t="s">
        <v>144</v>
      </c>
      <c r="BB84" t="s">
        <v>145</v>
      </c>
      <c r="BC84" t="s">
        <v>146</v>
      </c>
      <c r="BD84" t="s">
        <v>147</v>
      </c>
      <c r="BE84" t="s">
        <v>145</v>
      </c>
      <c r="BF84" t="s">
        <v>150</v>
      </c>
      <c r="BG84" t="s">
        <v>142</v>
      </c>
      <c r="BH84" t="s">
        <v>148</v>
      </c>
    </row>
    <row r="85" spans="33:60" x14ac:dyDescent="0.25">
      <c r="AH85" s="49"/>
      <c r="AI85" s="49"/>
      <c r="AK85" s="32" t="s">
        <v>49</v>
      </c>
      <c r="AL85" t="s">
        <v>609</v>
      </c>
      <c r="AM85" t="s">
        <v>267</v>
      </c>
      <c r="AN85" t="s">
        <v>268</v>
      </c>
      <c r="AW85" t="s">
        <v>154</v>
      </c>
      <c r="AX85" t="s">
        <v>150</v>
      </c>
      <c r="AY85">
        <v>9</v>
      </c>
      <c r="AZ85" t="s">
        <v>155</v>
      </c>
      <c r="BA85" t="s">
        <v>156</v>
      </c>
      <c r="BB85" t="s">
        <v>157</v>
      </c>
      <c r="BC85" t="s">
        <v>158</v>
      </c>
      <c r="BD85" t="s">
        <v>159</v>
      </c>
      <c r="BE85" t="s">
        <v>157</v>
      </c>
      <c r="BF85" t="s">
        <v>150</v>
      </c>
      <c r="BG85" t="s">
        <v>154</v>
      </c>
      <c r="BH85" t="s">
        <v>89</v>
      </c>
    </row>
    <row r="86" spans="33:60" x14ac:dyDescent="0.25">
      <c r="AH86" s="49"/>
      <c r="AI86" s="49"/>
      <c r="AK86" s="32" t="s">
        <v>49</v>
      </c>
      <c r="AL86" t="s">
        <v>609</v>
      </c>
      <c r="AM86" t="s">
        <v>271</v>
      </c>
      <c r="AN86" t="s">
        <v>272</v>
      </c>
      <c r="AW86" t="s">
        <v>166</v>
      </c>
      <c r="AX86" t="s">
        <v>150</v>
      </c>
      <c r="AY86">
        <v>10</v>
      </c>
      <c r="AZ86" t="s">
        <v>167</v>
      </c>
      <c r="BA86" t="s">
        <v>168</v>
      </c>
      <c r="BB86" t="s">
        <v>169</v>
      </c>
      <c r="BC86" t="s">
        <v>170</v>
      </c>
      <c r="BD86" t="s">
        <v>171</v>
      </c>
      <c r="BE86" t="s">
        <v>169</v>
      </c>
      <c r="BF86" t="s">
        <v>150</v>
      </c>
      <c r="BG86" t="s">
        <v>166</v>
      </c>
      <c r="BH86" t="s">
        <v>172</v>
      </c>
    </row>
    <row r="87" spans="33:60" x14ac:dyDescent="0.25">
      <c r="AH87" s="49"/>
      <c r="AI87" s="49"/>
      <c r="AK87" s="32" t="s">
        <v>49</v>
      </c>
      <c r="AL87" t="s">
        <v>609</v>
      </c>
      <c r="AM87" t="s">
        <v>274</v>
      </c>
      <c r="AN87" t="s">
        <v>275</v>
      </c>
      <c r="AW87" t="s">
        <v>181</v>
      </c>
      <c r="AX87" t="s">
        <v>150</v>
      </c>
      <c r="AY87">
        <v>11</v>
      </c>
      <c r="AZ87" t="s">
        <v>182</v>
      </c>
      <c r="BA87" t="s">
        <v>183</v>
      </c>
      <c r="BB87" t="s">
        <v>184</v>
      </c>
      <c r="BC87" t="s">
        <v>185</v>
      </c>
      <c r="BD87" t="s">
        <v>186</v>
      </c>
      <c r="BE87" t="s">
        <v>184</v>
      </c>
      <c r="BF87" t="s">
        <v>150</v>
      </c>
      <c r="BG87" t="s">
        <v>181</v>
      </c>
      <c r="BH87" t="s">
        <v>187</v>
      </c>
    </row>
    <row r="88" spans="33:60" x14ac:dyDescent="0.25">
      <c r="AG88" t="s">
        <v>175</v>
      </c>
      <c r="AH88" t="s">
        <v>139</v>
      </c>
      <c r="AI88">
        <v>200</v>
      </c>
      <c r="AK88" s="32" t="s">
        <v>49</v>
      </c>
      <c r="AL88" t="s">
        <v>609</v>
      </c>
      <c r="AM88" t="s">
        <v>277</v>
      </c>
      <c r="AN88" t="s">
        <v>278</v>
      </c>
      <c r="AW88" t="s">
        <v>195</v>
      </c>
      <c r="AX88" t="s">
        <v>150</v>
      </c>
      <c r="AY88">
        <v>14</v>
      </c>
      <c r="AZ88" t="s">
        <v>196</v>
      </c>
      <c r="BA88" t="s">
        <v>197</v>
      </c>
      <c r="BB88" t="s">
        <v>198</v>
      </c>
      <c r="BC88" t="s">
        <v>199</v>
      </c>
      <c r="BD88" t="s">
        <v>200</v>
      </c>
      <c r="BE88" t="s">
        <v>198</v>
      </c>
      <c r="BF88" t="s">
        <v>150</v>
      </c>
      <c r="BG88" t="s">
        <v>195</v>
      </c>
      <c r="BH88" t="s">
        <v>201</v>
      </c>
    </row>
    <row r="89" spans="33:60" x14ac:dyDescent="0.25">
      <c r="AK89" s="32" t="s">
        <v>49</v>
      </c>
      <c r="AL89" t="s">
        <v>609</v>
      </c>
      <c r="AM89" t="s">
        <v>281</v>
      </c>
      <c r="AN89" t="s">
        <v>282</v>
      </c>
      <c r="AW89" t="s">
        <v>208</v>
      </c>
      <c r="AX89" t="s">
        <v>150</v>
      </c>
      <c r="AY89">
        <v>18</v>
      </c>
      <c r="AZ89" t="s">
        <v>209</v>
      </c>
      <c r="BA89" t="s">
        <v>210</v>
      </c>
      <c r="BB89" t="s">
        <v>211</v>
      </c>
      <c r="BC89" t="s">
        <v>212</v>
      </c>
      <c r="BD89" t="s">
        <v>213</v>
      </c>
      <c r="BE89" t="s">
        <v>211</v>
      </c>
      <c r="BF89" t="s">
        <v>150</v>
      </c>
      <c r="BG89" t="s">
        <v>208</v>
      </c>
      <c r="BH89" t="s">
        <v>214</v>
      </c>
    </row>
    <row r="90" spans="33:60" x14ac:dyDescent="0.25">
      <c r="AG90" t="s">
        <v>175</v>
      </c>
      <c r="AH90" t="s">
        <v>177</v>
      </c>
      <c r="AI90">
        <v>200</v>
      </c>
      <c r="AK90" s="32" t="s">
        <v>49</v>
      </c>
      <c r="AL90" t="s">
        <v>609</v>
      </c>
      <c r="AM90" t="s">
        <v>285</v>
      </c>
      <c r="AN90" t="s">
        <v>286</v>
      </c>
      <c r="AW90" t="s">
        <v>52</v>
      </c>
      <c r="AX90" t="s">
        <v>162</v>
      </c>
      <c r="AY90">
        <v>3</v>
      </c>
      <c r="AZ90" t="s">
        <v>54</v>
      </c>
      <c r="BA90" t="s">
        <v>55</v>
      </c>
      <c r="BB90" t="s">
        <v>56</v>
      </c>
      <c r="BC90" t="s">
        <v>57</v>
      </c>
      <c r="BD90" t="s">
        <v>58</v>
      </c>
      <c r="BE90" t="s">
        <v>56</v>
      </c>
      <c r="BF90" t="s">
        <v>162</v>
      </c>
      <c r="BG90" t="s">
        <v>52</v>
      </c>
      <c r="BH90" t="s">
        <v>59</v>
      </c>
    </row>
    <row r="91" spans="33:60" x14ac:dyDescent="0.25">
      <c r="AG91" t="s">
        <v>175</v>
      </c>
      <c r="AH91" t="s">
        <v>191</v>
      </c>
      <c r="AI91">
        <v>700</v>
      </c>
      <c r="AK91" s="32" t="s">
        <v>49</v>
      </c>
      <c r="AL91" t="s">
        <v>609</v>
      </c>
      <c r="AM91" t="s">
        <v>288</v>
      </c>
      <c r="AN91" t="s">
        <v>289</v>
      </c>
      <c r="AW91" t="s">
        <v>80</v>
      </c>
      <c r="AX91" t="s">
        <v>162</v>
      </c>
      <c r="AY91">
        <v>4</v>
      </c>
      <c r="AZ91" t="s">
        <v>81</v>
      </c>
      <c r="BA91" t="s">
        <v>82</v>
      </c>
      <c r="BB91" t="s">
        <v>83</v>
      </c>
      <c r="BC91" t="s">
        <v>84</v>
      </c>
      <c r="BD91" t="s">
        <v>85</v>
      </c>
      <c r="BE91" t="s">
        <v>83</v>
      </c>
      <c r="BF91" t="s">
        <v>162</v>
      </c>
      <c r="BG91" t="s">
        <v>80</v>
      </c>
      <c r="BH91" t="s">
        <v>86</v>
      </c>
    </row>
    <row r="92" spans="33:60" x14ac:dyDescent="0.25">
      <c r="AG92" t="s">
        <v>190</v>
      </c>
      <c r="AH92" s="50" t="s">
        <v>39</v>
      </c>
      <c r="AI92" s="50">
        <v>2429</v>
      </c>
      <c r="AK92" s="32" t="s">
        <v>49</v>
      </c>
      <c r="AL92" t="s">
        <v>609</v>
      </c>
      <c r="AM92" t="s">
        <v>292</v>
      </c>
      <c r="AN92" t="s">
        <v>293</v>
      </c>
      <c r="AW92" t="s">
        <v>102</v>
      </c>
      <c r="AX92" t="s">
        <v>162</v>
      </c>
      <c r="AY92">
        <v>5</v>
      </c>
      <c r="AZ92" t="s">
        <v>103</v>
      </c>
      <c r="BA92" t="s">
        <v>104</v>
      </c>
      <c r="BB92" t="s">
        <v>105</v>
      </c>
      <c r="BC92" t="s">
        <v>106</v>
      </c>
      <c r="BD92" t="s">
        <v>107</v>
      </c>
      <c r="BE92" t="s">
        <v>105</v>
      </c>
      <c r="BF92" t="s">
        <v>162</v>
      </c>
      <c r="BG92" t="s">
        <v>102</v>
      </c>
      <c r="BH92" t="s">
        <v>64</v>
      </c>
    </row>
    <row r="93" spans="33:60" x14ac:dyDescent="0.25">
      <c r="AG93" t="s">
        <v>190</v>
      </c>
      <c r="AH93" s="50" t="s">
        <v>76</v>
      </c>
      <c r="AI93" s="50" t="s">
        <v>77</v>
      </c>
      <c r="AK93" s="32" t="s">
        <v>49</v>
      </c>
      <c r="AL93" t="s">
        <v>609</v>
      </c>
      <c r="AM93" t="s">
        <v>297</v>
      </c>
      <c r="AN93" t="s">
        <v>298</v>
      </c>
      <c r="AW93" t="s">
        <v>114</v>
      </c>
      <c r="AX93" t="s">
        <v>162</v>
      </c>
      <c r="AY93">
        <v>6</v>
      </c>
      <c r="AZ93" t="s">
        <v>115</v>
      </c>
      <c r="BA93" t="s">
        <v>116</v>
      </c>
      <c r="BB93" t="s">
        <v>117</v>
      </c>
      <c r="BC93" t="s">
        <v>118</v>
      </c>
      <c r="BD93" t="s">
        <v>119</v>
      </c>
      <c r="BE93" t="s">
        <v>117</v>
      </c>
      <c r="BF93" t="s">
        <v>162</v>
      </c>
      <c r="BG93" t="s">
        <v>114</v>
      </c>
      <c r="BH93" t="s">
        <v>120</v>
      </c>
    </row>
    <row r="94" spans="33:60" x14ac:dyDescent="0.25">
      <c r="AH94" s="50"/>
      <c r="AI94" s="50"/>
      <c r="AK94" s="32" t="s">
        <v>49</v>
      </c>
      <c r="AL94" t="s">
        <v>609</v>
      </c>
      <c r="AM94" t="s">
        <v>302</v>
      </c>
      <c r="AN94" t="s">
        <v>303</v>
      </c>
      <c r="AW94" t="s">
        <v>129</v>
      </c>
      <c r="AX94" t="s">
        <v>162</v>
      </c>
      <c r="AY94">
        <v>7</v>
      </c>
      <c r="AZ94" t="s">
        <v>130</v>
      </c>
      <c r="BA94" t="s">
        <v>131</v>
      </c>
      <c r="BB94" t="s">
        <v>132</v>
      </c>
      <c r="BC94" t="s">
        <v>133</v>
      </c>
      <c r="BD94" t="s">
        <v>134</v>
      </c>
      <c r="BE94" t="s">
        <v>132</v>
      </c>
      <c r="BF94" t="s">
        <v>162</v>
      </c>
      <c r="BG94" t="s">
        <v>129</v>
      </c>
      <c r="BH94" t="s">
        <v>135</v>
      </c>
    </row>
    <row r="95" spans="33:60" x14ac:dyDescent="0.25">
      <c r="AH95" s="50"/>
      <c r="AI95" s="50"/>
      <c r="AK95" s="32" t="s">
        <v>49</v>
      </c>
      <c r="AL95" t="s">
        <v>609</v>
      </c>
      <c r="AM95" t="s">
        <v>306</v>
      </c>
      <c r="AN95" t="s">
        <v>307</v>
      </c>
      <c r="AW95" t="s">
        <v>142</v>
      </c>
      <c r="AX95" t="s">
        <v>162</v>
      </c>
      <c r="AY95">
        <v>8</v>
      </c>
      <c r="AZ95" t="s">
        <v>143</v>
      </c>
      <c r="BA95" t="s">
        <v>144</v>
      </c>
      <c r="BB95" t="s">
        <v>145</v>
      </c>
      <c r="BC95" t="s">
        <v>146</v>
      </c>
      <c r="BD95" t="s">
        <v>147</v>
      </c>
      <c r="BE95" t="s">
        <v>145</v>
      </c>
      <c r="BF95" t="s">
        <v>162</v>
      </c>
      <c r="BG95" t="s">
        <v>142</v>
      </c>
      <c r="BH95" t="s">
        <v>148</v>
      </c>
    </row>
    <row r="96" spans="33:60" x14ac:dyDescent="0.25">
      <c r="AH96" s="50"/>
      <c r="AI96" s="50"/>
      <c r="AK96" s="32" t="s">
        <v>49</v>
      </c>
      <c r="AL96" t="s">
        <v>609</v>
      </c>
      <c r="AM96" t="s">
        <v>310</v>
      </c>
      <c r="AN96" t="s">
        <v>311</v>
      </c>
      <c r="AW96" t="s">
        <v>154</v>
      </c>
      <c r="AX96" t="s">
        <v>162</v>
      </c>
      <c r="AY96">
        <v>9</v>
      </c>
      <c r="AZ96" t="s">
        <v>155</v>
      </c>
      <c r="BA96" t="s">
        <v>156</v>
      </c>
      <c r="BB96" t="s">
        <v>157</v>
      </c>
      <c r="BC96" t="s">
        <v>158</v>
      </c>
      <c r="BD96" t="s">
        <v>159</v>
      </c>
      <c r="BE96" t="s">
        <v>157</v>
      </c>
      <c r="BF96" t="s">
        <v>162</v>
      </c>
      <c r="BG96" t="s">
        <v>154</v>
      </c>
      <c r="BH96" t="s">
        <v>89</v>
      </c>
    </row>
    <row r="97" spans="33:60" x14ac:dyDescent="0.25">
      <c r="AG97" t="s">
        <v>190</v>
      </c>
      <c r="AH97" s="50" t="s">
        <v>139</v>
      </c>
      <c r="AI97" s="50">
        <v>2429</v>
      </c>
      <c r="AK97" s="32" t="s">
        <v>49</v>
      </c>
      <c r="AL97" t="s">
        <v>609</v>
      </c>
      <c r="AM97" t="s">
        <v>314</v>
      </c>
      <c r="AN97" t="s">
        <v>315</v>
      </c>
      <c r="AW97" t="s">
        <v>166</v>
      </c>
      <c r="AX97" t="s">
        <v>162</v>
      </c>
      <c r="AY97">
        <v>10</v>
      </c>
      <c r="AZ97" t="s">
        <v>167</v>
      </c>
      <c r="BA97" t="s">
        <v>168</v>
      </c>
      <c r="BB97" t="s">
        <v>169</v>
      </c>
      <c r="BC97" t="s">
        <v>170</v>
      </c>
      <c r="BD97" t="s">
        <v>171</v>
      </c>
      <c r="BE97" t="s">
        <v>169</v>
      </c>
      <c r="BF97" t="s">
        <v>162</v>
      </c>
      <c r="BG97" t="s">
        <v>166</v>
      </c>
      <c r="BH97" t="s">
        <v>172</v>
      </c>
    </row>
    <row r="98" spans="33:60" x14ac:dyDescent="0.25">
      <c r="AH98" s="50"/>
      <c r="AI98" s="50"/>
      <c r="AK98" s="32" t="s">
        <v>49</v>
      </c>
      <c r="AL98" t="s">
        <v>609</v>
      </c>
      <c r="AM98" t="s">
        <v>318</v>
      </c>
      <c r="AN98" t="s">
        <v>319</v>
      </c>
      <c r="AW98" t="s">
        <v>181</v>
      </c>
      <c r="AX98" t="s">
        <v>162</v>
      </c>
      <c r="AY98">
        <v>11</v>
      </c>
      <c r="AZ98" t="s">
        <v>182</v>
      </c>
      <c r="BA98" t="s">
        <v>183</v>
      </c>
      <c r="BB98" t="s">
        <v>184</v>
      </c>
      <c r="BC98" t="s">
        <v>185</v>
      </c>
      <c r="BD98" t="s">
        <v>186</v>
      </c>
      <c r="BE98" t="s">
        <v>184</v>
      </c>
      <c r="BF98" t="s">
        <v>162</v>
      </c>
      <c r="BG98" t="s">
        <v>181</v>
      </c>
      <c r="BH98" t="s">
        <v>187</v>
      </c>
    </row>
    <row r="99" spans="33:60" x14ac:dyDescent="0.25">
      <c r="AH99" s="50"/>
      <c r="AI99" s="50"/>
      <c r="AK99" s="32" t="s">
        <v>49</v>
      </c>
      <c r="AL99" t="s">
        <v>609</v>
      </c>
      <c r="AM99" t="s">
        <v>321</v>
      </c>
      <c r="AN99" t="s">
        <v>322</v>
      </c>
      <c r="AW99" t="s">
        <v>195</v>
      </c>
      <c r="AX99" t="s">
        <v>162</v>
      </c>
      <c r="AY99">
        <v>14</v>
      </c>
      <c r="AZ99" t="s">
        <v>196</v>
      </c>
      <c r="BA99" t="s">
        <v>197</v>
      </c>
      <c r="BB99" t="s">
        <v>198</v>
      </c>
      <c r="BC99" t="s">
        <v>199</v>
      </c>
      <c r="BD99" t="s">
        <v>200</v>
      </c>
      <c r="BE99" t="s">
        <v>198</v>
      </c>
      <c r="BF99" t="s">
        <v>162</v>
      </c>
      <c r="BG99" t="s">
        <v>195</v>
      </c>
      <c r="BH99" t="s">
        <v>201</v>
      </c>
    </row>
    <row r="100" spans="33:60" x14ac:dyDescent="0.25">
      <c r="AG100" t="s">
        <v>190</v>
      </c>
      <c r="AH100" s="50" t="s">
        <v>177</v>
      </c>
      <c r="AI100" s="50" t="s">
        <v>178</v>
      </c>
      <c r="AK100" s="32" t="s">
        <v>49</v>
      </c>
      <c r="AL100" t="s">
        <v>609</v>
      </c>
      <c r="AM100" t="s">
        <v>325</v>
      </c>
      <c r="AN100" t="s">
        <v>326</v>
      </c>
      <c r="AW100" t="s">
        <v>208</v>
      </c>
      <c r="AX100" t="s">
        <v>162</v>
      </c>
      <c r="AY100">
        <v>18</v>
      </c>
      <c r="AZ100" t="s">
        <v>209</v>
      </c>
      <c r="BA100" t="s">
        <v>210</v>
      </c>
      <c r="BB100" t="s">
        <v>211</v>
      </c>
      <c r="BC100" t="s">
        <v>212</v>
      </c>
      <c r="BD100" t="s">
        <v>213</v>
      </c>
      <c r="BE100" t="s">
        <v>211</v>
      </c>
      <c r="BF100" t="s">
        <v>162</v>
      </c>
      <c r="BG100" t="s">
        <v>208</v>
      </c>
      <c r="BH100" t="s">
        <v>214</v>
      </c>
    </row>
    <row r="101" spans="33:60" x14ac:dyDescent="0.25">
      <c r="AG101" t="s">
        <v>190</v>
      </c>
      <c r="AH101" s="50" t="s">
        <v>191</v>
      </c>
      <c r="AI101" s="50" t="s">
        <v>192</v>
      </c>
      <c r="AK101" s="32" t="s">
        <v>49</v>
      </c>
      <c r="AL101" t="s">
        <v>609</v>
      </c>
      <c r="AM101" t="s">
        <v>327</v>
      </c>
      <c r="AN101" t="s">
        <v>328</v>
      </c>
      <c r="AW101" s="54" t="s">
        <v>52</v>
      </c>
      <c r="AX101" t="s">
        <v>175</v>
      </c>
      <c r="AY101">
        <v>3</v>
      </c>
      <c r="AZ101" t="s">
        <v>54</v>
      </c>
      <c r="BA101" t="s">
        <v>55</v>
      </c>
      <c r="BB101" t="s">
        <v>56</v>
      </c>
      <c r="BC101" t="s">
        <v>57</v>
      </c>
      <c r="BD101" t="s">
        <v>58</v>
      </c>
      <c r="BE101" t="s">
        <v>56</v>
      </c>
      <c r="BF101" t="s">
        <v>175</v>
      </c>
      <c r="BG101" t="s">
        <v>52</v>
      </c>
      <c r="BH101" t="s">
        <v>59</v>
      </c>
    </row>
    <row r="102" spans="33:60" x14ac:dyDescent="0.25">
      <c r="AG102" t="s">
        <v>205</v>
      </c>
      <c r="AH102" t="s">
        <v>39</v>
      </c>
      <c r="AI102">
        <v>2429</v>
      </c>
      <c r="AK102" s="32" t="s">
        <v>49</v>
      </c>
      <c r="AL102" t="s">
        <v>609</v>
      </c>
      <c r="AM102" t="s">
        <v>329</v>
      </c>
      <c r="AN102" t="s">
        <v>330</v>
      </c>
      <c r="AW102" s="54" t="s">
        <v>80</v>
      </c>
      <c r="AX102" t="s">
        <v>175</v>
      </c>
      <c r="AY102">
        <v>4</v>
      </c>
      <c r="AZ102" t="s">
        <v>81</v>
      </c>
      <c r="BA102" t="s">
        <v>82</v>
      </c>
      <c r="BB102" t="s">
        <v>83</v>
      </c>
      <c r="BC102" t="s">
        <v>84</v>
      </c>
      <c r="BD102" t="s">
        <v>85</v>
      </c>
      <c r="BE102" t="s">
        <v>83</v>
      </c>
      <c r="BF102" t="s">
        <v>175</v>
      </c>
      <c r="BG102" t="s">
        <v>80</v>
      </c>
      <c r="BH102" t="s">
        <v>86</v>
      </c>
    </row>
    <row r="103" spans="33:60" x14ac:dyDescent="0.25">
      <c r="AG103" t="s">
        <v>205</v>
      </c>
      <c r="AH103" s="49" t="s">
        <v>76</v>
      </c>
      <c r="AI103" s="49" t="s">
        <v>77</v>
      </c>
      <c r="AK103" s="32" t="s">
        <v>49</v>
      </c>
      <c r="AL103" t="s">
        <v>609</v>
      </c>
      <c r="AM103" t="s">
        <v>331</v>
      </c>
      <c r="AN103" t="s">
        <v>332</v>
      </c>
      <c r="AW103" s="54" t="s">
        <v>102</v>
      </c>
      <c r="AX103" t="s">
        <v>175</v>
      </c>
      <c r="AY103">
        <v>5</v>
      </c>
      <c r="AZ103" t="s">
        <v>103</v>
      </c>
      <c r="BA103" t="s">
        <v>104</v>
      </c>
      <c r="BB103" t="s">
        <v>105</v>
      </c>
      <c r="BC103" t="s">
        <v>106</v>
      </c>
      <c r="BD103" t="s">
        <v>107</v>
      </c>
      <c r="BE103" t="s">
        <v>105</v>
      </c>
      <c r="BF103" t="s">
        <v>175</v>
      </c>
      <c r="BG103" t="s">
        <v>102</v>
      </c>
      <c r="BH103" t="s">
        <v>64</v>
      </c>
    </row>
    <row r="104" spans="33:60" x14ac:dyDescent="0.25">
      <c r="AH104" s="49"/>
      <c r="AI104" s="49"/>
      <c r="AK104" s="32" t="s">
        <v>49</v>
      </c>
      <c r="AL104" t="s">
        <v>609</v>
      </c>
      <c r="AM104" t="s">
        <v>333</v>
      </c>
      <c r="AN104" t="s">
        <v>334</v>
      </c>
      <c r="AW104" s="54" t="s">
        <v>114</v>
      </c>
      <c r="AX104" t="s">
        <v>175</v>
      </c>
      <c r="AY104">
        <v>6</v>
      </c>
      <c r="AZ104" t="s">
        <v>115</v>
      </c>
      <c r="BA104" t="s">
        <v>116</v>
      </c>
      <c r="BB104" t="s">
        <v>117</v>
      </c>
      <c r="BC104" t="s">
        <v>118</v>
      </c>
      <c r="BD104" t="s">
        <v>119</v>
      </c>
      <c r="BE104" t="s">
        <v>117</v>
      </c>
      <c r="BF104" t="s">
        <v>175</v>
      </c>
      <c r="BG104" t="s">
        <v>114</v>
      </c>
      <c r="BH104" t="s">
        <v>120</v>
      </c>
    </row>
    <row r="105" spans="33:60" x14ac:dyDescent="0.25">
      <c r="AH105" s="49"/>
      <c r="AI105" s="49"/>
      <c r="AK105" s="32" t="s">
        <v>49</v>
      </c>
      <c r="AL105" t="s">
        <v>609</v>
      </c>
      <c r="AM105" t="s">
        <v>335</v>
      </c>
      <c r="AN105" t="s">
        <v>336</v>
      </c>
      <c r="AW105" s="54" t="s">
        <v>129</v>
      </c>
      <c r="AX105" t="s">
        <v>175</v>
      </c>
      <c r="AY105">
        <v>7</v>
      </c>
      <c r="AZ105" t="s">
        <v>130</v>
      </c>
      <c r="BA105" t="s">
        <v>131</v>
      </c>
      <c r="BB105" t="s">
        <v>132</v>
      </c>
      <c r="BC105" t="s">
        <v>133</v>
      </c>
      <c r="BD105" t="s">
        <v>134</v>
      </c>
      <c r="BE105" t="s">
        <v>132</v>
      </c>
      <c r="BF105" t="s">
        <v>175</v>
      </c>
      <c r="BG105" t="s">
        <v>129</v>
      </c>
      <c r="BH105" t="s">
        <v>135</v>
      </c>
    </row>
    <row r="106" spans="33:60" x14ac:dyDescent="0.25">
      <c r="AH106" s="49"/>
      <c r="AI106" s="49"/>
      <c r="AK106" s="32" t="s">
        <v>49</v>
      </c>
      <c r="AL106" t="s">
        <v>609</v>
      </c>
      <c r="AM106" t="s">
        <v>337</v>
      </c>
      <c r="AN106" t="s">
        <v>338</v>
      </c>
      <c r="AW106" s="54" t="s">
        <v>142</v>
      </c>
      <c r="AX106" t="s">
        <v>175</v>
      </c>
      <c r="AY106">
        <v>8</v>
      </c>
      <c r="AZ106" t="s">
        <v>143</v>
      </c>
      <c r="BA106" t="s">
        <v>144</v>
      </c>
      <c r="BB106" t="s">
        <v>145</v>
      </c>
      <c r="BC106" t="s">
        <v>146</v>
      </c>
      <c r="BD106" t="s">
        <v>147</v>
      </c>
      <c r="BE106" t="s">
        <v>145</v>
      </c>
      <c r="BF106" t="s">
        <v>175</v>
      </c>
      <c r="BG106" t="s">
        <v>142</v>
      </c>
      <c r="BH106" t="s">
        <v>148</v>
      </c>
    </row>
    <row r="107" spans="33:60" x14ac:dyDescent="0.25">
      <c r="AG107" t="s">
        <v>205</v>
      </c>
      <c r="AH107" t="s">
        <v>139</v>
      </c>
      <c r="AI107">
        <v>2429</v>
      </c>
      <c r="AK107" s="32" t="s">
        <v>49</v>
      </c>
      <c r="AL107" t="s">
        <v>609</v>
      </c>
      <c r="AM107" t="s">
        <v>340</v>
      </c>
      <c r="AN107" t="s">
        <v>341</v>
      </c>
      <c r="AW107" s="54" t="s">
        <v>154</v>
      </c>
      <c r="AX107" t="s">
        <v>175</v>
      </c>
      <c r="AY107">
        <v>9</v>
      </c>
      <c r="AZ107" t="s">
        <v>155</v>
      </c>
      <c r="BA107" t="s">
        <v>156</v>
      </c>
      <c r="BB107" t="s">
        <v>157</v>
      </c>
      <c r="BC107" t="s">
        <v>158</v>
      </c>
      <c r="BD107" t="s">
        <v>159</v>
      </c>
      <c r="BE107" t="s">
        <v>157</v>
      </c>
      <c r="BF107" t="s">
        <v>175</v>
      </c>
      <c r="BG107" t="s">
        <v>154</v>
      </c>
      <c r="BH107" t="s">
        <v>89</v>
      </c>
    </row>
    <row r="108" spans="33:60" x14ac:dyDescent="0.25">
      <c r="AH108" s="49"/>
      <c r="AI108" s="49"/>
      <c r="AK108" s="32" t="s">
        <v>49</v>
      </c>
      <c r="AL108" t="s">
        <v>609</v>
      </c>
      <c r="AM108" t="s">
        <v>342</v>
      </c>
      <c r="AN108" t="s">
        <v>343</v>
      </c>
      <c r="AW108" s="54" t="s">
        <v>166</v>
      </c>
      <c r="AX108" t="s">
        <v>175</v>
      </c>
      <c r="AY108">
        <v>10</v>
      </c>
      <c r="AZ108" t="s">
        <v>167</v>
      </c>
      <c r="BA108" t="s">
        <v>168</v>
      </c>
      <c r="BB108" t="s">
        <v>169</v>
      </c>
      <c r="BC108" t="s">
        <v>170</v>
      </c>
      <c r="BD108" t="s">
        <v>171</v>
      </c>
      <c r="BE108" t="s">
        <v>169</v>
      </c>
      <c r="BF108" t="s">
        <v>175</v>
      </c>
      <c r="BG108" t="s">
        <v>166</v>
      </c>
      <c r="BH108" t="s">
        <v>172</v>
      </c>
    </row>
    <row r="109" spans="33:60" x14ac:dyDescent="0.25">
      <c r="AH109" s="49"/>
      <c r="AI109" s="49"/>
      <c r="AK109" s="32" t="s">
        <v>49</v>
      </c>
      <c r="AL109" t="s">
        <v>609</v>
      </c>
      <c r="AM109" t="s">
        <v>344</v>
      </c>
      <c r="AN109" t="s">
        <v>345</v>
      </c>
      <c r="AW109" s="54" t="s">
        <v>181</v>
      </c>
      <c r="AX109" t="s">
        <v>175</v>
      </c>
      <c r="AY109">
        <v>11</v>
      </c>
      <c r="AZ109" t="s">
        <v>182</v>
      </c>
      <c r="BA109" t="s">
        <v>183</v>
      </c>
      <c r="BB109" t="s">
        <v>184</v>
      </c>
      <c r="BC109" t="s">
        <v>185</v>
      </c>
      <c r="BD109" t="s">
        <v>186</v>
      </c>
      <c r="BE109" t="s">
        <v>184</v>
      </c>
      <c r="BF109" t="s">
        <v>175</v>
      </c>
      <c r="BG109" t="s">
        <v>181</v>
      </c>
      <c r="BH109" t="s">
        <v>187</v>
      </c>
    </row>
    <row r="110" spans="33:60" x14ac:dyDescent="0.25">
      <c r="AG110" t="s">
        <v>205</v>
      </c>
      <c r="AH110" t="s">
        <v>177</v>
      </c>
      <c r="AI110" t="s">
        <v>178</v>
      </c>
      <c r="AK110" s="32" t="s">
        <v>49</v>
      </c>
      <c r="AL110" t="s">
        <v>609</v>
      </c>
      <c r="AM110" t="s">
        <v>346</v>
      </c>
      <c r="AN110" t="s">
        <v>347</v>
      </c>
      <c r="AW110" s="54" t="s">
        <v>195</v>
      </c>
      <c r="AX110" t="s">
        <v>175</v>
      </c>
      <c r="AY110">
        <v>14</v>
      </c>
      <c r="AZ110" t="s">
        <v>196</v>
      </c>
      <c r="BA110" t="s">
        <v>197</v>
      </c>
      <c r="BB110" t="s">
        <v>198</v>
      </c>
      <c r="BC110" t="s">
        <v>199</v>
      </c>
      <c r="BD110" t="s">
        <v>200</v>
      </c>
      <c r="BE110" t="s">
        <v>198</v>
      </c>
      <c r="BF110" t="s">
        <v>175</v>
      </c>
      <c r="BG110" t="s">
        <v>195</v>
      </c>
      <c r="BH110" t="s">
        <v>201</v>
      </c>
    </row>
    <row r="111" spans="33:60" x14ac:dyDescent="0.25">
      <c r="AG111" t="s">
        <v>205</v>
      </c>
      <c r="AH111" t="s">
        <v>191</v>
      </c>
      <c r="AI111" t="s">
        <v>192</v>
      </c>
      <c r="AK111" s="32" t="s">
        <v>49</v>
      </c>
      <c r="AL111" t="s">
        <v>609</v>
      </c>
      <c r="AM111" t="s">
        <v>348</v>
      </c>
      <c r="AN111" t="s">
        <v>349</v>
      </c>
      <c r="AW111" s="54" t="s">
        <v>208</v>
      </c>
      <c r="AX111" t="s">
        <v>175</v>
      </c>
      <c r="AY111">
        <v>18</v>
      </c>
      <c r="AZ111" t="s">
        <v>209</v>
      </c>
      <c r="BA111" t="s">
        <v>210</v>
      </c>
      <c r="BB111" t="s">
        <v>211</v>
      </c>
      <c r="BC111" t="s">
        <v>212</v>
      </c>
      <c r="BD111" t="s">
        <v>213</v>
      </c>
      <c r="BE111" t="s">
        <v>211</v>
      </c>
      <c r="BF111" t="s">
        <v>175</v>
      </c>
      <c r="BG111" t="s">
        <v>208</v>
      </c>
      <c r="BH111" t="s">
        <v>214</v>
      </c>
    </row>
    <row r="112" spans="33:60" x14ac:dyDescent="0.25">
      <c r="AG112" t="s">
        <v>205</v>
      </c>
      <c r="AI112" s="52"/>
      <c r="AK112" s="32" t="s">
        <v>49</v>
      </c>
      <c r="AL112" t="s">
        <v>609</v>
      </c>
      <c r="AM112" t="s">
        <v>350</v>
      </c>
      <c r="AN112" t="s">
        <v>351</v>
      </c>
      <c r="AW112" t="s">
        <v>52</v>
      </c>
      <c r="AX112" s="54" t="s">
        <v>190</v>
      </c>
      <c r="AY112" s="54">
        <v>3</v>
      </c>
      <c r="AZ112" s="54" t="s">
        <v>54</v>
      </c>
      <c r="BA112" s="54" t="s">
        <v>55</v>
      </c>
      <c r="BB112" s="54" t="s">
        <v>56</v>
      </c>
      <c r="BC112" s="54" t="s">
        <v>57</v>
      </c>
      <c r="BD112" s="54" t="s">
        <v>58</v>
      </c>
      <c r="BE112" s="54" t="s">
        <v>56</v>
      </c>
      <c r="BF112" s="54" t="s">
        <v>190</v>
      </c>
      <c r="BG112" s="54" t="s">
        <v>52</v>
      </c>
      <c r="BH112" s="54" t="s">
        <v>59</v>
      </c>
    </row>
    <row r="113" spans="33:60" x14ac:dyDescent="0.25">
      <c r="AG113" t="s">
        <v>205</v>
      </c>
      <c r="AH113" s="49"/>
      <c r="AI113" s="52"/>
      <c r="AK113" s="32" t="s">
        <v>49</v>
      </c>
      <c r="AL113" t="s">
        <v>609</v>
      </c>
      <c r="AM113" t="s">
        <v>352</v>
      </c>
      <c r="AN113" t="s">
        <v>353</v>
      </c>
      <c r="AW113" t="s">
        <v>80</v>
      </c>
      <c r="AX113" s="54" t="s">
        <v>190</v>
      </c>
      <c r="AY113" s="54">
        <v>4</v>
      </c>
      <c r="AZ113" s="54" t="s">
        <v>81</v>
      </c>
      <c r="BA113" s="54" t="s">
        <v>82</v>
      </c>
      <c r="BB113" s="54" t="s">
        <v>83</v>
      </c>
      <c r="BC113" s="54" t="s">
        <v>84</v>
      </c>
      <c r="BD113" s="54" t="s">
        <v>85</v>
      </c>
      <c r="BE113" s="54" t="s">
        <v>83</v>
      </c>
      <c r="BF113" s="54" t="s">
        <v>190</v>
      </c>
      <c r="BG113" s="54" t="s">
        <v>80</v>
      </c>
      <c r="BH113" s="54" t="s">
        <v>86</v>
      </c>
    </row>
    <row r="114" spans="33:60" x14ac:dyDescent="0.25">
      <c r="AG114" s="44"/>
      <c r="AH114" s="49"/>
      <c r="AI114" s="53"/>
      <c r="AK114" s="32" t="s">
        <v>49</v>
      </c>
      <c r="AL114" t="s">
        <v>609</v>
      </c>
      <c r="AM114" t="s">
        <v>354</v>
      </c>
      <c r="AN114" t="s">
        <v>355</v>
      </c>
      <c r="AW114" t="s">
        <v>102</v>
      </c>
      <c r="AX114" s="54" t="s">
        <v>190</v>
      </c>
      <c r="AY114" s="54">
        <v>5</v>
      </c>
      <c r="AZ114" s="54" t="s">
        <v>103</v>
      </c>
      <c r="BA114" s="54" t="s">
        <v>104</v>
      </c>
      <c r="BB114" s="54" t="s">
        <v>105</v>
      </c>
      <c r="BC114" s="54" t="s">
        <v>106</v>
      </c>
      <c r="BD114" s="54" t="s">
        <v>107</v>
      </c>
      <c r="BE114" s="54" t="s">
        <v>105</v>
      </c>
      <c r="BF114" s="54" t="s">
        <v>190</v>
      </c>
      <c r="BG114" s="54" t="s">
        <v>102</v>
      </c>
      <c r="BH114" s="54" t="s">
        <v>64</v>
      </c>
    </row>
    <row r="115" spans="33:60" x14ac:dyDescent="0.25">
      <c r="AG115" t="s">
        <v>217</v>
      </c>
      <c r="AH115" s="49" t="s">
        <v>39</v>
      </c>
      <c r="AI115" s="53" t="s">
        <v>372</v>
      </c>
      <c r="AK115" s="32" t="s">
        <v>49</v>
      </c>
      <c r="AL115" t="s">
        <v>609</v>
      </c>
      <c r="AM115" t="s">
        <v>356</v>
      </c>
      <c r="AN115" t="s">
        <v>357</v>
      </c>
      <c r="AW115" t="s">
        <v>114</v>
      </c>
      <c r="AX115" s="54" t="s">
        <v>190</v>
      </c>
      <c r="AY115" s="54">
        <v>6</v>
      </c>
      <c r="AZ115" s="54" t="s">
        <v>115</v>
      </c>
      <c r="BA115" s="54" t="s">
        <v>116</v>
      </c>
      <c r="BB115" s="54" t="s">
        <v>117</v>
      </c>
      <c r="BC115" s="54" t="s">
        <v>118</v>
      </c>
      <c r="BD115" s="54" t="s">
        <v>119</v>
      </c>
      <c r="BE115" s="54" t="s">
        <v>117</v>
      </c>
      <c r="BF115" s="54" t="s">
        <v>190</v>
      </c>
      <c r="BG115" s="54" t="s">
        <v>114</v>
      </c>
      <c r="BH115" s="54" t="s">
        <v>120</v>
      </c>
    </row>
    <row r="116" spans="33:60" x14ac:dyDescent="0.25">
      <c r="AH116" s="49"/>
      <c r="AI116" s="53"/>
      <c r="AK116" s="32" t="s">
        <v>49</v>
      </c>
      <c r="AL116" t="s">
        <v>609</v>
      </c>
      <c r="AM116" t="s">
        <v>358</v>
      </c>
      <c r="AN116" t="s">
        <v>359</v>
      </c>
      <c r="AW116" t="s">
        <v>129</v>
      </c>
      <c r="AX116" s="54" t="s">
        <v>190</v>
      </c>
      <c r="AY116" s="54">
        <v>7</v>
      </c>
      <c r="AZ116" s="54" t="s">
        <v>130</v>
      </c>
      <c r="BA116" s="54" t="s">
        <v>131</v>
      </c>
      <c r="BB116" s="54" t="s">
        <v>132</v>
      </c>
      <c r="BC116" s="54" t="s">
        <v>133</v>
      </c>
      <c r="BD116" s="54" t="s">
        <v>134</v>
      </c>
      <c r="BE116" s="54" t="s">
        <v>132</v>
      </c>
      <c r="BF116" s="54" t="s">
        <v>190</v>
      </c>
      <c r="BG116" s="54" t="s">
        <v>129</v>
      </c>
      <c r="BH116" s="54" t="s">
        <v>135</v>
      </c>
    </row>
    <row r="117" spans="33:60" x14ac:dyDescent="0.25">
      <c r="AG117" t="s">
        <v>217</v>
      </c>
      <c r="AH117" s="49" t="s">
        <v>76</v>
      </c>
      <c r="AI117" s="53" t="s">
        <v>373</v>
      </c>
      <c r="AK117" s="32" t="s">
        <v>49</v>
      </c>
      <c r="AL117" t="s">
        <v>609</v>
      </c>
      <c r="AM117" t="s">
        <v>360</v>
      </c>
      <c r="AN117" t="s">
        <v>361</v>
      </c>
      <c r="AW117" t="s">
        <v>142</v>
      </c>
      <c r="AX117" s="54" t="s">
        <v>190</v>
      </c>
      <c r="AY117" s="54">
        <v>8</v>
      </c>
      <c r="AZ117" s="54" t="s">
        <v>143</v>
      </c>
      <c r="BA117" s="54" t="s">
        <v>144</v>
      </c>
      <c r="BB117" s="54" t="s">
        <v>145</v>
      </c>
      <c r="BC117" s="54" t="s">
        <v>146</v>
      </c>
      <c r="BD117" s="54" t="s">
        <v>147</v>
      </c>
      <c r="BE117" s="54" t="s">
        <v>145</v>
      </c>
      <c r="BF117" s="54" t="s">
        <v>190</v>
      </c>
      <c r="BG117" s="54" t="s">
        <v>142</v>
      </c>
      <c r="BH117" s="54" t="s">
        <v>148</v>
      </c>
    </row>
    <row r="118" spans="33:60" x14ac:dyDescent="0.25">
      <c r="AH118" s="49"/>
      <c r="AI118" s="53"/>
      <c r="AK118" s="32" t="s">
        <v>49</v>
      </c>
      <c r="AL118" t="s">
        <v>609</v>
      </c>
      <c r="AM118" t="s">
        <v>362</v>
      </c>
      <c r="AN118" t="s">
        <v>363</v>
      </c>
      <c r="AW118" t="s">
        <v>154</v>
      </c>
      <c r="AX118" s="54" t="s">
        <v>190</v>
      </c>
      <c r="AY118" s="54">
        <v>9</v>
      </c>
      <c r="AZ118" s="54" t="s">
        <v>155</v>
      </c>
      <c r="BA118" s="54" t="s">
        <v>156</v>
      </c>
      <c r="BB118" s="54" t="s">
        <v>157</v>
      </c>
      <c r="BC118" s="54" t="s">
        <v>158</v>
      </c>
      <c r="BD118" s="54" t="s">
        <v>159</v>
      </c>
      <c r="BE118" s="54" t="s">
        <v>157</v>
      </c>
      <c r="BF118" s="54" t="s">
        <v>190</v>
      </c>
      <c r="BG118" s="54" t="s">
        <v>154</v>
      </c>
      <c r="BH118" s="54" t="s">
        <v>89</v>
      </c>
    </row>
    <row r="119" spans="33:60" x14ac:dyDescent="0.25">
      <c r="AH119" s="49"/>
      <c r="AI119" s="53"/>
      <c r="AK119" s="32" t="s">
        <v>49</v>
      </c>
      <c r="AL119" t="s">
        <v>609</v>
      </c>
      <c r="AM119" t="s">
        <v>364</v>
      </c>
      <c r="AN119" t="s">
        <v>365</v>
      </c>
      <c r="AW119" t="s">
        <v>166</v>
      </c>
      <c r="AX119" s="54" t="s">
        <v>190</v>
      </c>
      <c r="AY119" s="54">
        <v>10</v>
      </c>
      <c r="AZ119" s="54" t="s">
        <v>167</v>
      </c>
      <c r="BA119" s="54" t="s">
        <v>168</v>
      </c>
      <c r="BB119" s="54" t="s">
        <v>169</v>
      </c>
      <c r="BC119" s="54" t="s">
        <v>170</v>
      </c>
      <c r="BD119" s="54" t="s">
        <v>171</v>
      </c>
      <c r="BE119" s="54" t="s">
        <v>169</v>
      </c>
      <c r="BF119" s="54" t="s">
        <v>190</v>
      </c>
      <c r="BG119" s="54" t="s">
        <v>166</v>
      </c>
      <c r="BH119" s="54" t="s">
        <v>172</v>
      </c>
    </row>
    <row r="120" spans="33:60" x14ac:dyDescent="0.25">
      <c r="AH120" s="49"/>
      <c r="AI120" s="53"/>
      <c r="AK120" s="32" t="s">
        <v>49</v>
      </c>
      <c r="AL120" t="s">
        <v>609</v>
      </c>
      <c r="AM120" t="s">
        <v>366</v>
      </c>
      <c r="AN120" t="s">
        <v>367</v>
      </c>
      <c r="AW120" t="s">
        <v>181</v>
      </c>
      <c r="AX120" s="54" t="s">
        <v>190</v>
      </c>
      <c r="AY120" s="54">
        <v>11</v>
      </c>
      <c r="AZ120" s="54" t="s">
        <v>182</v>
      </c>
      <c r="BA120" s="54" t="s">
        <v>183</v>
      </c>
      <c r="BB120" s="54" t="s">
        <v>184</v>
      </c>
      <c r="BC120" s="54" t="s">
        <v>185</v>
      </c>
      <c r="BD120" s="54" t="s">
        <v>186</v>
      </c>
      <c r="BE120" s="54" t="s">
        <v>184</v>
      </c>
      <c r="BF120" s="54" t="s">
        <v>190</v>
      </c>
      <c r="BG120" s="54" t="s">
        <v>181</v>
      </c>
      <c r="BH120" s="54" t="s">
        <v>187</v>
      </c>
    </row>
    <row r="121" spans="33:60" x14ac:dyDescent="0.25">
      <c r="AH121" s="49"/>
      <c r="AI121" s="53"/>
      <c r="AK121" s="32" t="s">
        <v>49</v>
      </c>
      <c r="AL121" t="s">
        <v>609</v>
      </c>
      <c r="AM121" t="s">
        <v>368</v>
      </c>
      <c r="AN121" t="s">
        <v>369</v>
      </c>
      <c r="AW121" t="s">
        <v>195</v>
      </c>
      <c r="AX121" s="54" t="s">
        <v>190</v>
      </c>
      <c r="AY121" s="54">
        <v>14</v>
      </c>
      <c r="AZ121" s="54" t="s">
        <v>196</v>
      </c>
      <c r="BA121" s="54" t="s">
        <v>197</v>
      </c>
      <c r="BB121" s="54" t="s">
        <v>198</v>
      </c>
      <c r="BC121" s="54" t="s">
        <v>199</v>
      </c>
      <c r="BD121" s="54" t="s">
        <v>200</v>
      </c>
      <c r="BE121" s="54" t="s">
        <v>198</v>
      </c>
      <c r="BF121" s="54" t="s">
        <v>190</v>
      </c>
      <c r="BG121" s="54" t="s">
        <v>195</v>
      </c>
      <c r="BH121" s="54" t="s">
        <v>201</v>
      </c>
    </row>
    <row r="122" spans="33:60" x14ac:dyDescent="0.25">
      <c r="AH122" s="49"/>
      <c r="AI122" s="53"/>
      <c r="AK122" s="32" t="s">
        <v>49</v>
      </c>
      <c r="AL122" t="s">
        <v>609</v>
      </c>
      <c r="AM122" t="s">
        <v>370</v>
      </c>
      <c r="AN122" t="s">
        <v>371</v>
      </c>
      <c r="AW122" t="s">
        <v>208</v>
      </c>
      <c r="AX122" s="54" t="s">
        <v>190</v>
      </c>
      <c r="AY122" s="54">
        <v>18</v>
      </c>
      <c r="AZ122" s="54" t="s">
        <v>209</v>
      </c>
      <c r="BA122" s="54" t="s">
        <v>210</v>
      </c>
      <c r="BB122" s="54" t="s">
        <v>211</v>
      </c>
      <c r="BC122" s="54" t="s">
        <v>212</v>
      </c>
      <c r="BD122" s="54" t="s">
        <v>213</v>
      </c>
      <c r="BE122" s="54" t="s">
        <v>211</v>
      </c>
      <c r="BF122" s="54" t="s">
        <v>190</v>
      </c>
      <c r="BG122" s="54" t="s">
        <v>208</v>
      </c>
      <c r="BH122" s="54" t="s">
        <v>214</v>
      </c>
    </row>
    <row r="123" spans="33:60" x14ac:dyDescent="0.25">
      <c r="AG123" t="s">
        <v>217</v>
      </c>
      <c r="AH123" s="49" t="s">
        <v>139</v>
      </c>
      <c r="AI123" s="53" t="s">
        <v>372</v>
      </c>
      <c r="AX123" t="s">
        <v>205</v>
      </c>
      <c r="AY123">
        <v>3</v>
      </c>
      <c r="AZ123" t="s">
        <v>54</v>
      </c>
      <c r="BA123" t="s">
        <v>55</v>
      </c>
      <c r="BB123" t="s">
        <v>56</v>
      </c>
      <c r="BC123" t="s">
        <v>57</v>
      </c>
      <c r="BD123" t="s">
        <v>58</v>
      </c>
      <c r="BE123" t="s">
        <v>56</v>
      </c>
      <c r="BF123" t="s">
        <v>205</v>
      </c>
      <c r="BG123" t="s">
        <v>52</v>
      </c>
      <c r="BH123" t="s">
        <v>59</v>
      </c>
    </row>
    <row r="124" spans="33:60" x14ac:dyDescent="0.25">
      <c r="AH124" s="49"/>
      <c r="AI124" s="53"/>
      <c r="AK124" s="32" t="s">
        <v>49</v>
      </c>
      <c r="AL124" t="s">
        <v>67</v>
      </c>
      <c r="AM124" t="s">
        <v>50</v>
      </c>
      <c r="AN124" t="s">
        <v>51</v>
      </c>
      <c r="AX124" t="s">
        <v>205</v>
      </c>
      <c r="AY124">
        <v>4</v>
      </c>
      <c r="AZ124" t="s">
        <v>81</v>
      </c>
      <c r="BA124" t="s">
        <v>82</v>
      </c>
      <c r="BB124" t="s">
        <v>83</v>
      </c>
      <c r="BC124" t="s">
        <v>84</v>
      </c>
      <c r="BD124" t="s">
        <v>85</v>
      </c>
      <c r="BE124" t="s">
        <v>83</v>
      </c>
      <c r="BF124" t="s">
        <v>205</v>
      </c>
      <c r="BG124" t="s">
        <v>80</v>
      </c>
      <c r="BH124" t="s">
        <v>86</v>
      </c>
    </row>
    <row r="125" spans="33:60" x14ac:dyDescent="0.25">
      <c r="AH125" s="49"/>
      <c r="AI125" s="53"/>
      <c r="AK125" s="32" t="s">
        <v>49</v>
      </c>
      <c r="AL125" t="s">
        <v>67</v>
      </c>
      <c r="AM125" t="s">
        <v>78</v>
      </c>
      <c r="AN125" t="s">
        <v>79</v>
      </c>
      <c r="AW125" t="s">
        <v>52</v>
      </c>
      <c r="AX125" t="s">
        <v>205</v>
      </c>
      <c r="AY125">
        <v>5</v>
      </c>
      <c r="AZ125" t="s">
        <v>103</v>
      </c>
      <c r="BA125" t="s">
        <v>104</v>
      </c>
      <c r="BB125" t="s">
        <v>105</v>
      </c>
      <c r="BC125" t="s">
        <v>106</v>
      </c>
      <c r="BD125" t="s">
        <v>107</v>
      </c>
      <c r="BE125" t="s">
        <v>105</v>
      </c>
      <c r="BF125" t="s">
        <v>205</v>
      </c>
      <c r="BG125" t="s">
        <v>102</v>
      </c>
      <c r="BH125" t="s">
        <v>64</v>
      </c>
    </row>
    <row r="126" spans="33:60" x14ac:dyDescent="0.25">
      <c r="AH126" s="49"/>
      <c r="AI126" s="53"/>
      <c r="AK126" s="32" t="s">
        <v>49</v>
      </c>
      <c r="AL126" t="s">
        <v>67</v>
      </c>
      <c r="AM126" t="s">
        <v>100</v>
      </c>
      <c r="AN126" t="s">
        <v>101</v>
      </c>
      <c r="AW126" t="s">
        <v>80</v>
      </c>
      <c r="AX126" t="s">
        <v>205</v>
      </c>
      <c r="AY126">
        <v>6</v>
      </c>
      <c r="AZ126" t="s">
        <v>115</v>
      </c>
      <c r="BA126" t="s">
        <v>116</v>
      </c>
      <c r="BB126" t="s">
        <v>117</v>
      </c>
      <c r="BC126" t="s">
        <v>118</v>
      </c>
      <c r="BD126" t="s">
        <v>119</v>
      </c>
      <c r="BE126" t="s">
        <v>117</v>
      </c>
      <c r="BF126" t="s">
        <v>205</v>
      </c>
      <c r="BG126" t="s">
        <v>114</v>
      </c>
      <c r="BH126" t="s">
        <v>120</v>
      </c>
    </row>
    <row r="127" spans="33:60" x14ac:dyDescent="0.25">
      <c r="AH127" s="49"/>
      <c r="AI127" s="53"/>
      <c r="AK127" s="32" t="s">
        <v>49</v>
      </c>
      <c r="AL127" t="s">
        <v>67</v>
      </c>
      <c r="AM127" t="s">
        <v>112</v>
      </c>
      <c r="AN127" t="s">
        <v>113</v>
      </c>
      <c r="AW127" t="s">
        <v>102</v>
      </c>
      <c r="AX127" t="s">
        <v>205</v>
      </c>
      <c r="AY127">
        <v>7</v>
      </c>
      <c r="AZ127" t="s">
        <v>130</v>
      </c>
      <c r="BA127" t="s">
        <v>131</v>
      </c>
      <c r="BB127" t="s">
        <v>132</v>
      </c>
      <c r="BC127" t="s">
        <v>133</v>
      </c>
      <c r="BD127" t="s">
        <v>134</v>
      </c>
      <c r="BE127" t="s">
        <v>132</v>
      </c>
      <c r="BF127" t="s">
        <v>205</v>
      </c>
      <c r="BG127" t="s">
        <v>129</v>
      </c>
      <c r="BH127" t="s">
        <v>135</v>
      </c>
    </row>
    <row r="128" spans="33:60" x14ac:dyDescent="0.25">
      <c r="AH128" s="49"/>
      <c r="AI128" s="53"/>
      <c r="AK128" s="32" t="s">
        <v>49</v>
      </c>
      <c r="AL128" t="s">
        <v>67</v>
      </c>
      <c r="AM128" t="s">
        <v>127</v>
      </c>
      <c r="AN128" t="s">
        <v>128</v>
      </c>
      <c r="AW128" t="s">
        <v>114</v>
      </c>
      <c r="AX128" t="s">
        <v>205</v>
      </c>
      <c r="AY128">
        <v>8</v>
      </c>
      <c r="AZ128" t="s">
        <v>143</v>
      </c>
      <c r="BA128" t="s">
        <v>144</v>
      </c>
      <c r="BB128" t="s">
        <v>145</v>
      </c>
      <c r="BC128" t="s">
        <v>146</v>
      </c>
      <c r="BD128" t="s">
        <v>147</v>
      </c>
      <c r="BE128" t="s">
        <v>145</v>
      </c>
      <c r="BF128" t="s">
        <v>205</v>
      </c>
      <c r="BG128" t="s">
        <v>142</v>
      </c>
      <c r="BH128" t="s">
        <v>148</v>
      </c>
    </row>
    <row r="129" spans="33:60" x14ac:dyDescent="0.25">
      <c r="AG129" t="s">
        <v>217</v>
      </c>
      <c r="AH129" s="49" t="s">
        <v>177</v>
      </c>
      <c r="AI129" s="53" t="s">
        <v>372</v>
      </c>
      <c r="AK129" s="32" t="s">
        <v>49</v>
      </c>
      <c r="AL129" t="s">
        <v>67</v>
      </c>
      <c r="AM129" t="s">
        <v>140</v>
      </c>
      <c r="AN129" t="s">
        <v>141</v>
      </c>
      <c r="AW129" t="s">
        <v>129</v>
      </c>
      <c r="AX129" t="s">
        <v>205</v>
      </c>
      <c r="AY129">
        <v>9</v>
      </c>
      <c r="AZ129" t="s">
        <v>155</v>
      </c>
      <c r="BA129" t="s">
        <v>156</v>
      </c>
      <c r="BB129" t="s">
        <v>157</v>
      </c>
      <c r="BC129" t="s">
        <v>158</v>
      </c>
      <c r="BD129" t="s">
        <v>159</v>
      </c>
      <c r="BE129" t="s">
        <v>157</v>
      </c>
      <c r="BF129" t="s">
        <v>205</v>
      </c>
      <c r="BG129" t="s">
        <v>154</v>
      </c>
      <c r="BH129" t="s">
        <v>89</v>
      </c>
    </row>
    <row r="130" spans="33:60" x14ac:dyDescent="0.25">
      <c r="AH130" s="49"/>
      <c r="AI130" s="53"/>
      <c r="AK130" s="32" t="s">
        <v>49</v>
      </c>
      <c r="AL130" t="s">
        <v>67</v>
      </c>
      <c r="AM130" t="s">
        <v>152</v>
      </c>
      <c r="AN130" t="s">
        <v>153</v>
      </c>
      <c r="AW130" t="s">
        <v>142</v>
      </c>
      <c r="AX130" t="s">
        <v>205</v>
      </c>
      <c r="AY130">
        <v>10</v>
      </c>
      <c r="AZ130" t="s">
        <v>167</v>
      </c>
      <c r="BA130" t="s">
        <v>168</v>
      </c>
      <c r="BB130" t="s">
        <v>169</v>
      </c>
      <c r="BC130" t="s">
        <v>170</v>
      </c>
      <c r="BD130" t="s">
        <v>171</v>
      </c>
      <c r="BE130" t="s">
        <v>169</v>
      </c>
      <c r="BF130" t="s">
        <v>205</v>
      </c>
      <c r="BG130" t="s">
        <v>166</v>
      </c>
      <c r="BH130" t="s">
        <v>172</v>
      </c>
    </row>
    <row r="131" spans="33:60" x14ac:dyDescent="0.25">
      <c r="AG131" t="s">
        <v>217</v>
      </c>
      <c r="AH131" s="49" t="s">
        <v>191</v>
      </c>
      <c r="AI131" s="53" t="s">
        <v>386</v>
      </c>
      <c r="AK131" s="32" t="s">
        <v>49</v>
      </c>
      <c r="AL131" t="s">
        <v>67</v>
      </c>
      <c r="AM131" t="s">
        <v>164</v>
      </c>
      <c r="AN131" t="s">
        <v>165</v>
      </c>
      <c r="AW131" t="s">
        <v>154</v>
      </c>
      <c r="AX131" t="s">
        <v>205</v>
      </c>
      <c r="AY131">
        <v>11</v>
      </c>
      <c r="AZ131" t="s">
        <v>182</v>
      </c>
      <c r="BA131" t="s">
        <v>183</v>
      </c>
      <c r="BB131" t="s">
        <v>184</v>
      </c>
      <c r="BC131" t="s">
        <v>185</v>
      </c>
      <c r="BD131" t="s">
        <v>186</v>
      </c>
      <c r="BE131" t="s">
        <v>184</v>
      </c>
      <c r="BF131" t="s">
        <v>205</v>
      </c>
      <c r="BG131" t="s">
        <v>181</v>
      </c>
      <c r="BH131" t="s">
        <v>187</v>
      </c>
    </row>
    <row r="132" spans="33:60" x14ac:dyDescent="0.25">
      <c r="AH132" s="49"/>
      <c r="AI132" s="53"/>
      <c r="AK132" s="32" t="s">
        <v>49</v>
      </c>
      <c r="AL132" t="s">
        <v>67</v>
      </c>
      <c r="AM132" t="s">
        <v>179</v>
      </c>
      <c r="AN132" t="s">
        <v>180</v>
      </c>
      <c r="AW132" t="s">
        <v>166</v>
      </c>
      <c r="AX132" t="s">
        <v>205</v>
      </c>
      <c r="AY132">
        <v>14</v>
      </c>
      <c r="AZ132" t="s">
        <v>196</v>
      </c>
      <c r="BA132" t="s">
        <v>197</v>
      </c>
      <c r="BB132" t="s">
        <v>198</v>
      </c>
      <c r="BC132" t="s">
        <v>199</v>
      </c>
      <c r="BD132" t="s">
        <v>200</v>
      </c>
      <c r="BE132" t="s">
        <v>198</v>
      </c>
      <c r="BF132" t="s">
        <v>205</v>
      </c>
      <c r="BG132" t="s">
        <v>195</v>
      </c>
      <c r="BH132" t="s">
        <v>201</v>
      </c>
    </row>
    <row r="133" spans="33:60" x14ac:dyDescent="0.25">
      <c r="AG133" t="s">
        <v>223</v>
      </c>
      <c r="AH133" t="s">
        <v>39</v>
      </c>
      <c r="AI133">
        <v>2429</v>
      </c>
      <c r="AK133" s="32" t="s">
        <v>49</v>
      </c>
      <c r="AL133" t="s">
        <v>67</v>
      </c>
      <c r="AM133" t="s">
        <v>193</v>
      </c>
      <c r="AN133" t="s">
        <v>194</v>
      </c>
      <c r="AW133" t="s">
        <v>181</v>
      </c>
      <c r="AX133" t="s">
        <v>205</v>
      </c>
      <c r="AY133">
        <v>18</v>
      </c>
      <c r="AZ133" t="s">
        <v>209</v>
      </c>
      <c r="BA133" t="s">
        <v>210</v>
      </c>
      <c r="BB133" t="s">
        <v>211</v>
      </c>
      <c r="BC133" t="s">
        <v>212</v>
      </c>
      <c r="BD133" t="s">
        <v>213</v>
      </c>
      <c r="BE133" t="s">
        <v>211</v>
      </c>
      <c r="BF133" t="s">
        <v>205</v>
      </c>
      <c r="BG133" t="s">
        <v>208</v>
      </c>
      <c r="BH133" t="s">
        <v>214</v>
      </c>
    </row>
    <row r="134" spans="33:60" x14ac:dyDescent="0.25">
      <c r="AG134" t="s">
        <v>223</v>
      </c>
      <c r="AH134" s="49" t="s">
        <v>76</v>
      </c>
      <c r="AI134" s="49" t="s">
        <v>77</v>
      </c>
      <c r="AK134" s="32" t="s">
        <v>49</v>
      </c>
      <c r="AL134" t="s">
        <v>67</v>
      </c>
      <c r="AM134" t="s">
        <v>206</v>
      </c>
      <c r="AN134" t="s">
        <v>207</v>
      </c>
      <c r="AW134" t="s">
        <v>195</v>
      </c>
    </row>
    <row r="135" spans="33:60" x14ac:dyDescent="0.25">
      <c r="AH135" s="49"/>
      <c r="AI135" s="49"/>
      <c r="AK135" s="32" t="s">
        <v>49</v>
      </c>
      <c r="AL135" t="s">
        <v>67</v>
      </c>
      <c r="AM135" t="s">
        <v>218</v>
      </c>
      <c r="AN135" t="s">
        <v>219</v>
      </c>
      <c r="AW135" t="s">
        <v>208</v>
      </c>
    </row>
    <row r="136" spans="33:60" x14ac:dyDescent="0.25">
      <c r="AH136" s="49"/>
      <c r="AI136" s="49"/>
      <c r="AK136" s="32" t="s">
        <v>49</v>
      </c>
      <c r="AL136" t="s">
        <v>67</v>
      </c>
      <c r="AM136" t="s">
        <v>224</v>
      </c>
      <c r="AN136" t="s">
        <v>225</v>
      </c>
      <c r="AW136" t="s">
        <v>52</v>
      </c>
      <c r="AX136" t="s">
        <v>217</v>
      </c>
      <c r="AY136">
        <v>3</v>
      </c>
      <c r="AZ136" t="s">
        <v>54</v>
      </c>
      <c r="BA136" t="s">
        <v>374</v>
      </c>
      <c r="BB136" t="s">
        <v>56</v>
      </c>
      <c r="BC136" t="s">
        <v>57</v>
      </c>
      <c r="BD136" t="s">
        <v>58</v>
      </c>
      <c r="BE136" t="s">
        <v>56</v>
      </c>
      <c r="BF136" t="s">
        <v>217</v>
      </c>
      <c r="BG136" t="s">
        <v>52</v>
      </c>
      <c r="BH136" t="s">
        <v>375</v>
      </c>
    </row>
    <row r="137" spans="33:60" x14ac:dyDescent="0.25">
      <c r="AH137" s="49"/>
      <c r="AI137" s="49"/>
      <c r="AK137" s="32" t="s">
        <v>49</v>
      </c>
      <c r="AL137" t="s">
        <v>67</v>
      </c>
      <c r="AM137" t="s">
        <v>228</v>
      </c>
      <c r="AN137" t="s">
        <v>229</v>
      </c>
      <c r="AW137" t="s">
        <v>80</v>
      </c>
      <c r="AX137" t="s">
        <v>217</v>
      </c>
      <c r="AY137">
        <v>4</v>
      </c>
      <c r="AZ137" t="s">
        <v>81</v>
      </c>
      <c r="BA137" t="s">
        <v>376</v>
      </c>
      <c r="BB137" t="s">
        <v>83</v>
      </c>
      <c r="BC137" t="s">
        <v>84</v>
      </c>
      <c r="BD137" t="s">
        <v>85</v>
      </c>
      <c r="BE137" t="s">
        <v>83</v>
      </c>
      <c r="BF137" t="s">
        <v>217</v>
      </c>
      <c r="BG137" t="s">
        <v>80</v>
      </c>
      <c r="BH137" t="s">
        <v>377</v>
      </c>
    </row>
    <row r="138" spans="33:60" x14ac:dyDescent="0.25">
      <c r="AG138" t="s">
        <v>223</v>
      </c>
      <c r="AH138" t="s">
        <v>139</v>
      </c>
      <c r="AI138">
        <v>2429</v>
      </c>
      <c r="AK138" s="32" t="s">
        <v>49</v>
      </c>
      <c r="AL138" t="s">
        <v>67</v>
      </c>
      <c r="AM138" t="s">
        <v>232</v>
      </c>
      <c r="AN138" t="s">
        <v>233</v>
      </c>
      <c r="AW138" t="s">
        <v>102</v>
      </c>
      <c r="AX138" t="s">
        <v>217</v>
      </c>
      <c r="AY138">
        <v>5</v>
      </c>
      <c r="AZ138" t="s">
        <v>103</v>
      </c>
      <c r="BA138" t="s">
        <v>378</v>
      </c>
      <c r="BB138" t="s">
        <v>105</v>
      </c>
      <c r="BC138" t="s">
        <v>106</v>
      </c>
      <c r="BD138" t="s">
        <v>107</v>
      </c>
      <c r="BE138" t="s">
        <v>105</v>
      </c>
      <c r="BF138" t="s">
        <v>217</v>
      </c>
      <c r="BG138" t="s">
        <v>102</v>
      </c>
      <c r="BH138" t="s">
        <v>379</v>
      </c>
    </row>
    <row r="139" spans="33:60" x14ac:dyDescent="0.25">
      <c r="AH139" s="49"/>
      <c r="AI139" s="49"/>
      <c r="AK139" s="32" t="s">
        <v>49</v>
      </c>
      <c r="AL139" t="s">
        <v>67</v>
      </c>
      <c r="AM139" t="s">
        <v>237</v>
      </c>
      <c r="AN139" t="s">
        <v>238</v>
      </c>
      <c r="AW139" t="s">
        <v>114</v>
      </c>
      <c r="AX139" t="s">
        <v>217</v>
      </c>
      <c r="AY139">
        <v>6</v>
      </c>
      <c r="AZ139" t="s">
        <v>115</v>
      </c>
      <c r="BA139" t="s">
        <v>380</v>
      </c>
      <c r="BB139" t="s">
        <v>117</v>
      </c>
      <c r="BC139" t="s">
        <v>118</v>
      </c>
      <c r="BD139" t="s">
        <v>119</v>
      </c>
      <c r="BE139" t="s">
        <v>117</v>
      </c>
      <c r="BF139" t="s">
        <v>217</v>
      </c>
      <c r="BG139" t="s">
        <v>114</v>
      </c>
      <c r="BH139" t="s">
        <v>381</v>
      </c>
    </row>
    <row r="140" spans="33:60" x14ac:dyDescent="0.25">
      <c r="AH140" s="49"/>
      <c r="AI140" s="49"/>
      <c r="AK140" s="32" t="s">
        <v>49</v>
      </c>
      <c r="AL140" t="s">
        <v>67</v>
      </c>
      <c r="AM140" t="s">
        <v>242</v>
      </c>
      <c r="AN140" t="s">
        <v>243</v>
      </c>
      <c r="AW140" t="s">
        <v>129</v>
      </c>
      <c r="AX140" t="s">
        <v>217</v>
      </c>
      <c r="AY140">
        <v>7</v>
      </c>
      <c r="AZ140" t="s">
        <v>130</v>
      </c>
      <c r="BA140" t="s">
        <v>382</v>
      </c>
      <c r="BB140" t="s">
        <v>132</v>
      </c>
      <c r="BC140" t="s">
        <v>133</v>
      </c>
      <c r="BD140" t="s">
        <v>134</v>
      </c>
      <c r="BE140" t="s">
        <v>132</v>
      </c>
      <c r="BF140" t="s">
        <v>217</v>
      </c>
      <c r="BG140" t="s">
        <v>129</v>
      </c>
      <c r="BH140" t="s">
        <v>383</v>
      </c>
    </row>
    <row r="141" spans="33:60" x14ac:dyDescent="0.25">
      <c r="AG141" t="s">
        <v>223</v>
      </c>
      <c r="AH141" t="s">
        <v>177</v>
      </c>
      <c r="AI141" t="s">
        <v>397</v>
      </c>
      <c r="AK141" s="32" t="s">
        <v>49</v>
      </c>
      <c r="AL141" t="s">
        <v>67</v>
      </c>
      <c r="AM141" t="s">
        <v>247</v>
      </c>
      <c r="AN141" t="s">
        <v>248</v>
      </c>
      <c r="AW141" t="s">
        <v>142</v>
      </c>
      <c r="AX141" t="s">
        <v>217</v>
      </c>
      <c r="AY141">
        <v>8</v>
      </c>
      <c r="AZ141" t="s">
        <v>143</v>
      </c>
      <c r="BA141" t="s">
        <v>384</v>
      </c>
      <c r="BB141" t="s">
        <v>145</v>
      </c>
      <c r="BC141" t="s">
        <v>146</v>
      </c>
      <c r="BD141" t="s">
        <v>147</v>
      </c>
      <c r="BE141" t="s">
        <v>145</v>
      </c>
      <c r="BF141" t="s">
        <v>217</v>
      </c>
      <c r="BG141" t="s">
        <v>142</v>
      </c>
      <c r="BH141" t="s">
        <v>385</v>
      </c>
    </row>
    <row r="142" spans="33:60" x14ac:dyDescent="0.25">
      <c r="AG142" t="s">
        <v>223</v>
      </c>
      <c r="AH142" t="s">
        <v>191</v>
      </c>
      <c r="AI142" t="s">
        <v>192</v>
      </c>
      <c r="AK142" s="32" t="s">
        <v>49</v>
      </c>
      <c r="AL142" t="s">
        <v>67</v>
      </c>
      <c r="AM142" t="s">
        <v>251</v>
      </c>
      <c r="AN142" t="s">
        <v>252</v>
      </c>
      <c r="AW142" t="s">
        <v>154</v>
      </c>
      <c r="AX142" t="s">
        <v>217</v>
      </c>
      <c r="AY142">
        <v>9</v>
      </c>
      <c r="AZ142" t="s">
        <v>155</v>
      </c>
      <c r="BA142" t="s">
        <v>387</v>
      </c>
      <c r="BB142" t="s">
        <v>157</v>
      </c>
      <c r="BC142" t="s">
        <v>158</v>
      </c>
      <c r="BD142" t="s">
        <v>159</v>
      </c>
      <c r="BE142" t="s">
        <v>157</v>
      </c>
      <c r="BF142" t="s">
        <v>217</v>
      </c>
      <c r="BG142" t="s">
        <v>154</v>
      </c>
      <c r="BH142" t="s">
        <v>388</v>
      </c>
    </row>
    <row r="143" spans="33:60" x14ac:dyDescent="0.25">
      <c r="AG143" t="s">
        <v>227</v>
      </c>
      <c r="AH143" t="s">
        <v>39</v>
      </c>
      <c r="AI143">
        <v>2429</v>
      </c>
      <c r="AK143" s="32" t="s">
        <v>49</v>
      </c>
      <c r="AL143" t="s">
        <v>67</v>
      </c>
      <c r="AM143" t="s">
        <v>255</v>
      </c>
      <c r="AN143" t="s">
        <v>256</v>
      </c>
      <c r="AW143" t="s">
        <v>166</v>
      </c>
      <c r="AX143" t="s">
        <v>217</v>
      </c>
      <c r="AY143">
        <v>10</v>
      </c>
      <c r="AZ143" t="s">
        <v>167</v>
      </c>
      <c r="BA143" t="s">
        <v>389</v>
      </c>
      <c r="BB143" t="s">
        <v>169</v>
      </c>
      <c r="BC143" t="s">
        <v>170</v>
      </c>
      <c r="BD143" t="s">
        <v>171</v>
      </c>
      <c r="BE143" t="s">
        <v>169</v>
      </c>
      <c r="BF143" t="s">
        <v>217</v>
      </c>
      <c r="BG143" t="s">
        <v>166</v>
      </c>
      <c r="BH143" t="s">
        <v>390</v>
      </c>
    </row>
    <row r="144" spans="33:60" x14ac:dyDescent="0.25">
      <c r="AG144" t="s">
        <v>227</v>
      </c>
      <c r="AH144" s="49" t="s">
        <v>76</v>
      </c>
      <c r="AI144" s="49" t="s">
        <v>77</v>
      </c>
      <c r="AK144" s="32" t="s">
        <v>49</v>
      </c>
      <c r="AL144" t="s">
        <v>67</v>
      </c>
      <c r="AM144" t="s">
        <v>259</v>
      </c>
      <c r="AN144" t="s">
        <v>260</v>
      </c>
      <c r="AW144" t="s">
        <v>181</v>
      </c>
      <c r="AX144" t="s">
        <v>217</v>
      </c>
      <c r="AY144">
        <v>11</v>
      </c>
      <c r="AZ144" t="s">
        <v>182</v>
      </c>
      <c r="BA144" t="s">
        <v>391</v>
      </c>
      <c r="BB144" t="s">
        <v>184</v>
      </c>
      <c r="BC144" t="s">
        <v>185</v>
      </c>
      <c r="BD144" t="s">
        <v>186</v>
      </c>
      <c r="BE144" t="s">
        <v>184</v>
      </c>
      <c r="BF144" t="s">
        <v>217</v>
      </c>
      <c r="BG144" t="s">
        <v>181</v>
      </c>
      <c r="BH144" t="s">
        <v>392</v>
      </c>
    </row>
    <row r="145" spans="33:60" x14ac:dyDescent="0.25">
      <c r="AH145" s="49"/>
      <c r="AI145" s="49"/>
      <c r="AK145" s="32" t="s">
        <v>49</v>
      </c>
      <c r="AL145" t="s">
        <v>67</v>
      </c>
      <c r="AM145" t="s">
        <v>263</v>
      </c>
      <c r="AN145" t="s">
        <v>264</v>
      </c>
      <c r="AW145" t="s">
        <v>195</v>
      </c>
      <c r="AX145" t="s">
        <v>217</v>
      </c>
      <c r="AY145">
        <v>14</v>
      </c>
      <c r="AZ145" t="s">
        <v>196</v>
      </c>
      <c r="BA145" t="s">
        <v>393</v>
      </c>
      <c r="BB145" t="s">
        <v>198</v>
      </c>
      <c r="BC145" t="s">
        <v>199</v>
      </c>
      <c r="BD145" t="s">
        <v>200</v>
      </c>
      <c r="BE145" t="s">
        <v>198</v>
      </c>
      <c r="BF145" t="s">
        <v>217</v>
      </c>
      <c r="BG145" t="s">
        <v>195</v>
      </c>
      <c r="BH145" t="s">
        <v>394</v>
      </c>
    </row>
    <row r="146" spans="33:60" x14ac:dyDescent="0.25">
      <c r="AH146" s="49"/>
      <c r="AI146" s="49"/>
      <c r="AK146" s="32" t="s">
        <v>49</v>
      </c>
      <c r="AL146" t="s">
        <v>67</v>
      </c>
      <c r="AM146" t="s">
        <v>267</v>
      </c>
      <c r="AN146" t="s">
        <v>268</v>
      </c>
      <c r="AW146" t="s">
        <v>208</v>
      </c>
      <c r="AX146" t="s">
        <v>217</v>
      </c>
      <c r="AY146">
        <v>18</v>
      </c>
      <c r="AZ146" t="s">
        <v>209</v>
      </c>
      <c r="BA146" t="s">
        <v>395</v>
      </c>
      <c r="BB146" t="s">
        <v>211</v>
      </c>
      <c r="BC146" t="s">
        <v>212</v>
      </c>
      <c r="BD146" t="s">
        <v>213</v>
      </c>
      <c r="BE146" t="s">
        <v>211</v>
      </c>
      <c r="BF146" t="s">
        <v>217</v>
      </c>
      <c r="BG146" t="s">
        <v>208</v>
      </c>
      <c r="BH146" t="s">
        <v>396</v>
      </c>
    </row>
    <row r="147" spans="33:60" x14ac:dyDescent="0.25">
      <c r="AH147" s="49"/>
      <c r="AI147" s="49"/>
      <c r="AK147" s="32" t="s">
        <v>49</v>
      </c>
      <c r="AL147" t="s">
        <v>67</v>
      </c>
      <c r="AM147" t="s">
        <v>271</v>
      </c>
      <c r="AN147" t="s">
        <v>272</v>
      </c>
      <c r="AW147" s="54" t="s">
        <v>52</v>
      </c>
      <c r="AX147" t="s">
        <v>223</v>
      </c>
      <c r="AY147">
        <v>3</v>
      </c>
      <c r="AZ147" t="s">
        <v>54</v>
      </c>
      <c r="BA147" t="s">
        <v>374</v>
      </c>
      <c r="BB147" t="s">
        <v>56</v>
      </c>
      <c r="BC147" t="s">
        <v>57</v>
      </c>
      <c r="BD147" t="s">
        <v>58</v>
      </c>
      <c r="BE147" t="s">
        <v>56</v>
      </c>
      <c r="BF147" t="s">
        <v>223</v>
      </c>
      <c r="BG147" t="s">
        <v>52</v>
      </c>
      <c r="BH147" t="s">
        <v>375</v>
      </c>
    </row>
    <row r="148" spans="33:60" x14ac:dyDescent="0.25">
      <c r="AG148" t="s">
        <v>227</v>
      </c>
      <c r="AH148" t="s">
        <v>139</v>
      </c>
      <c r="AI148">
        <v>2429</v>
      </c>
      <c r="AK148" s="32" t="s">
        <v>49</v>
      </c>
      <c r="AL148" t="s">
        <v>67</v>
      </c>
      <c r="AM148" t="s">
        <v>274</v>
      </c>
      <c r="AN148" t="s">
        <v>275</v>
      </c>
      <c r="AW148" s="54" t="s">
        <v>80</v>
      </c>
      <c r="AX148" t="s">
        <v>223</v>
      </c>
      <c r="AY148">
        <v>4</v>
      </c>
      <c r="AZ148" t="s">
        <v>81</v>
      </c>
      <c r="BA148" t="s">
        <v>376</v>
      </c>
      <c r="BB148" t="s">
        <v>83</v>
      </c>
      <c r="BC148" t="s">
        <v>84</v>
      </c>
      <c r="BD148" t="s">
        <v>85</v>
      </c>
      <c r="BE148" t="s">
        <v>83</v>
      </c>
      <c r="BF148" t="s">
        <v>223</v>
      </c>
      <c r="BG148" t="s">
        <v>80</v>
      </c>
      <c r="BH148" t="s">
        <v>377</v>
      </c>
    </row>
    <row r="149" spans="33:60" x14ac:dyDescent="0.25">
      <c r="AH149" s="49"/>
      <c r="AI149" s="49"/>
      <c r="AK149" s="32" t="s">
        <v>49</v>
      </c>
      <c r="AL149" t="s">
        <v>67</v>
      </c>
      <c r="AM149" t="s">
        <v>277</v>
      </c>
      <c r="AN149" t="s">
        <v>278</v>
      </c>
      <c r="AW149" s="54" t="s">
        <v>102</v>
      </c>
      <c r="AX149" t="s">
        <v>223</v>
      </c>
      <c r="AY149">
        <v>5</v>
      </c>
      <c r="AZ149" t="s">
        <v>103</v>
      </c>
      <c r="BA149" t="s">
        <v>378</v>
      </c>
      <c r="BB149" t="s">
        <v>105</v>
      </c>
      <c r="BC149" t="s">
        <v>106</v>
      </c>
      <c r="BD149" t="s">
        <v>107</v>
      </c>
      <c r="BE149" t="s">
        <v>105</v>
      </c>
      <c r="BF149" t="s">
        <v>223</v>
      </c>
      <c r="BG149" t="s">
        <v>102</v>
      </c>
      <c r="BH149" t="s">
        <v>379</v>
      </c>
    </row>
    <row r="150" spans="33:60" x14ac:dyDescent="0.25">
      <c r="AH150" s="49"/>
      <c r="AI150" s="49"/>
      <c r="AK150" s="32" t="s">
        <v>49</v>
      </c>
      <c r="AL150" t="s">
        <v>67</v>
      </c>
      <c r="AM150" t="s">
        <v>281</v>
      </c>
      <c r="AN150" t="s">
        <v>282</v>
      </c>
      <c r="AW150" s="54" t="s">
        <v>114</v>
      </c>
      <c r="AX150" t="s">
        <v>223</v>
      </c>
      <c r="AY150">
        <v>6</v>
      </c>
      <c r="AZ150" t="s">
        <v>115</v>
      </c>
      <c r="BA150" t="s">
        <v>380</v>
      </c>
      <c r="BB150" t="s">
        <v>117</v>
      </c>
      <c r="BC150" t="s">
        <v>118</v>
      </c>
      <c r="BD150" t="s">
        <v>119</v>
      </c>
      <c r="BE150" t="s">
        <v>117</v>
      </c>
      <c r="BF150" t="s">
        <v>223</v>
      </c>
      <c r="BG150" t="s">
        <v>114</v>
      </c>
      <c r="BH150" t="s">
        <v>381</v>
      </c>
    </row>
    <row r="151" spans="33:60" x14ac:dyDescent="0.25">
      <c r="AG151" t="s">
        <v>227</v>
      </c>
      <c r="AH151" t="s">
        <v>177</v>
      </c>
      <c r="AI151" t="s">
        <v>397</v>
      </c>
      <c r="AK151" s="32" t="s">
        <v>49</v>
      </c>
      <c r="AL151" t="s">
        <v>67</v>
      </c>
      <c r="AM151" t="s">
        <v>285</v>
      </c>
      <c r="AN151" t="s">
        <v>286</v>
      </c>
      <c r="AW151" s="54" t="s">
        <v>129</v>
      </c>
      <c r="AX151" t="s">
        <v>223</v>
      </c>
      <c r="AY151">
        <v>7</v>
      </c>
      <c r="AZ151" t="s">
        <v>130</v>
      </c>
      <c r="BA151" t="s">
        <v>382</v>
      </c>
      <c r="BB151" t="s">
        <v>132</v>
      </c>
      <c r="BC151" t="s">
        <v>133</v>
      </c>
      <c r="BD151" t="s">
        <v>134</v>
      </c>
      <c r="BE151" t="s">
        <v>132</v>
      </c>
      <c r="BF151" t="s">
        <v>223</v>
      </c>
      <c r="BG151" t="s">
        <v>129</v>
      </c>
      <c r="BH151" t="s">
        <v>383</v>
      </c>
    </row>
    <row r="152" spans="33:60" x14ac:dyDescent="0.25">
      <c r="AG152" t="s">
        <v>227</v>
      </c>
      <c r="AH152" t="s">
        <v>191</v>
      </c>
      <c r="AI152" t="s">
        <v>192</v>
      </c>
      <c r="AK152" s="32" t="s">
        <v>49</v>
      </c>
      <c r="AL152" t="s">
        <v>67</v>
      </c>
      <c r="AM152" t="s">
        <v>288</v>
      </c>
      <c r="AN152" t="s">
        <v>289</v>
      </c>
      <c r="AW152" s="54" t="s">
        <v>142</v>
      </c>
      <c r="AX152" t="s">
        <v>223</v>
      </c>
      <c r="AY152">
        <v>8</v>
      </c>
      <c r="AZ152" t="s">
        <v>143</v>
      </c>
      <c r="BA152" t="s">
        <v>384</v>
      </c>
      <c r="BB152" t="s">
        <v>145</v>
      </c>
      <c r="BC152" t="s">
        <v>146</v>
      </c>
      <c r="BD152" t="s">
        <v>147</v>
      </c>
      <c r="BE152" t="s">
        <v>145</v>
      </c>
      <c r="BF152" t="s">
        <v>223</v>
      </c>
      <c r="BG152" t="s">
        <v>142</v>
      </c>
      <c r="BH152" t="s">
        <v>385</v>
      </c>
    </row>
    <row r="153" spans="33:60" x14ac:dyDescent="0.25">
      <c r="AG153" t="s">
        <v>231</v>
      </c>
      <c r="AH153" t="s">
        <v>39</v>
      </c>
      <c r="AI153">
        <v>2429</v>
      </c>
      <c r="AK153" s="32" t="s">
        <v>49</v>
      </c>
      <c r="AL153" t="s">
        <v>67</v>
      </c>
      <c r="AM153" t="s">
        <v>292</v>
      </c>
      <c r="AN153" t="s">
        <v>293</v>
      </c>
      <c r="AW153" s="54" t="s">
        <v>154</v>
      </c>
      <c r="AX153" t="s">
        <v>223</v>
      </c>
      <c r="AY153">
        <v>9</v>
      </c>
      <c r="AZ153" t="s">
        <v>155</v>
      </c>
      <c r="BA153" t="s">
        <v>387</v>
      </c>
      <c r="BB153" t="s">
        <v>157</v>
      </c>
      <c r="BC153" t="s">
        <v>158</v>
      </c>
      <c r="BD153" t="s">
        <v>159</v>
      </c>
      <c r="BE153" t="s">
        <v>157</v>
      </c>
      <c r="BF153" t="s">
        <v>223</v>
      </c>
      <c r="BG153" t="s">
        <v>154</v>
      </c>
      <c r="BH153" t="s">
        <v>388</v>
      </c>
    </row>
    <row r="154" spans="33:60" x14ac:dyDescent="0.25">
      <c r="AG154" t="s">
        <v>231</v>
      </c>
      <c r="AH154" s="49" t="s">
        <v>76</v>
      </c>
      <c r="AI154" s="49" t="s">
        <v>77</v>
      </c>
      <c r="AK154" s="32" t="s">
        <v>49</v>
      </c>
      <c r="AL154" t="s">
        <v>67</v>
      </c>
      <c r="AM154" t="s">
        <v>297</v>
      </c>
      <c r="AN154" t="s">
        <v>298</v>
      </c>
      <c r="AW154" s="54" t="s">
        <v>166</v>
      </c>
      <c r="AX154" t="s">
        <v>223</v>
      </c>
      <c r="AY154">
        <v>10</v>
      </c>
      <c r="AZ154" t="s">
        <v>167</v>
      </c>
      <c r="BA154" t="s">
        <v>389</v>
      </c>
      <c r="BB154" t="s">
        <v>169</v>
      </c>
      <c r="BC154" t="s">
        <v>170</v>
      </c>
      <c r="BD154" t="s">
        <v>171</v>
      </c>
      <c r="BE154" t="s">
        <v>169</v>
      </c>
      <c r="BF154" t="s">
        <v>223</v>
      </c>
      <c r="BG154" t="s">
        <v>166</v>
      </c>
      <c r="BH154" t="s">
        <v>390</v>
      </c>
    </row>
    <row r="155" spans="33:60" x14ac:dyDescent="0.25">
      <c r="AH155" s="49"/>
      <c r="AI155" s="49"/>
      <c r="AK155" s="32" t="s">
        <v>49</v>
      </c>
      <c r="AL155" t="s">
        <v>67</v>
      </c>
      <c r="AM155" t="s">
        <v>302</v>
      </c>
      <c r="AN155" t="s">
        <v>303</v>
      </c>
      <c r="AW155" s="54" t="s">
        <v>181</v>
      </c>
      <c r="AX155" t="s">
        <v>223</v>
      </c>
      <c r="AY155">
        <v>11</v>
      </c>
      <c r="AZ155" t="s">
        <v>182</v>
      </c>
      <c r="BA155" t="s">
        <v>391</v>
      </c>
      <c r="BB155" t="s">
        <v>184</v>
      </c>
      <c r="BC155" t="s">
        <v>185</v>
      </c>
      <c r="BD155" t="s">
        <v>186</v>
      </c>
      <c r="BE155" t="s">
        <v>184</v>
      </c>
      <c r="BF155" t="s">
        <v>223</v>
      </c>
      <c r="BG155" t="s">
        <v>181</v>
      </c>
      <c r="BH155" t="s">
        <v>392</v>
      </c>
    </row>
    <row r="156" spans="33:60" x14ac:dyDescent="0.25">
      <c r="AH156" s="49"/>
      <c r="AI156" s="49"/>
      <c r="AK156" s="32" t="s">
        <v>49</v>
      </c>
      <c r="AL156" t="s">
        <v>67</v>
      </c>
      <c r="AM156" t="s">
        <v>306</v>
      </c>
      <c r="AN156" t="s">
        <v>307</v>
      </c>
      <c r="AW156" s="54" t="s">
        <v>195</v>
      </c>
      <c r="AX156" t="s">
        <v>223</v>
      </c>
      <c r="AY156">
        <v>14</v>
      </c>
      <c r="AZ156" t="s">
        <v>196</v>
      </c>
      <c r="BA156" t="s">
        <v>393</v>
      </c>
      <c r="BB156" t="s">
        <v>198</v>
      </c>
      <c r="BC156" t="s">
        <v>199</v>
      </c>
      <c r="BD156" t="s">
        <v>200</v>
      </c>
      <c r="BE156" t="s">
        <v>198</v>
      </c>
      <c r="BF156" t="s">
        <v>223</v>
      </c>
      <c r="BG156" t="s">
        <v>195</v>
      </c>
      <c r="BH156" t="s">
        <v>394</v>
      </c>
    </row>
    <row r="157" spans="33:60" x14ac:dyDescent="0.25">
      <c r="AH157" s="49"/>
      <c r="AI157" s="49"/>
      <c r="AK157" s="32" t="s">
        <v>49</v>
      </c>
      <c r="AL157" t="s">
        <v>67</v>
      </c>
      <c r="AM157" t="s">
        <v>310</v>
      </c>
      <c r="AN157" t="s">
        <v>311</v>
      </c>
      <c r="AW157" s="54" t="s">
        <v>208</v>
      </c>
      <c r="AX157" t="s">
        <v>223</v>
      </c>
      <c r="AY157">
        <v>18</v>
      </c>
      <c r="AZ157" t="s">
        <v>209</v>
      </c>
      <c r="BA157" t="s">
        <v>395</v>
      </c>
      <c r="BB157" t="s">
        <v>211</v>
      </c>
      <c r="BC157" t="s">
        <v>212</v>
      </c>
      <c r="BD157" t="s">
        <v>213</v>
      </c>
      <c r="BE157" t="s">
        <v>211</v>
      </c>
      <c r="BF157" t="s">
        <v>223</v>
      </c>
      <c r="BG157" t="s">
        <v>208</v>
      </c>
      <c r="BH157" t="s">
        <v>396</v>
      </c>
    </row>
    <row r="158" spans="33:60" x14ac:dyDescent="0.25">
      <c r="AG158" t="s">
        <v>231</v>
      </c>
      <c r="AH158" t="s">
        <v>139</v>
      </c>
      <c r="AI158">
        <v>2429</v>
      </c>
      <c r="AK158" s="32" t="s">
        <v>49</v>
      </c>
      <c r="AL158" t="s">
        <v>67</v>
      </c>
      <c r="AM158" t="s">
        <v>314</v>
      </c>
      <c r="AN158" t="s">
        <v>315</v>
      </c>
      <c r="AW158" t="s">
        <v>52</v>
      </c>
      <c r="AX158" s="54" t="s">
        <v>227</v>
      </c>
      <c r="AY158" s="54">
        <v>3</v>
      </c>
      <c r="AZ158" s="54" t="s">
        <v>54</v>
      </c>
      <c r="BA158" s="54" t="s">
        <v>374</v>
      </c>
      <c r="BB158" s="54" t="s">
        <v>56</v>
      </c>
      <c r="BC158" s="54" t="s">
        <v>57</v>
      </c>
      <c r="BD158" s="54" t="s">
        <v>58</v>
      </c>
      <c r="BE158" s="54" t="s">
        <v>56</v>
      </c>
      <c r="BF158" s="54" t="s">
        <v>227</v>
      </c>
      <c r="BG158" s="54" t="s">
        <v>52</v>
      </c>
      <c r="BH158" s="54" t="s">
        <v>375</v>
      </c>
    </row>
    <row r="159" spans="33:60" x14ac:dyDescent="0.25">
      <c r="AH159" s="49"/>
      <c r="AI159" s="49"/>
      <c r="AK159" s="32" t="s">
        <v>49</v>
      </c>
      <c r="AL159" t="s">
        <v>67</v>
      </c>
      <c r="AM159" t="s">
        <v>318</v>
      </c>
      <c r="AN159" t="s">
        <v>319</v>
      </c>
      <c r="AW159" t="s">
        <v>80</v>
      </c>
      <c r="AX159" s="54" t="s">
        <v>227</v>
      </c>
      <c r="AY159" s="54">
        <v>4</v>
      </c>
      <c r="AZ159" s="54" t="s">
        <v>81</v>
      </c>
      <c r="BA159" s="54" t="s">
        <v>376</v>
      </c>
      <c r="BB159" s="54" t="s">
        <v>83</v>
      </c>
      <c r="BC159" s="54" t="s">
        <v>84</v>
      </c>
      <c r="BD159" s="54" t="s">
        <v>85</v>
      </c>
      <c r="BE159" s="54" t="s">
        <v>83</v>
      </c>
      <c r="BF159" s="54" t="s">
        <v>227</v>
      </c>
      <c r="BG159" s="54" t="s">
        <v>80</v>
      </c>
      <c r="BH159" s="54" t="s">
        <v>377</v>
      </c>
    </row>
    <row r="160" spans="33:60" x14ac:dyDescent="0.25">
      <c r="AH160" s="49"/>
      <c r="AI160" s="49"/>
      <c r="AK160" s="32" t="s">
        <v>49</v>
      </c>
      <c r="AL160" t="s">
        <v>67</v>
      </c>
      <c r="AM160" t="s">
        <v>321</v>
      </c>
      <c r="AN160" t="s">
        <v>322</v>
      </c>
      <c r="AW160" t="s">
        <v>102</v>
      </c>
      <c r="AX160" s="54" t="s">
        <v>227</v>
      </c>
      <c r="AY160" s="54">
        <v>5</v>
      </c>
      <c r="AZ160" s="54" t="s">
        <v>103</v>
      </c>
      <c r="BA160" s="54" t="s">
        <v>378</v>
      </c>
      <c r="BB160" s="54" t="s">
        <v>105</v>
      </c>
      <c r="BC160" s="54" t="s">
        <v>106</v>
      </c>
      <c r="BD160" s="54" t="s">
        <v>107</v>
      </c>
      <c r="BE160" s="54" t="s">
        <v>105</v>
      </c>
      <c r="BF160" s="54" t="s">
        <v>227</v>
      </c>
      <c r="BG160" s="54" t="s">
        <v>102</v>
      </c>
      <c r="BH160" s="54" t="s">
        <v>379</v>
      </c>
    </row>
    <row r="161" spans="33:60" x14ac:dyDescent="0.25">
      <c r="AG161" t="s">
        <v>231</v>
      </c>
      <c r="AH161" t="s">
        <v>177</v>
      </c>
      <c r="AI161" t="s">
        <v>178</v>
      </c>
      <c r="AK161" s="32" t="s">
        <v>49</v>
      </c>
      <c r="AL161" t="s">
        <v>67</v>
      </c>
      <c r="AM161" t="s">
        <v>325</v>
      </c>
      <c r="AN161" t="s">
        <v>326</v>
      </c>
      <c r="AW161" t="s">
        <v>114</v>
      </c>
      <c r="AX161" s="54" t="s">
        <v>227</v>
      </c>
      <c r="AY161" s="54">
        <v>6</v>
      </c>
      <c r="AZ161" s="54" t="s">
        <v>115</v>
      </c>
      <c r="BA161" s="54" t="s">
        <v>380</v>
      </c>
      <c r="BB161" s="54" t="s">
        <v>117</v>
      </c>
      <c r="BC161" s="54" t="s">
        <v>118</v>
      </c>
      <c r="BD161" s="54" t="s">
        <v>119</v>
      </c>
      <c r="BE161" s="54" t="s">
        <v>117</v>
      </c>
      <c r="BF161" s="54" t="s">
        <v>227</v>
      </c>
      <c r="BG161" s="54" t="s">
        <v>114</v>
      </c>
      <c r="BH161" s="54" t="s">
        <v>381</v>
      </c>
    </row>
    <row r="162" spans="33:60" x14ac:dyDescent="0.25">
      <c r="AG162" t="s">
        <v>231</v>
      </c>
      <c r="AH162" t="s">
        <v>191</v>
      </c>
      <c r="AI162" t="s">
        <v>192</v>
      </c>
      <c r="AK162" s="32" t="s">
        <v>49</v>
      </c>
      <c r="AL162" t="s">
        <v>67</v>
      </c>
      <c r="AM162" t="s">
        <v>327</v>
      </c>
      <c r="AN162" t="s">
        <v>328</v>
      </c>
      <c r="AW162" t="s">
        <v>129</v>
      </c>
      <c r="AX162" s="54" t="s">
        <v>227</v>
      </c>
      <c r="AY162" s="54">
        <v>7</v>
      </c>
      <c r="AZ162" s="54" t="s">
        <v>130</v>
      </c>
      <c r="BA162" s="54" t="s">
        <v>382</v>
      </c>
      <c r="BB162" s="54" t="s">
        <v>132</v>
      </c>
      <c r="BC162" s="54" t="s">
        <v>133</v>
      </c>
      <c r="BD162" s="54" t="s">
        <v>134</v>
      </c>
      <c r="BE162" s="54" t="s">
        <v>132</v>
      </c>
      <c r="BF162" s="54" t="s">
        <v>227</v>
      </c>
      <c r="BG162" s="54" t="s">
        <v>129</v>
      </c>
      <c r="BH162" s="54" t="s">
        <v>383</v>
      </c>
    </row>
    <row r="163" spans="33:60" x14ac:dyDescent="0.25">
      <c r="AG163" t="s">
        <v>236</v>
      </c>
      <c r="AH163" t="s">
        <v>39</v>
      </c>
      <c r="AI163">
        <v>2429</v>
      </c>
      <c r="AK163" s="32" t="s">
        <v>49</v>
      </c>
      <c r="AL163" t="s">
        <v>67</v>
      </c>
      <c r="AM163" t="s">
        <v>329</v>
      </c>
      <c r="AN163" t="s">
        <v>330</v>
      </c>
      <c r="AW163" t="s">
        <v>142</v>
      </c>
      <c r="AX163" s="54" t="s">
        <v>227</v>
      </c>
      <c r="AY163" s="54">
        <v>8</v>
      </c>
      <c r="AZ163" s="54" t="s">
        <v>143</v>
      </c>
      <c r="BA163" s="54" t="s">
        <v>384</v>
      </c>
      <c r="BB163" s="54" t="s">
        <v>145</v>
      </c>
      <c r="BC163" s="54" t="s">
        <v>146</v>
      </c>
      <c r="BD163" s="54" t="s">
        <v>147</v>
      </c>
      <c r="BE163" s="54" t="s">
        <v>145</v>
      </c>
      <c r="BF163" s="54" t="s">
        <v>227</v>
      </c>
      <c r="BG163" s="54" t="s">
        <v>142</v>
      </c>
      <c r="BH163" s="54" t="s">
        <v>385</v>
      </c>
    </row>
    <row r="164" spans="33:60" x14ac:dyDescent="0.25">
      <c r="AG164" t="s">
        <v>236</v>
      </c>
      <c r="AH164" s="49" t="s">
        <v>76</v>
      </c>
      <c r="AI164" s="49" t="s">
        <v>77</v>
      </c>
      <c r="AK164" s="32" t="s">
        <v>49</v>
      </c>
      <c r="AL164" t="s">
        <v>67</v>
      </c>
      <c r="AM164" t="s">
        <v>331</v>
      </c>
      <c r="AN164" t="s">
        <v>332</v>
      </c>
      <c r="AW164" t="s">
        <v>154</v>
      </c>
      <c r="AX164" s="54" t="s">
        <v>227</v>
      </c>
      <c r="AY164" s="54">
        <v>9</v>
      </c>
      <c r="AZ164" s="54" t="s">
        <v>155</v>
      </c>
      <c r="BA164" s="54" t="s">
        <v>387</v>
      </c>
      <c r="BB164" s="54" t="s">
        <v>157</v>
      </c>
      <c r="BC164" s="54" t="s">
        <v>158</v>
      </c>
      <c r="BD164" s="54" t="s">
        <v>159</v>
      </c>
      <c r="BE164" s="54" t="s">
        <v>157</v>
      </c>
      <c r="BF164" s="54" t="s">
        <v>227</v>
      </c>
      <c r="BG164" s="54" t="s">
        <v>154</v>
      </c>
      <c r="BH164" s="54" t="s">
        <v>388</v>
      </c>
    </row>
    <row r="165" spans="33:60" x14ac:dyDescent="0.25">
      <c r="AH165" s="49"/>
      <c r="AI165" s="49"/>
      <c r="AK165" s="32" t="s">
        <v>49</v>
      </c>
      <c r="AL165" t="s">
        <v>67</v>
      </c>
      <c r="AM165" t="s">
        <v>333</v>
      </c>
      <c r="AN165" t="s">
        <v>334</v>
      </c>
      <c r="AW165" t="s">
        <v>166</v>
      </c>
      <c r="AX165" s="54" t="s">
        <v>227</v>
      </c>
      <c r="AY165" s="54">
        <v>10</v>
      </c>
      <c r="AZ165" s="54" t="s">
        <v>167</v>
      </c>
      <c r="BA165" s="54" t="s">
        <v>389</v>
      </c>
      <c r="BB165" s="54" t="s">
        <v>169</v>
      </c>
      <c r="BC165" s="54" t="s">
        <v>170</v>
      </c>
      <c r="BD165" s="54" t="s">
        <v>171</v>
      </c>
      <c r="BE165" s="54" t="s">
        <v>169</v>
      </c>
      <c r="BF165" s="54" t="s">
        <v>227</v>
      </c>
      <c r="BG165" s="54" t="s">
        <v>166</v>
      </c>
      <c r="BH165" s="54" t="s">
        <v>390</v>
      </c>
    </row>
    <row r="166" spans="33:60" x14ac:dyDescent="0.25">
      <c r="AH166" s="49"/>
      <c r="AI166" s="49"/>
      <c r="AK166" s="32" t="s">
        <v>49</v>
      </c>
      <c r="AL166" t="s">
        <v>67</v>
      </c>
      <c r="AM166" t="s">
        <v>335</v>
      </c>
      <c r="AN166" t="s">
        <v>336</v>
      </c>
      <c r="AW166" t="s">
        <v>181</v>
      </c>
      <c r="AX166" s="54" t="s">
        <v>227</v>
      </c>
      <c r="AY166" s="54">
        <v>11</v>
      </c>
      <c r="AZ166" s="54" t="s">
        <v>182</v>
      </c>
      <c r="BA166" s="54" t="s">
        <v>391</v>
      </c>
      <c r="BB166" s="54" t="s">
        <v>184</v>
      </c>
      <c r="BC166" s="54" t="s">
        <v>185</v>
      </c>
      <c r="BD166" s="54" t="s">
        <v>186</v>
      </c>
      <c r="BE166" s="54" t="s">
        <v>184</v>
      </c>
      <c r="BF166" s="54" t="s">
        <v>227</v>
      </c>
      <c r="BG166" s="54" t="s">
        <v>181</v>
      </c>
      <c r="BH166" s="54" t="s">
        <v>392</v>
      </c>
    </row>
    <row r="167" spans="33:60" x14ac:dyDescent="0.25">
      <c r="AH167" s="49"/>
      <c r="AI167" s="49"/>
      <c r="AK167" s="32" t="s">
        <v>49</v>
      </c>
      <c r="AL167" t="s">
        <v>67</v>
      </c>
      <c r="AM167" t="s">
        <v>337</v>
      </c>
      <c r="AN167" t="s">
        <v>338</v>
      </c>
      <c r="AW167" t="s">
        <v>195</v>
      </c>
      <c r="AX167" s="54" t="s">
        <v>227</v>
      </c>
      <c r="AY167" s="54">
        <v>14</v>
      </c>
      <c r="AZ167" s="54" t="s">
        <v>196</v>
      </c>
      <c r="BA167" s="54" t="s">
        <v>393</v>
      </c>
      <c r="BB167" s="54" t="s">
        <v>198</v>
      </c>
      <c r="BC167" s="54" t="s">
        <v>199</v>
      </c>
      <c r="BD167" s="54" t="s">
        <v>200</v>
      </c>
      <c r="BE167" s="54" t="s">
        <v>198</v>
      </c>
      <c r="BF167" s="54" t="s">
        <v>227</v>
      </c>
      <c r="BG167" s="54" t="s">
        <v>195</v>
      </c>
      <c r="BH167" s="54" t="s">
        <v>394</v>
      </c>
    </row>
    <row r="168" spans="33:60" x14ac:dyDescent="0.25">
      <c r="AG168" t="s">
        <v>236</v>
      </c>
      <c r="AH168" t="s">
        <v>139</v>
      </c>
      <c r="AI168">
        <v>2429</v>
      </c>
      <c r="AK168" s="32" t="s">
        <v>49</v>
      </c>
      <c r="AL168" t="s">
        <v>67</v>
      </c>
      <c r="AM168" t="s">
        <v>340</v>
      </c>
      <c r="AN168" t="s">
        <v>341</v>
      </c>
      <c r="AW168" t="s">
        <v>208</v>
      </c>
      <c r="AX168" s="54" t="s">
        <v>227</v>
      </c>
      <c r="AY168" s="54">
        <v>18</v>
      </c>
      <c r="AZ168" s="54" t="s">
        <v>209</v>
      </c>
      <c r="BA168" s="54" t="s">
        <v>395</v>
      </c>
      <c r="BB168" s="54" t="s">
        <v>211</v>
      </c>
      <c r="BC168" s="54" t="s">
        <v>212</v>
      </c>
      <c r="BD168" s="54" t="s">
        <v>213</v>
      </c>
      <c r="BE168" s="54" t="s">
        <v>211</v>
      </c>
      <c r="BF168" s="54" t="s">
        <v>227</v>
      </c>
      <c r="BG168" s="54" t="s">
        <v>208</v>
      </c>
      <c r="BH168" s="54" t="s">
        <v>396</v>
      </c>
    </row>
    <row r="169" spans="33:60" x14ac:dyDescent="0.25">
      <c r="AH169" s="49"/>
      <c r="AI169" s="49"/>
      <c r="AK169" s="32" t="s">
        <v>49</v>
      </c>
      <c r="AL169" t="s">
        <v>67</v>
      </c>
      <c r="AM169" t="s">
        <v>342</v>
      </c>
      <c r="AN169" t="s">
        <v>343</v>
      </c>
      <c r="AW169" t="s">
        <v>52</v>
      </c>
      <c r="AX169" t="s">
        <v>231</v>
      </c>
      <c r="AY169">
        <v>3</v>
      </c>
      <c r="AZ169" t="s">
        <v>54</v>
      </c>
      <c r="BA169" t="s">
        <v>374</v>
      </c>
      <c r="BB169" t="s">
        <v>56</v>
      </c>
      <c r="BC169" t="s">
        <v>57</v>
      </c>
      <c r="BD169" t="s">
        <v>58</v>
      </c>
      <c r="BE169" t="s">
        <v>56</v>
      </c>
      <c r="BF169" t="s">
        <v>231</v>
      </c>
      <c r="BG169" t="s">
        <v>52</v>
      </c>
      <c r="BH169" t="s">
        <v>375</v>
      </c>
    </row>
    <row r="170" spans="33:60" x14ac:dyDescent="0.25">
      <c r="AH170" s="49"/>
      <c r="AI170" s="49"/>
      <c r="AK170" s="32" t="s">
        <v>49</v>
      </c>
      <c r="AL170" t="s">
        <v>67</v>
      </c>
      <c r="AM170" t="s">
        <v>344</v>
      </c>
      <c r="AN170" t="s">
        <v>345</v>
      </c>
      <c r="AW170" t="s">
        <v>80</v>
      </c>
      <c r="AX170" t="s">
        <v>231</v>
      </c>
      <c r="AY170">
        <v>4</v>
      </c>
      <c r="AZ170" t="s">
        <v>81</v>
      </c>
      <c r="BA170" t="s">
        <v>376</v>
      </c>
      <c r="BB170" t="s">
        <v>83</v>
      </c>
      <c r="BC170" t="s">
        <v>84</v>
      </c>
      <c r="BD170" t="s">
        <v>85</v>
      </c>
      <c r="BE170" t="s">
        <v>83</v>
      </c>
      <c r="BF170" t="s">
        <v>231</v>
      </c>
      <c r="BG170" t="s">
        <v>80</v>
      </c>
      <c r="BH170" t="s">
        <v>377</v>
      </c>
    </row>
    <row r="171" spans="33:60" x14ac:dyDescent="0.25">
      <c r="AG171" t="s">
        <v>236</v>
      </c>
      <c r="AH171" t="s">
        <v>177</v>
      </c>
      <c r="AI171" t="s">
        <v>178</v>
      </c>
      <c r="AK171" s="32" t="s">
        <v>49</v>
      </c>
      <c r="AL171" t="s">
        <v>67</v>
      </c>
      <c r="AM171" t="s">
        <v>346</v>
      </c>
      <c r="AN171" t="s">
        <v>347</v>
      </c>
      <c r="AW171" t="s">
        <v>102</v>
      </c>
      <c r="AX171" t="s">
        <v>231</v>
      </c>
      <c r="AY171">
        <v>5</v>
      </c>
      <c r="AZ171" t="s">
        <v>103</v>
      </c>
      <c r="BA171" t="s">
        <v>378</v>
      </c>
      <c r="BB171" t="s">
        <v>105</v>
      </c>
      <c r="BC171" t="s">
        <v>106</v>
      </c>
      <c r="BD171" t="s">
        <v>107</v>
      </c>
      <c r="BE171" t="s">
        <v>105</v>
      </c>
      <c r="BF171" t="s">
        <v>231</v>
      </c>
      <c r="BG171" t="s">
        <v>102</v>
      </c>
      <c r="BH171" t="s">
        <v>379</v>
      </c>
    </row>
    <row r="172" spans="33:60" x14ac:dyDescent="0.25">
      <c r="AG172" t="s">
        <v>236</v>
      </c>
      <c r="AH172" t="s">
        <v>191</v>
      </c>
      <c r="AI172" t="s">
        <v>192</v>
      </c>
      <c r="AK172" s="32" t="s">
        <v>49</v>
      </c>
      <c r="AL172" t="s">
        <v>67</v>
      </c>
      <c r="AM172" t="s">
        <v>348</v>
      </c>
      <c r="AN172" t="s">
        <v>349</v>
      </c>
      <c r="AW172" t="s">
        <v>114</v>
      </c>
      <c r="AX172" t="s">
        <v>231</v>
      </c>
      <c r="AY172">
        <v>6</v>
      </c>
      <c r="AZ172" t="s">
        <v>115</v>
      </c>
      <c r="BA172" t="s">
        <v>380</v>
      </c>
      <c r="BB172" t="s">
        <v>117</v>
      </c>
      <c r="BC172" t="s">
        <v>118</v>
      </c>
      <c r="BD172" t="s">
        <v>119</v>
      </c>
      <c r="BE172" t="s">
        <v>117</v>
      </c>
      <c r="BF172" t="s">
        <v>231</v>
      </c>
      <c r="BG172" t="s">
        <v>114</v>
      </c>
      <c r="BH172" t="s">
        <v>381</v>
      </c>
    </row>
    <row r="173" spans="33:60" x14ac:dyDescent="0.25">
      <c r="AG173" t="s">
        <v>241</v>
      </c>
      <c r="AH173" t="s">
        <v>39</v>
      </c>
      <c r="AI173">
        <v>2429</v>
      </c>
      <c r="AK173" s="32" t="s">
        <v>49</v>
      </c>
      <c r="AL173" t="s">
        <v>67</v>
      </c>
      <c r="AM173" t="s">
        <v>350</v>
      </c>
      <c r="AN173" t="s">
        <v>351</v>
      </c>
      <c r="AW173" t="s">
        <v>129</v>
      </c>
      <c r="AX173" t="s">
        <v>231</v>
      </c>
      <c r="AY173">
        <v>7</v>
      </c>
      <c r="AZ173" t="s">
        <v>130</v>
      </c>
      <c r="BA173" t="s">
        <v>382</v>
      </c>
      <c r="BB173" t="s">
        <v>132</v>
      </c>
      <c r="BC173" t="s">
        <v>133</v>
      </c>
      <c r="BD173" t="s">
        <v>134</v>
      </c>
      <c r="BE173" t="s">
        <v>132</v>
      </c>
      <c r="BF173" t="s">
        <v>231</v>
      </c>
      <c r="BG173" t="s">
        <v>129</v>
      </c>
      <c r="BH173" t="s">
        <v>383</v>
      </c>
    </row>
    <row r="174" spans="33:60" x14ac:dyDescent="0.25">
      <c r="AG174" t="s">
        <v>241</v>
      </c>
      <c r="AH174" s="49" t="s">
        <v>76</v>
      </c>
      <c r="AI174" s="49" t="s">
        <v>77</v>
      </c>
      <c r="AK174" s="32" t="s">
        <v>49</v>
      </c>
      <c r="AL174" t="s">
        <v>67</v>
      </c>
      <c r="AM174" t="s">
        <v>352</v>
      </c>
      <c r="AN174" t="s">
        <v>353</v>
      </c>
      <c r="AW174" t="s">
        <v>142</v>
      </c>
      <c r="AX174" t="s">
        <v>231</v>
      </c>
      <c r="AY174">
        <v>8</v>
      </c>
      <c r="AZ174" t="s">
        <v>143</v>
      </c>
      <c r="BA174" t="s">
        <v>384</v>
      </c>
      <c r="BB174" t="s">
        <v>145</v>
      </c>
      <c r="BC174" t="s">
        <v>146</v>
      </c>
      <c r="BD174" t="s">
        <v>147</v>
      </c>
      <c r="BE174" t="s">
        <v>145</v>
      </c>
      <c r="BF174" t="s">
        <v>231</v>
      </c>
      <c r="BG174" t="s">
        <v>142</v>
      </c>
      <c r="BH174" t="s">
        <v>385</v>
      </c>
    </row>
    <row r="175" spans="33:60" x14ac:dyDescent="0.25">
      <c r="AH175" s="49"/>
      <c r="AI175" s="49"/>
      <c r="AK175" s="32" t="s">
        <v>49</v>
      </c>
      <c r="AL175" t="s">
        <v>67</v>
      </c>
      <c r="AM175" t="s">
        <v>354</v>
      </c>
      <c r="AN175" t="s">
        <v>355</v>
      </c>
      <c r="AW175" t="s">
        <v>154</v>
      </c>
      <c r="AX175" t="s">
        <v>231</v>
      </c>
      <c r="AY175">
        <v>9</v>
      </c>
      <c r="AZ175" t="s">
        <v>155</v>
      </c>
      <c r="BA175" t="s">
        <v>387</v>
      </c>
      <c r="BB175" t="s">
        <v>157</v>
      </c>
      <c r="BC175" t="s">
        <v>158</v>
      </c>
      <c r="BD175" t="s">
        <v>159</v>
      </c>
      <c r="BE175" t="s">
        <v>157</v>
      </c>
      <c r="BF175" t="s">
        <v>231</v>
      </c>
      <c r="BG175" t="s">
        <v>154</v>
      </c>
      <c r="BH175" t="s">
        <v>388</v>
      </c>
    </row>
    <row r="176" spans="33:60" x14ac:dyDescent="0.25">
      <c r="AH176" s="49"/>
      <c r="AI176" s="49"/>
      <c r="AK176" s="32" t="s">
        <v>49</v>
      </c>
      <c r="AL176" t="s">
        <v>67</v>
      </c>
      <c r="AM176" t="s">
        <v>356</v>
      </c>
      <c r="AN176" t="s">
        <v>357</v>
      </c>
      <c r="AW176" t="s">
        <v>166</v>
      </c>
      <c r="AX176" t="s">
        <v>231</v>
      </c>
      <c r="AY176">
        <v>10</v>
      </c>
      <c r="AZ176" t="s">
        <v>167</v>
      </c>
      <c r="BA176" t="s">
        <v>389</v>
      </c>
      <c r="BB176" t="s">
        <v>169</v>
      </c>
      <c r="BC176" t="s">
        <v>170</v>
      </c>
      <c r="BD176" t="s">
        <v>171</v>
      </c>
      <c r="BE176" t="s">
        <v>169</v>
      </c>
      <c r="BF176" t="s">
        <v>231</v>
      </c>
      <c r="BG176" t="s">
        <v>166</v>
      </c>
      <c r="BH176" t="s">
        <v>390</v>
      </c>
    </row>
    <row r="177" spans="33:60" x14ac:dyDescent="0.25">
      <c r="AH177" s="49"/>
      <c r="AI177" s="49"/>
      <c r="AK177" s="32" t="s">
        <v>49</v>
      </c>
      <c r="AL177" t="s">
        <v>67</v>
      </c>
      <c r="AM177" t="s">
        <v>358</v>
      </c>
      <c r="AN177" t="s">
        <v>359</v>
      </c>
      <c r="AW177" t="s">
        <v>181</v>
      </c>
      <c r="AX177" t="s">
        <v>231</v>
      </c>
      <c r="AY177">
        <v>11</v>
      </c>
      <c r="AZ177" t="s">
        <v>182</v>
      </c>
      <c r="BA177" t="s">
        <v>391</v>
      </c>
      <c r="BB177" t="s">
        <v>184</v>
      </c>
      <c r="BC177" t="s">
        <v>185</v>
      </c>
      <c r="BD177" t="s">
        <v>186</v>
      </c>
      <c r="BE177" t="s">
        <v>184</v>
      </c>
      <c r="BF177" t="s">
        <v>231</v>
      </c>
      <c r="BG177" t="s">
        <v>181</v>
      </c>
      <c r="BH177" t="s">
        <v>392</v>
      </c>
    </row>
    <row r="178" spans="33:60" x14ac:dyDescent="0.25">
      <c r="AG178" t="s">
        <v>241</v>
      </c>
      <c r="AH178" t="s">
        <v>139</v>
      </c>
      <c r="AI178">
        <v>2429</v>
      </c>
      <c r="AK178" s="32" t="s">
        <v>49</v>
      </c>
      <c r="AL178" t="s">
        <v>67</v>
      </c>
      <c r="AM178" t="s">
        <v>360</v>
      </c>
      <c r="AN178" t="s">
        <v>361</v>
      </c>
      <c r="AW178" t="s">
        <v>195</v>
      </c>
      <c r="AX178" t="s">
        <v>231</v>
      </c>
      <c r="AY178">
        <v>14</v>
      </c>
      <c r="AZ178" t="s">
        <v>196</v>
      </c>
      <c r="BA178" t="s">
        <v>393</v>
      </c>
      <c r="BB178" t="s">
        <v>198</v>
      </c>
      <c r="BC178" t="s">
        <v>199</v>
      </c>
      <c r="BD178" t="s">
        <v>200</v>
      </c>
      <c r="BE178" t="s">
        <v>198</v>
      </c>
      <c r="BF178" t="s">
        <v>231</v>
      </c>
      <c r="BG178" t="s">
        <v>195</v>
      </c>
      <c r="BH178" t="s">
        <v>394</v>
      </c>
    </row>
    <row r="179" spans="33:60" x14ac:dyDescent="0.25">
      <c r="AH179" s="49"/>
      <c r="AI179" s="49"/>
      <c r="AK179" s="32" t="s">
        <v>49</v>
      </c>
      <c r="AL179" t="s">
        <v>67</v>
      </c>
      <c r="AM179" t="s">
        <v>362</v>
      </c>
      <c r="AN179" t="s">
        <v>363</v>
      </c>
      <c r="AW179" t="s">
        <v>208</v>
      </c>
      <c r="AX179" t="s">
        <v>231</v>
      </c>
      <c r="AY179">
        <v>18</v>
      </c>
      <c r="AZ179" t="s">
        <v>209</v>
      </c>
      <c r="BA179" t="s">
        <v>395</v>
      </c>
      <c r="BB179" t="s">
        <v>211</v>
      </c>
      <c r="BC179" t="s">
        <v>212</v>
      </c>
      <c r="BD179" t="s">
        <v>213</v>
      </c>
      <c r="BE179" t="s">
        <v>211</v>
      </c>
      <c r="BF179" t="s">
        <v>231</v>
      </c>
      <c r="BG179" t="s">
        <v>208</v>
      </c>
      <c r="BH179" t="s">
        <v>396</v>
      </c>
    </row>
    <row r="180" spans="33:60" x14ac:dyDescent="0.25">
      <c r="AH180" s="49"/>
      <c r="AI180" s="49"/>
      <c r="AK180" s="32" t="s">
        <v>49</v>
      </c>
      <c r="AL180" t="s">
        <v>67</v>
      </c>
      <c r="AM180" t="s">
        <v>364</v>
      </c>
      <c r="AN180" t="s">
        <v>365</v>
      </c>
      <c r="AW180" t="s">
        <v>52</v>
      </c>
      <c r="AX180" t="s">
        <v>236</v>
      </c>
      <c r="AY180">
        <v>3</v>
      </c>
      <c r="AZ180" t="s">
        <v>54</v>
      </c>
      <c r="BA180" t="s">
        <v>374</v>
      </c>
      <c r="BB180" t="s">
        <v>56</v>
      </c>
      <c r="BC180" t="s">
        <v>57</v>
      </c>
      <c r="BD180" t="s">
        <v>58</v>
      </c>
      <c r="BE180" t="s">
        <v>56</v>
      </c>
      <c r="BF180" t="s">
        <v>236</v>
      </c>
      <c r="BG180" t="s">
        <v>52</v>
      </c>
      <c r="BH180" t="s">
        <v>375</v>
      </c>
    </row>
    <row r="181" spans="33:60" x14ac:dyDescent="0.25">
      <c r="AG181" t="s">
        <v>241</v>
      </c>
      <c r="AH181" t="s">
        <v>177</v>
      </c>
      <c r="AI181" t="s">
        <v>178</v>
      </c>
      <c r="AK181" s="32" t="s">
        <v>49</v>
      </c>
      <c r="AL181" t="s">
        <v>67</v>
      </c>
      <c r="AM181" t="s">
        <v>366</v>
      </c>
      <c r="AN181" t="s">
        <v>367</v>
      </c>
      <c r="AW181" t="s">
        <v>80</v>
      </c>
      <c r="AX181" t="s">
        <v>236</v>
      </c>
      <c r="AY181">
        <v>4</v>
      </c>
      <c r="AZ181" t="s">
        <v>81</v>
      </c>
      <c r="BA181" t="s">
        <v>376</v>
      </c>
      <c r="BB181" t="s">
        <v>83</v>
      </c>
      <c r="BC181" t="s">
        <v>84</v>
      </c>
      <c r="BD181" t="s">
        <v>85</v>
      </c>
      <c r="BE181" t="s">
        <v>83</v>
      </c>
      <c r="BF181" t="s">
        <v>236</v>
      </c>
      <c r="BG181" t="s">
        <v>80</v>
      </c>
      <c r="BH181" t="s">
        <v>377</v>
      </c>
    </row>
    <row r="182" spans="33:60" x14ac:dyDescent="0.25">
      <c r="AG182" t="s">
        <v>241</v>
      </c>
      <c r="AH182" t="s">
        <v>191</v>
      </c>
      <c r="AI182" t="s">
        <v>192</v>
      </c>
      <c r="AK182" s="32" t="s">
        <v>49</v>
      </c>
      <c r="AL182" t="s">
        <v>67</v>
      </c>
      <c r="AM182" t="s">
        <v>368</v>
      </c>
      <c r="AN182" t="s">
        <v>369</v>
      </c>
      <c r="AW182" t="s">
        <v>102</v>
      </c>
      <c r="AX182" t="s">
        <v>236</v>
      </c>
      <c r="AY182">
        <v>5</v>
      </c>
      <c r="AZ182" t="s">
        <v>103</v>
      </c>
      <c r="BA182" t="s">
        <v>378</v>
      </c>
      <c r="BB182" t="s">
        <v>105</v>
      </c>
      <c r="BC182" t="s">
        <v>106</v>
      </c>
      <c r="BD182" t="s">
        <v>107</v>
      </c>
      <c r="BE182" t="s">
        <v>105</v>
      </c>
      <c r="BF182" t="s">
        <v>236</v>
      </c>
      <c r="BG182" t="s">
        <v>102</v>
      </c>
      <c r="BH182" t="s">
        <v>379</v>
      </c>
    </row>
    <row r="183" spans="33:60" x14ac:dyDescent="0.25">
      <c r="AG183" t="s">
        <v>246</v>
      </c>
      <c r="AH183" t="s">
        <v>39</v>
      </c>
      <c r="AI183">
        <v>2429</v>
      </c>
      <c r="AK183" s="32" t="s">
        <v>49</v>
      </c>
      <c r="AL183" t="s">
        <v>67</v>
      </c>
      <c r="AM183" t="s">
        <v>370</v>
      </c>
      <c r="AN183" t="s">
        <v>371</v>
      </c>
      <c r="AW183" t="s">
        <v>114</v>
      </c>
      <c r="AX183" t="s">
        <v>236</v>
      </c>
      <c r="AY183">
        <v>6</v>
      </c>
      <c r="AZ183" t="s">
        <v>115</v>
      </c>
      <c r="BA183" t="s">
        <v>380</v>
      </c>
      <c r="BB183" t="s">
        <v>117</v>
      </c>
      <c r="BC183" t="s">
        <v>118</v>
      </c>
      <c r="BD183" t="s">
        <v>119</v>
      </c>
      <c r="BE183" t="s">
        <v>117</v>
      </c>
      <c r="BF183" t="s">
        <v>236</v>
      </c>
      <c r="BG183" t="s">
        <v>114</v>
      </c>
      <c r="BH183" t="s">
        <v>381</v>
      </c>
    </row>
    <row r="184" spans="33:60" x14ac:dyDescent="0.25">
      <c r="AG184" t="s">
        <v>246</v>
      </c>
      <c r="AH184" s="49" t="s">
        <v>76</v>
      </c>
      <c r="AI184" s="49" t="s">
        <v>77</v>
      </c>
      <c r="AW184" t="s">
        <v>129</v>
      </c>
      <c r="AX184" t="s">
        <v>236</v>
      </c>
      <c r="AY184">
        <v>7</v>
      </c>
      <c r="AZ184" t="s">
        <v>130</v>
      </c>
      <c r="BA184" t="s">
        <v>382</v>
      </c>
      <c r="BB184" t="s">
        <v>132</v>
      </c>
      <c r="BC184" t="s">
        <v>133</v>
      </c>
      <c r="BD184" t="s">
        <v>134</v>
      </c>
      <c r="BE184" t="s">
        <v>132</v>
      </c>
      <c r="BF184" t="s">
        <v>236</v>
      </c>
      <c r="BG184" t="s">
        <v>129</v>
      </c>
      <c r="BH184" t="s">
        <v>383</v>
      </c>
    </row>
    <row r="185" spans="33:60" x14ac:dyDescent="0.25">
      <c r="AH185" s="49"/>
      <c r="AI185" s="49"/>
      <c r="AK185" s="32" t="s">
        <v>49</v>
      </c>
      <c r="AL185" t="s">
        <v>93</v>
      </c>
      <c r="AM185" t="s">
        <v>50</v>
      </c>
      <c r="AN185" t="s">
        <v>51</v>
      </c>
      <c r="AW185" t="s">
        <v>142</v>
      </c>
      <c r="AX185" t="s">
        <v>236</v>
      </c>
      <c r="AY185">
        <v>8</v>
      </c>
      <c r="AZ185" t="s">
        <v>143</v>
      </c>
      <c r="BA185" t="s">
        <v>384</v>
      </c>
      <c r="BB185" t="s">
        <v>145</v>
      </c>
      <c r="BC185" t="s">
        <v>146</v>
      </c>
      <c r="BD185" t="s">
        <v>147</v>
      </c>
      <c r="BE185" t="s">
        <v>145</v>
      </c>
      <c r="BF185" t="s">
        <v>236</v>
      </c>
      <c r="BG185" t="s">
        <v>142</v>
      </c>
      <c r="BH185" t="s">
        <v>385</v>
      </c>
    </row>
    <row r="186" spans="33:60" x14ac:dyDescent="0.25">
      <c r="AH186" s="49"/>
      <c r="AI186" s="49"/>
      <c r="AK186" s="32" t="s">
        <v>49</v>
      </c>
      <c r="AL186" t="s">
        <v>93</v>
      </c>
      <c r="AM186" t="s">
        <v>78</v>
      </c>
      <c r="AN186" t="s">
        <v>79</v>
      </c>
      <c r="AW186" t="s">
        <v>154</v>
      </c>
      <c r="AX186" t="s">
        <v>236</v>
      </c>
      <c r="AY186">
        <v>9</v>
      </c>
      <c r="AZ186" t="s">
        <v>155</v>
      </c>
      <c r="BA186" t="s">
        <v>387</v>
      </c>
      <c r="BB186" t="s">
        <v>157</v>
      </c>
      <c r="BC186" t="s">
        <v>158</v>
      </c>
      <c r="BD186" t="s">
        <v>159</v>
      </c>
      <c r="BE186" t="s">
        <v>157</v>
      </c>
      <c r="BF186" t="s">
        <v>236</v>
      </c>
      <c r="BG186" t="s">
        <v>154</v>
      </c>
      <c r="BH186" t="s">
        <v>388</v>
      </c>
    </row>
    <row r="187" spans="33:60" x14ac:dyDescent="0.25">
      <c r="AH187" s="49"/>
      <c r="AI187" s="49"/>
      <c r="AK187" s="32" t="s">
        <v>49</v>
      </c>
      <c r="AL187" t="s">
        <v>93</v>
      </c>
      <c r="AM187" t="s">
        <v>100</v>
      </c>
      <c r="AN187" t="s">
        <v>101</v>
      </c>
      <c r="AW187" t="s">
        <v>166</v>
      </c>
      <c r="AX187" t="s">
        <v>236</v>
      </c>
      <c r="AY187">
        <v>10</v>
      </c>
      <c r="AZ187" t="s">
        <v>167</v>
      </c>
      <c r="BA187" t="s">
        <v>389</v>
      </c>
      <c r="BB187" t="s">
        <v>169</v>
      </c>
      <c r="BC187" t="s">
        <v>170</v>
      </c>
      <c r="BD187" t="s">
        <v>171</v>
      </c>
      <c r="BE187" t="s">
        <v>169</v>
      </c>
      <c r="BF187" t="s">
        <v>236</v>
      </c>
      <c r="BG187" t="s">
        <v>166</v>
      </c>
      <c r="BH187" t="s">
        <v>390</v>
      </c>
    </row>
    <row r="188" spans="33:60" x14ac:dyDescent="0.25">
      <c r="AG188" t="s">
        <v>246</v>
      </c>
      <c r="AH188" t="s">
        <v>139</v>
      </c>
      <c r="AI188">
        <v>2429</v>
      </c>
      <c r="AK188" s="32" t="s">
        <v>49</v>
      </c>
      <c r="AL188" t="s">
        <v>93</v>
      </c>
      <c r="AM188" t="s">
        <v>112</v>
      </c>
      <c r="AN188" t="s">
        <v>113</v>
      </c>
      <c r="AW188" t="s">
        <v>181</v>
      </c>
      <c r="AX188" t="s">
        <v>236</v>
      </c>
      <c r="AY188">
        <v>11</v>
      </c>
      <c r="AZ188" t="s">
        <v>182</v>
      </c>
      <c r="BA188" t="s">
        <v>391</v>
      </c>
      <c r="BB188" t="s">
        <v>184</v>
      </c>
      <c r="BC188" t="s">
        <v>185</v>
      </c>
      <c r="BD188" t="s">
        <v>186</v>
      </c>
      <c r="BE188" t="s">
        <v>184</v>
      </c>
      <c r="BF188" t="s">
        <v>236</v>
      </c>
      <c r="BG188" t="s">
        <v>181</v>
      </c>
      <c r="BH188" t="s">
        <v>392</v>
      </c>
    </row>
    <row r="189" spans="33:60" x14ac:dyDescent="0.25">
      <c r="AH189" s="49"/>
      <c r="AI189" s="49"/>
      <c r="AK189" s="32" t="s">
        <v>49</v>
      </c>
      <c r="AL189" t="s">
        <v>93</v>
      </c>
      <c r="AM189" t="s">
        <v>127</v>
      </c>
      <c r="AN189" t="s">
        <v>128</v>
      </c>
      <c r="AW189" t="s">
        <v>195</v>
      </c>
      <c r="AX189" t="s">
        <v>236</v>
      </c>
      <c r="AY189">
        <v>14</v>
      </c>
      <c r="AZ189" t="s">
        <v>196</v>
      </c>
      <c r="BA189" t="s">
        <v>393</v>
      </c>
      <c r="BB189" t="s">
        <v>198</v>
      </c>
      <c r="BC189" t="s">
        <v>199</v>
      </c>
      <c r="BD189" t="s">
        <v>200</v>
      </c>
      <c r="BE189" t="s">
        <v>198</v>
      </c>
      <c r="BF189" t="s">
        <v>236</v>
      </c>
      <c r="BG189" t="s">
        <v>195</v>
      </c>
      <c r="BH189" t="s">
        <v>394</v>
      </c>
    </row>
    <row r="190" spans="33:60" x14ac:dyDescent="0.25">
      <c r="AH190" s="49"/>
      <c r="AI190" s="49"/>
      <c r="AK190" s="32" t="s">
        <v>49</v>
      </c>
      <c r="AL190" t="s">
        <v>93</v>
      </c>
      <c r="AM190" t="s">
        <v>140</v>
      </c>
      <c r="AN190" t="s">
        <v>141</v>
      </c>
      <c r="AW190" t="s">
        <v>208</v>
      </c>
      <c r="AX190" t="s">
        <v>236</v>
      </c>
      <c r="AY190">
        <v>18</v>
      </c>
      <c r="AZ190" t="s">
        <v>209</v>
      </c>
      <c r="BA190" t="s">
        <v>395</v>
      </c>
      <c r="BB190" t="s">
        <v>211</v>
      </c>
      <c r="BC190" t="s">
        <v>212</v>
      </c>
      <c r="BD190" t="s">
        <v>213</v>
      </c>
      <c r="BE190" t="s">
        <v>211</v>
      </c>
      <c r="BF190" t="s">
        <v>236</v>
      </c>
      <c r="BG190" t="s">
        <v>208</v>
      </c>
      <c r="BH190" t="s">
        <v>396</v>
      </c>
    </row>
    <row r="191" spans="33:60" x14ac:dyDescent="0.25">
      <c r="AG191" t="s">
        <v>246</v>
      </c>
      <c r="AH191" t="s">
        <v>177</v>
      </c>
      <c r="AI191" t="s">
        <v>178</v>
      </c>
      <c r="AK191" s="32" t="s">
        <v>49</v>
      </c>
      <c r="AL191" t="s">
        <v>93</v>
      </c>
      <c r="AM191" t="s">
        <v>152</v>
      </c>
      <c r="AN191" t="s">
        <v>153</v>
      </c>
      <c r="AW191" t="s">
        <v>52</v>
      </c>
      <c r="AX191" s="54" t="s">
        <v>241</v>
      </c>
      <c r="AY191">
        <v>3</v>
      </c>
      <c r="AZ191" t="s">
        <v>54</v>
      </c>
      <c r="BA191" t="s">
        <v>374</v>
      </c>
      <c r="BB191" t="s">
        <v>56</v>
      </c>
      <c r="BC191" t="s">
        <v>57</v>
      </c>
      <c r="BD191" t="s">
        <v>58</v>
      </c>
      <c r="BE191" t="s">
        <v>56</v>
      </c>
      <c r="BF191" s="54" t="s">
        <v>241</v>
      </c>
      <c r="BG191" t="s">
        <v>52</v>
      </c>
      <c r="BH191" t="s">
        <v>375</v>
      </c>
    </row>
    <row r="192" spans="33:60" x14ac:dyDescent="0.25">
      <c r="AG192" t="s">
        <v>246</v>
      </c>
      <c r="AH192" t="s">
        <v>191</v>
      </c>
      <c r="AI192" t="s">
        <v>192</v>
      </c>
      <c r="AK192" s="32" t="s">
        <v>49</v>
      </c>
      <c r="AL192" t="s">
        <v>93</v>
      </c>
      <c r="AM192" t="s">
        <v>164</v>
      </c>
      <c r="AN192" t="s">
        <v>165</v>
      </c>
      <c r="AW192" t="s">
        <v>80</v>
      </c>
      <c r="AX192" s="54" t="s">
        <v>241</v>
      </c>
      <c r="AY192">
        <v>4</v>
      </c>
      <c r="AZ192" t="s">
        <v>81</v>
      </c>
      <c r="BA192" t="s">
        <v>376</v>
      </c>
      <c r="BB192" t="s">
        <v>83</v>
      </c>
      <c r="BC192" t="s">
        <v>84</v>
      </c>
      <c r="BD192" t="s">
        <v>85</v>
      </c>
      <c r="BE192" t="s">
        <v>83</v>
      </c>
      <c r="BF192" s="54" t="s">
        <v>241</v>
      </c>
      <c r="BG192" t="s">
        <v>80</v>
      </c>
      <c r="BH192" t="s">
        <v>377</v>
      </c>
    </row>
    <row r="193" spans="33:60" x14ac:dyDescent="0.25">
      <c r="AG193" t="s">
        <v>250</v>
      </c>
      <c r="AH193" t="s">
        <v>39</v>
      </c>
      <c r="AI193">
        <v>2429</v>
      </c>
      <c r="AK193" s="32" t="s">
        <v>49</v>
      </c>
      <c r="AL193" t="s">
        <v>93</v>
      </c>
      <c r="AM193" t="s">
        <v>179</v>
      </c>
      <c r="AN193" t="s">
        <v>180</v>
      </c>
      <c r="AW193" t="s">
        <v>102</v>
      </c>
      <c r="AX193" s="54" t="s">
        <v>241</v>
      </c>
      <c r="AY193">
        <v>5</v>
      </c>
      <c r="AZ193" t="s">
        <v>103</v>
      </c>
      <c r="BA193" t="s">
        <v>378</v>
      </c>
      <c r="BB193" t="s">
        <v>105</v>
      </c>
      <c r="BC193" t="s">
        <v>106</v>
      </c>
      <c r="BD193" t="s">
        <v>107</v>
      </c>
      <c r="BE193" t="s">
        <v>105</v>
      </c>
      <c r="BF193" s="54" t="s">
        <v>241</v>
      </c>
      <c r="BG193" t="s">
        <v>102</v>
      </c>
      <c r="BH193" t="s">
        <v>379</v>
      </c>
    </row>
    <row r="194" spans="33:60" x14ac:dyDescent="0.25">
      <c r="AG194" t="s">
        <v>250</v>
      </c>
      <c r="AH194" s="49" t="s">
        <v>76</v>
      </c>
      <c r="AI194" s="49" t="s">
        <v>77</v>
      </c>
      <c r="AK194" s="32" t="s">
        <v>49</v>
      </c>
      <c r="AL194" t="s">
        <v>93</v>
      </c>
      <c r="AM194" t="s">
        <v>193</v>
      </c>
      <c r="AN194" t="s">
        <v>194</v>
      </c>
      <c r="AW194" t="s">
        <v>114</v>
      </c>
      <c r="AX194" s="54" t="s">
        <v>241</v>
      </c>
      <c r="AY194">
        <v>6</v>
      </c>
      <c r="AZ194" t="s">
        <v>115</v>
      </c>
      <c r="BA194" t="s">
        <v>380</v>
      </c>
      <c r="BB194" t="s">
        <v>117</v>
      </c>
      <c r="BC194" t="s">
        <v>118</v>
      </c>
      <c r="BD194" t="s">
        <v>119</v>
      </c>
      <c r="BE194" t="s">
        <v>117</v>
      </c>
      <c r="BF194" s="54" t="s">
        <v>241</v>
      </c>
      <c r="BG194" t="s">
        <v>114</v>
      </c>
      <c r="BH194" t="s">
        <v>381</v>
      </c>
    </row>
    <row r="195" spans="33:60" x14ac:dyDescent="0.25">
      <c r="AH195" s="49"/>
      <c r="AI195" s="49"/>
      <c r="AK195" s="32" t="s">
        <v>49</v>
      </c>
      <c r="AL195" t="s">
        <v>93</v>
      </c>
      <c r="AM195" t="s">
        <v>206</v>
      </c>
      <c r="AN195" t="s">
        <v>207</v>
      </c>
      <c r="AW195" t="s">
        <v>129</v>
      </c>
      <c r="AX195" s="54" t="s">
        <v>241</v>
      </c>
      <c r="AY195">
        <v>7</v>
      </c>
      <c r="AZ195" t="s">
        <v>130</v>
      </c>
      <c r="BA195" t="s">
        <v>382</v>
      </c>
      <c r="BB195" t="s">
        <v>132</v>
      </c>
      <c r="BC195" t="s">
        <v>133</v>
      </c>
      <c r="BD195" t="s">
        <v>134</v>
      </c>
      <c r="BE195" t="s">
        <v>132</v>
      </c>
      <c r="BF195" s="54" t="s">
        <v>241</v>
      </c>
      <c r="BG195" t="s">
        <v>129</v>
      </c>
      <c r="BH195" t="s">
        <v>383</v>
      </c>
    </row>
    <row r="196" spans="33:60" x14ac:dyDescent="0.25">
      <c r="AH196" s="49"/>
      <c r="AI196" s="49"/>
      <c r="AK196" s="32" t="s">
        <v>49</v>
      </c>
      <c r="AL196" t="s">
        <v>93</v>
      </c>
      <c r="AM196" t="s">
        <v>218</v>
      </c>
      <c r="AN196" t="s">
        <v>219</v>
      </c>
      <c r="AW196" t="s">
        <v>142</v>
      </c>
      <c r="AX196" s="54" t="s">
        <v>241</v>
      </c>
      <c r="AY196">
        <v>8</v>
      </c>
      <c r="AZ196" t="s">
        <v>143</v>
      </c>
      <c r="BA196" t="s">
        <v>384</v>
      </c>
      <c r="BB196" t="s">
        <v>145</v>
      </c>
      <c r="BC196" t="s">
        <v>146</v>
      </c>
      <c r="BD196" t="s">
        <v>147</v>
      </c>
      <c r="BE196" t="s">
        <v>145</v>
      </c>
      <c r="BF196" s="54" t="s">
        <v>241</v>
      </c>
      <c r="BG196" t="s">
        <v>142</v>
      </c>
      <c r="BH196" t="s">
        <v>385</v>
      </c>
    </row>
    <row r="197" spans="33:60" x14ac:dyDescent="0.25">
      <c r="AH197" s="49"/>
      <c r="AI197" s="49"/>
      <c r="AK197" s="32" t="s">
        <v>49</v>
      </c>
      <c r="AL197" t="s">
        <v>93</v>
      </c>
      <c r="AM197" t="s">
        <v>224</v>
      </c>
      <c r="AN197" t="s">
        <v>225</v>
      </c>
      <c r="AW197" t="s">
        <v>154</v>
      </c>
      <c r="AX197" s="54" t="s">
        <v>241</v>
      </c>
      <c r="AY197">
        <v>9</v>
      </c>
      <c r="AZ197" t="s">
        <v>155</v>
      </c>
      <c r="BA197" t="s">
        <v>387</v>
      </c>
      <c r="BB197" t="s">
        <v>157</v>
      </c>
      <c r="BC197" t="s">
        <v>158</v>
      </c>
      <c r="BD197" t="s">
        <v>159</v>
      </c>
      <c r="BE197" t="s">
        <v>157</v>
      </c>
      <c r="BF197" s="54" t="s">
        <v>241</v>
      </c>
      <c r="BG197" t="s">
        <v>154</v>
      </c>
      <c r="BH197" t="s">
        <v>388</v>
      </c>
    </row>
    <row r="198" spans="33:60" x14ac:dyDescent="0.25">
      <c r="AG198" t="s">
        <v>250</v>
      </c>
      <c r="AH198" t="s">
        <v>139</v>
      </c>
      <c r="AI198">
        <v>2429</v>
      </c>
      <c r="AK198" s="32" t="s">
        <v>49</v>
      </c>
      <c r="AL198" t="s">
        <v>93</v>
      </c>
      <c r="AM198" t="s">
        <v>228</v>
      </c>
      <c r="AN198" t="s">
        <v>229</v>
      </c>
      <c r="AW198" t="s">
        <v>166</v>
      </c>
      <c r="AX198" s="54" t="s">
        <v>241</v>
      </c>
      <c r="AY198">
        <v>10</v>
      </c>
      <c r="AZ198" t="s">
        <v>167</v>
      </c>
      <c r="BA198" t="s">
        <v>389</v>
      </c>
      <c r="BB198" t="s">
        <v>169</v>
      </c>
      <c r="BC198" t="s">
        <v>170</v>
      </c>
      <c r="BD198" t="s">
        <v>171</v>
      </c>
      <c r="BE198" t="s">
        <v>169</v>
      </c>
      <c r="BF198" s="54" t="s">
        <v>241</v>
      </c>
      <c r="BG198" t="s">
        <v>166</v>
      </c>
      <c r="BH198" t="s">
        <v>390</v>
      </c>
    </row>
    <row r="199" spans="33:60" x14ac:dyDescent="0.25">
      <c r="AH199" s="49"/>
      <c r="AI199" s="49"/>
      <c r="AK199" s="32" t="s">
        <v>49</v>
      </c>
      <c r="AL199" t="s">
        <v>93</v>
      </c>
      <c r="AM199" t="s">
        <v>232</v>
      </c>
      <c r="AN199" t="s">
        <v>233</v>
      </c>
      <c r="AW199" t="s">
        <v>181</v>
      </c>
      <c r="AX199" s="54" t="s">
        <v>241</v>
      </c>
      <c r="AY199">
        <v>11</v>
      </c>
      <c r="AZ199" t="s">
        <v>182</v>
      </c>
      <c r="BA199" t="s">
        <v>391</v>
      </c>
      <c r="BB199" t="s">
        <v>184</v>
      </c>
      <c r="BC199" t="s">
        <v>185</v>
      </c>
      <c r="BD199" t="s">
        <v>186</v>
      </c>
      <c r="BE199" t="s">
        <v>184</v>
      </c>
      <c r="BF199" s="54" t="s">
        <v>241</v>
      </c>
      <c r="BG199" t="s">
        <v>181</v>
      </c>
      <c r="BH199" t="s">
        <v>392</v>
      </c>
    </row>
    <row r="200" spans="33:60" x14ac:dyDescent="0.25">
      <c r="AH200" s="49"/>
      <c r="AI200" s="49"/>
      <c r="AK200" s="32" t="s">
        <v>49</v>
      </c>
      <c r="AL200" t="s">
        <v>93</v>
      </c>
      <c r="AM200" t="s">
        <v>237</v>
      </c>
      <c r="AN200" t="s">
        <v>238</v>
      </c>
      <c r="AW200" t="s">
        <v>195</v>
      </c>
      <c r="AX200" s="54" t="s">
        <v>241</v>
      </c>
      <c r="AY200">
        <v>14</v>
      </c>
      <c r="AZ200" t="s">
        <v>196</v>
      </c>
      <c r="BA200" t="s">
        <v>393</v>
      </c>
      <c r="BB200" t="s">
        <v>198</v>
      </c>
      <c r="BC200" t="s">
        <v>199</v>
      </c>
      <c r="BD200" t="s">
        <v>200</v>
      </c>
      <c r="BE200" t="s">
        <v>198</v>
      </c>
      <c r="BF200" s="54" t="s">
        <v>241</v>
      </c>
      <c r="BG200" t="s">
        <v>195</v>
      </c>
      <c r="BH200" t="s">
        <v>394</v>
      </c>
    </row>
    <row r="201" spans="33:60" x14ac:dyDescent="0.25">
      <c r="AG201" t="s">
        <v>250</v>
      </c>
      <c r="AH201" t="s">
        <v>177</v>
      </c>
      <c r="AI201" t="s">
        <v>178</v>
      </c>
      <c r="AK201" s="32" t="s">
        <v>49</v>
      </c>
      <c r="AL201" t="s">
        <v>93</v>
      </c>
      <c r="AM201" t="s">
        <v>242</v>
      </c>
      <c r="AN201" t="s">
        <v>243</v>
      </c>
      <c r="AW201" t="s">
        <v>208</v>
      </c>
      <c r="AX201" s="54" t="s">
        <v>241</v>
      </c>
      <c r="AY201">
        <v>18</v>
      </c>
      <c r="AZ201" t="s">
        <v>209</v>
      </c>
      <c r="BA201" t="s">
        <v>395</v>
      </c>
      <c r="BB201" t="s">
        <v>211</v>
      </c>
      <c r="BC201" t="s">
        <v>212</v>
      </c>
      <c r="BD201" t="s">
        <v>213</v>
      </c>
      <c r="BE201" t="s">
        <v>211</v>
      </c>
      <c r="BF201" s="54" t="s">
        <v>241</v>
      </c>
      <c r="BG201" t="s">
        <v>208</v>
      </c>
      <c r="BH201" t="s">
        <v>396</v>
      </c>
    </row>
    <row r="202" spans="33:60" x14ac:dyDescent="0.25">
      <c r="AG202" t="s">
        <v>250</v>
      </c>
      <c r="AH202" t="s">
        <v>191</v>
      </c>
      <c r="AI202" t="s">
        <v>192</v>
      </c>
      <c r="AK202" s="32" t="s">
        <v>49</v>
      </c>
      <c r="AL202" t="s">
        <v>93</v>
      </c>
      <c r="AM202" t="s">
        <v>247</v>
      </c>
      <c r="AN202" t="s">
        <v>248</v>
      </c>
      <c r="AW202" t="s">
        <v>52</v>
      </c>
      <c r="AX202" t="s">
        <v>246</v>
      </c>
      <c r="AY202">
        <v>3</v>
      </c>
      <c r="AZ202" t="s">
        <v>54</v>
      </c>
      <c r="BA202" t="s">
        <v>374</v>
      </c>
      <c r="BB202" t="s">
        <v>56</v>
      </c>
      <c r="BC202" t="s">
        <v>57</v>
      </c>
      <c r="BD202" t="s">
        <v>58</v>
      </c>
      <c r="BE202" t="s">
        <v>56</v>
      </c>
      <c r="BF202" t="s">
        <v>246</v>
      </c>
      <c r="BG202" t="s">
        <v>52</v>
      </c>
      <c r="BH202" t="s">
        <v>375</v>
      </c>
    </row>
    <row r="203" spans="33:60" x14ac:dyDescent="0.25">
      <c r="AG203" t="s">
        <v>254</v>
      </c>
      <c r="AH203" t="s">
        <v>39</v>
      </c>
      <c r="AI203">
        <v>2429</v>
      </c>
      <c r="AK203" s="32" t="s">
        <v>49</v>
      </c>
      <c r="AL203" t="s">
        <v>93</v>
      </c>
      <c r="AM203" t="s">
        <v>251</v>
      </c>
      <c r="AN203" t="s">
        <v>252</v>
      </c>
      <c r="AW203" t="s">
        <v>80</v>
      </c>
      <c r="AX203" t="s">
        <v>246</v>
      </c>
      <c r="AY203">
        <v>4</v>
      </c>
      <c r="AZ203" t="s">
        <v>81</v>
      </c>
      <c r="BA203" t="s">
        <v>376</v>
      </c>
      <c r="BB203" t="s">
        <v>83</v>
      </c>
      <c r="BC203" t="s">
        <v>84</v>
      </c>
      <c r="BD203" t="s">
        <v>85</v>
      </c>
      <c r="BE203" t="s">
        <v>83</v>
      </c>
      <c r="BF203" t="s">
        <v>246</v>
      </c>
      <c r="BG203" t="s">
        <v>80</v>
      </c>
      <c r="BH203" t="s">
        <v>377</v>
      </c>
    </row>
    <row r="204" spans="33:60" x14ac:dyDescent="0.25">
      <c r="AG204" t="s">
        <v>254</v>
      </c>
      <c r="AH204" s="49" t="s">
        <v>76</v>
      </c>
      <c r="AI204" s="49" t="s">
        <v>77</v>
      </c>
      <c r="AK204" s="32" t="s">
        <v>49</v>
      </c>
      <c r="AL204" t="s">
        <v>93</v>
      </c>
      <c r="AM204" t="s">
        <v>255</v>
      </c>
      <c r="AN204" t="s">
        <v>256</v>
      </c>
      <c r="AW204" t="s">
        <v>102</v>
      </c>
      <c r="AX204" t="s">
        <v>246</v>
      </c>
      <c r="AY204">
        <v>5</v>
      </c>
      <c r="AZ204" t="s">
        <v>103</v>
      </c>
      <c r="BA204" t="s">
        <v>378</v>
      </c>
      <c r="BB204" t="s">
        <v>105</v>
      </c>
      <c r="BC204" t="s">
        <v>106</v>
      </c>
      <c r="BD204" t="s">
        <v>107</v>
      </c>
      <c r="BE204" t="s">
        <v>105</v>
      </c>
      <c r="BF204" t="s">
        <v>246</v>
      </c>
      <c r="BG204" t="s">
        <v>102</v>
      </c>
      <c r="BH204" t="s">
        <v>379</v>
      </c>
    </row>
    <row r="205" spans="33:60" x14ac:dyDescent="0.25">
      <c r="AH205" s="49"/>
      <c r="AI205" s="49"/>
      <c r="AK205" s="32" t="s">
        <v>49</v>
      </c>
      <c r="AL205" t="s">
        <v>93</v>
      </c>
      <c r="AM205" t="s">
        <v>259</v>
      </c>
      <c r="AN205" t="s">
        <v>260</v>
      </c>
      <c r="AW205" t="s">
        <v>114</v>
      </c>
      <c r="AX205" t="s">
        <v>246</v>
      </c>
      <c r="AY205">
        <v>6</v>
      </c>
      <c r="AZ205" t="s">
        <v>115</v>
      </c>
      <c r="BA205" t="s">
        <v>380</v>
      </c>
      <c r="BB205" t="s">
        <v>117</v>
      </c>
      <c r="BC205" t="s">
        <v>118</v>
      </c>
      <c r="BD205" t="s">
        <v>119</v>
      </c>
      <c r="BE205" t="s">
        <v>117</v>
      </c>
      <c r="BF205" t="s">
        <v>246</v>
      </c>
      <c r="BG205" t="s">
        <v>114</v>
      </c>
      <c r="BH205" t="s">
        <v>381</v>
      </c>
    </row>
    <row r="206" spans="33:60" x14ac:dyDescent="0.25">
      <c r="AH206" s="49"/>
      <c r="AI206" s="49"/>
      <c r="AK206" s="32" t="s">
        <v>49</v>
      </c>
      <c r="AL206" t="s">
        <v>93</v>
      </c>
      <c r="AM206" t="s">
        <v>263</v>
      </c>
      <c r="AN206" t="s">
        <v>264</v>
      </c>
      <c r="AW206" t="s">
        <v>129</v>
      </c>
      <c r="AX206" t="s">
        <v>246</v>
      </c>
      <c r="AY206">
        <v>7</v>
      </c>
      <c r="AZ206" t="s">
        <v>130</v>
      </c>
      <c r="BA206" t="s">
        <v>382</v>
      </c>
      <c r="BB206" t="s">
        <v>132</v>
      </c>
      <c r="BC206" t="s">
        <v>133</v>
      </c>
      <c r="BD206" t="s">
        <v>134</v>
      </c>
      <c r="BE206" t="s">
        <v>132</v>
      </c>
      <c r="BF206" t="s">
        <v>246</v>
      </c>
      <c r="BG206" t="s">
        <v>129</v>
      </c>
      <c r="BH206" t="s">
        <v>383</v>
      </c>
    </row>
    <row r="207" spans="33:60" x14ac:dyDescent="0.25">
      <c r="AH207" s="49"/>
      <c r="AI207" s="49"/>
      <c r="AK207" s="32" t="s">
        <v>49</v>
      </c>
      <c r="AL207" t="s">
        <v>93</v>
      </c>
      <c r="AM207" t="s">
        <v>267</v>
      </c>
      <c r="AN207" t="s">
        <v>268</v>
      </c>
      <c r="AW207" t="s">
        <v>142</v>
      </c>
      <c r="AX207" t="s">
        <v>246</v>
      </c>
      <c r="AY207">
        <v>8</v>
      </c>
      <c r="AZ207" t="s">
        <v>143</v>
      </c>
      <c r="BA207" t="s">
        <v>384</v>
      </c>
      <c r="BB207" t="s">
        <v>145</v>
      </c>
      <c r="BC207" t="s">
        <v>146</v>
      </c>
      <c r="BD207" t="s">
        <v>147</v>
      </c>
      <c r="BE207" t="s">
        <v>145</v>
      </c>
      <c r="BF207" t="s">
        <v>246</v>
      </c>
      <c r="BG207" t="s">
        <v>142</v>
      </c>
      <c r="BH207" t="s">
        <v>385</v>
      </c>
    </row>
    <row r="208" spans="33:60" x14ac:dyDescent="0.25">
      <c r="AG208" t="s">
        <v>254</v>
      </c>
      <c r="AH208" t="s">
        <v>139</v>
      </c>
      <c r="AI208">
        <v>2429</v>
      </c>
      <c r="AK208" s="32" t="s">
        <v>49</v>
      </c>
      <c r="AL208" t="s">
        <v>93</v>
      </c>
      <c r="AM208" t="s">
        <v>271</v>
      </c>
      <c r="AN208" t="s">
        <v>272</v>
      </c>
      <c r="AW208" t="s">
        <v>154</v>
      </c>
      <c r="AX208" t="s">
        <v>246</v>
      </c>
      <c r="AY208">
        <v>9</v>
      </c>
      <c r="AZ208" t="s">
        <v>155</v>
      </c>
      <c r="BA208" t="s">
        <v>387</v>
      </c>
      <c r="BB208" t="s">
        <v>157</v>
      </c>
      <c r="BC208" t="s">
        <v>158</v>
      </c>
      <c r="BD208" t="s">
        <v>159</v>
      </c>
      <c r="BE208" t="s">
        <v>157</v>
      </c>
      <c r="BF208" t="s">
        <v>246</v>
      </c>
      <c r="BG208" t="s">
        <v>154</v>
      </c>
      <c r="BH208" t="s">
        <v>388</v>
      </c>
    </row>
    <row r="209" spans="33:60" x14ac:dyDescent="0.25">
      <c r="AH209" s="49"/>
      <c r="AI209" s="49"/>
      <c r="AK209" s="32" t="s">
        <v>49</v>
      </c>
      <c r="AL209" t="s">
        <v>93</v>
      </c>
      <c r="AM209" t="s">
        <v>274</v>
      </c>
      <c r="AN209" t="s">
        <v>275</v>
      </c>
      <c r="AW209" t="s">
        <v>166</v>
      </c>
      <c r="AX209" t="s">
        <v>246</v>
      </c>
      <c r="AY209">
        <v>10</v>
      </c>
      <c r="AZ209" t="s">
        <v>167</v>
      </c>
      <c r="BA209" t="s">
        <v>389</v>
      </c>
      <c r="BB209" t="s">
        <v>169</v>
      </c>
      <c r="BC209" t="s">
        <v>170</v>
      </c>
      <c r="BD209" t="s">
        <v>171</v>
      </c>
      <c r="BE209" t="s">
        <v>169</v>
      </c>
      <c r="BF209" t="s">
        <v>246</v>
      </c>
      <c r="BG209" t="s">
        <v>166</v>
      </c>
      <c r="BH209" t="s">
        <v>390</v>
      </c>
    </row>
    <row r="210" spans="33:60" x14ac:dyDescent="0.25">
      <c r="AH210" s="49"/>
      <c r="AI210" s="49"/>
      <c r="AK210" s="32" t="s">
        <v>49</v>
      </c>
      <c r="AL210" t="s">
        <v>93</v>
      </c>
      <c r="AM210" t="s">
        <v>277</v>
      </c>
      <c r="AN210" t="s">
        <v>278</v>
      </c>
      <c r="AW210" t="s">
        <v>181</v>
      </c>
      <c r="AX210" t="s">
        <v>246</v>
      </c>
      <c r="AY210">
        <v>11</v>
      </c>
      <c r="AZ210" t="s">
        <v>182</v>
      </c>
      <c r="BA210" t="s">
        <v>391</v>
      </c>
      <c r="BB210" t="s">
        <v>184</v>
      </c>
      <c r="BC210" t="s">
        <v>185</v>
      </c>
      <c r="BD210" t="s">
        <v>186</v>
      </c>
      <c r="BE210" t="s">
        <v>184</v>
      </c>
      <c r="BF210" t="s">
        <v>246</v>
      </c>
      <c r="BG210" t="s">
        <v>181</v>
      </c>
      <c r="BH210" t="s">
        <v>392</v>
      </c>
    </row>
    <row r="211" spans="33:60" x14ac:dyDescent="0.25">
      <c r="AG211" t="s">
        <v>254</v>
      </c>
      <c r="AH211" t="s">
        <v>177</v>
      </c>
      <c r="AI211" t="s">
        <v>178</v>
      </c>
      <c r="AK211" s="32" t="s">
        <v>49</v>
      </c>
      <c r="AL211" t="s">
        <v>93</v>
      </c>
      <c r="AM211" t="s">
        <v>281</v>
      </c>
      <c r="AN211" t="s">
        <v>282</v>
      </c>
      <c r="AW211" t="s">
        <v>195</v>
      </c>
      <c r="AX211" t="s">
        <v>246</v>
      </c>
      <c r="AY211">
        <v>14</v>
      </c>
      <c r="AZ211" t="s">
        <v>196</v>
      </c>
      <c r="BA211" t="s">
        <v>393</v>
      </c>
      <c r="BB211" t="s">
        <v>198</v>
      </c>
      <c r="BC211" t="s">
        <v>199</v>
      </c>
      <c r="BD211" t="s">
        <v>200</v>
      </c>
      <c r="BE211" t="s">
        <v>198</v>
      </c>
      <c r="BF211" t="s">
        <v>246</v>
      </c>
      <c r="BG211" t="s">
        <v>195</v>
      </c>
      <c r="BH211" t="s">
        <v>394</v>
      </c>
    </row>
    <row r="212" spans="33:60" x14ac:dyDescent="0.25">
      <c r="AG212" t="s">
        <v>254</v>
      </c>
      <c r="AH212" t="s">
        <v>191</v>
      </c>
      <c r="AI212" t="s">
        <v>192</v>
      </c>
      <c r="AK212" s="32" t="s">
        <v>49</v>
      </c>
      <c r="AL212" t="s">
        <v>93</v>
      </c>
      <c r="AM212" t="s">
        <v>285</v>
      </c>
      <c r="AN212" t="s">
        <v>286</v>
      </c>
      <c r="AW212" t="s">
        <v>208</v>
      </c>
      <c r="AX212" t="s">
        <v>246</v>
      </c>
      <c r="AY212">
        <v>18</v>
      </c>
      <c r="AZ212" t="s">
        <v>209</v>
      </c>
      <c r="BA212" t="s">
        <v>395</v>
      </c>
      <c r="BB212" t="s">
        <v>211</v>
      </c>
      <c r="BC212" t="s">
        <v>212</v>
      </c>
      <c r="BD212" t="s">
        <v>213</v>
      </c>
      <c r="BE212" t="s">
        <v>211</v>
      </c>
      <c r="BF212" t="s">
        <v>246</v>
      </c>
      <c r="BG212" t="s">
        <v>208</v>
      </c>
      <c r="BH212" t="s">
        <v>396</v>
      </c>
    </row>
    <row r="213" spans="33:60" x14ac:dyDescent="0.25">
      <c r="AG213" t="s">
        <v>258</v>
      </c>
      <c r="AH213" t="s">
        <v>39</v>
      </c>
      <c r="AI213">
        <v>2429</v>
      </c>
      <c r="AK213" s="32" t="s">
        <v>49</v>
      </c>
      <c r="AL213" t="s">
        <v>93</v>
      </c>
      <c r="AM213" t="s">
        <v>288</v>
      </c>
      <c r="AN213" t="s">
        <v>289</v>
      </c>
      <c r="AW213" t="s">
        <v>52</v>
      </c>
      <c r="AX213" t="s">
        <v>250</v>
      </c>
      <c r="AY213">
        <v>3</v>
      </c>
      <c r="AZ213" t="s">
        <v>54</v>
      </c>
      <c r="BA213" t="s">
        <v>374</v>
      </c>
      <c r="BB213" t="s">
        <v>56</v>
      </c>
      <c r="BC213" t="s">
        <v>57</v>
      </c>
      <c r="BD213" t="s">
        <v>58</v>
      </c>
      <c r="BE213" t="s">
        <v>56</v>
      </c>
      <c r="BF213" t="s">
        <v>250</v>
      </c>
      <c r="BG213" t="s">
        <v>52</v>
      </c>
      <c r="BH213" t="s">
        <v>375</v>
      </c>
    </row>
    <row r="214" spans="33:60" x14ac:dyDescent="0.25">
      <c r="AG214" t="s">
        <v>258</v>
      </c>
      <c r="AH214" s="49" t="s">
        <v>76</v>
      </c>
      <c r="AI214" s="49" t="s">
        <v>77</v>
      </c>
      <c r="AK214" s="32" t="s">
        <v>49</v>
      </c>
      <c r="AL214" t="s">
        <v>93</v>
      </c>
      <c r="AM214" t="s">
        <v>292</v>
      </c>
      <c r="AN214" t="s">
        <v>293</v>
      </c>
      <c r="AW214" t="s">
        <v>80</v>
      </c>
      <c r="AX214" t="s">
        <v>250</v>
      </c>
      <c r="AY214">
        <v>4</v>
      </c>
      <c r="AZ214" t="s">
        <v>81</v>
      </c>
      <c r="BA214" t="s">
        <v>376</v>
      </c>
      <c r="BB214" t="s">
        <v>83</v>
      </c>
      <c r="BC214" t="s">
        <v>84</v>
      </c>
      <c r="BD214" t="s">
        <v>85</v>
      </c>
      <c r="BE214" t="s">
        <v>83</v>
      </c>
      <c r="BF214" t="s">
        <v>250</v>
      </c>
      <c r="BG214" t="s">
        <v>80</v>
      </c>
      <c r="BH214" t="s">
        <v>377</v>
      </c>
    </row>
    <row r="215" spans="33:60" x14ac:dyDescent="0.25">
      <c r="AH215" s="49"/>
      <c r="AI215" s="49"/>
      <c r="AK215" s="32" t="s">
        <v>49</v>
      </c>
      <c r="AL215" t="s">
        <v>93</v>
      </c>
      <c r="AM215" t="s">
        <v>297</v>
      </c>
      <c r="AN215" t="s">
        <v>298</v>
      </c>
      <c r="AW215" t="s">
        <v>102</v>
      </c>
      <c r="AX215" t="s">
        <v>250</v>
      </c>
      <c r="AY215">
        <v>5</v>
      </c>
      <c r="AZ215" t="s">
        <v>103</v>
      </c>
      <c r="BA215" t="s">
        <v>378</v>
      </c>
      <c r="BB215" t="s">
        <v>105</v>
      </c>
      <c r="BC215" t="s">
        <v>106</v>
      </c>
      <c r="BD215" t="s">
        <v>107</v>
      </c>
      <c r="BE215" t="s">
        <v>105</v>
      </c>
      <c r="BF215" t="s">
        <v>250</v>
      </c>
      <c r="BG215" t="s">
        <v>102</v>
      </c>
      <c r="BH215" t="s">
        <v>379</v>
      </c>
    </row>
    <row r="216" spans="33:60" x14ac:dyDescent="0.25">
      <c r="AH216" s="49"/>
      <c r="AI216" s="49"/>
      <c r="AK216" s="32" t="s">
        <v>49</v>
      </c>
      <c r="AL216" t="s">
        <v>93</v>
      </c>
      <c r="AM216" t="s">
        <v>302</v>
      </c>
      <c r="AN216" t="s">
        <v>303</v>
      </c>
      <c r="AW216" t="s">
        <v>114</v>
      </c>
      <c r="AX216" t="s">
        <v>250</v>
      </c>
      <c r="AY216">
        <v>6</v>
      </c>
      <c r="AZ216" t="s">
        <v>115</v>
      </c>
      <c r="BA216" t="s">
        <v>380</v>
      </c>
      <c r="BB216" t="s">
        <v>117</v>
      </c>
      <c r="BC216" t="s">
        <v>118</v>
      </c>
      <c r="BD216" t="s">
        <v>119</v>
      </c>
      <c r="BE216" t="s">
        <v>117</v>
      </c>
      <c r="BF216" t="s">
        <v>250</v>
      </c>
      <c r="BG216" t="s">
        <v>114</v>
      </c>
      <c r="BH216" t="s">
        <v>381</v>
      </c>
    </row>
    <row r="217" spans="33:60" x14ac:dyDescent="0.25">
      <c r="AH217" s="49"/>
      <c r="AI217" s="49"/>
      <c r="AK217" s="32" t="s">
        <v>49</v>
      </c>
      <c r="AL217" t="s">
        <v>93</v>
      </c>
      <c r="AM217" t="s">
        <v>306</v>
      </c>
      <c r="AN217" t="s">
        <v>307</v>
      </c>
      <c r="AW217" t="s">
        <v>129</v>
      </c>
      <c r="AX217" t="s">
        <v>250</v>
      </c>
      <c r="AY217">
        <v>7</v>
      </c>
      <c r="AZ217" t="s">
        <v>130</v>
      </c>
      <c r="BA217" t="s">
        <v>382</v>
      </c>
      <c r="BB217" t="s">
        <v>132</v>
      </c>
      <c r="BC217" t="s">
        <v>133</v>
      </c>
      <c r="BD217" t="s">
        <v>134</v>
      </c>
      <c r="BE217" t="s">
        <v>132</v>
      </c>
      <c r="BF217" t="s">
        <v>250</v>
      </c>
      <c r="BG217" t="s">
        <v>129</v>
      </c>
      <c r="BH217" t="s">
        <v>383</v>
      </c>
    </row>
    <row r="218" spans="33:60" x14ac:dyDescent="0.25">
      <c r="AG218" t="s">
        <v>258</v>
      </c>
      <c r="AH218" t="s">
        <v>139</v>
      </c>
      <c r="AI218">
        <v>2429</v>
      </c>
      <c r="AK218" s="32" t="s">
        <v>49</v>
      </c>
      <c r="AL218" t="s">
        <v>93</v>
      </c>
      <c r="AM218" t="s">
        <v>310</v>
      </c>
      <c r="AN218" t="s">
        <v>311</v>
      </c>
      <c r="AW218" t="s">
        <v>142</v>
      </c>
      <c r="AX218" t="s">
        <v>250</v>
      </c>
      <c r="AY218">
        <v>8</v>
      </c>
      <c r="AZ218" t="s">
        <v>143</v>
      </c>
      <c r="BA218" t="s">
        <v>384</v>
      </c>
      <c r="BB218" t="s">
        <v>145</v>
      </c>
      <c r="BC218" t="s">
        <v>146</v>
      </c>
      <c r="BD218" t="s">
        <v>147</v>
      </c>
      <c r="BE218" t="s">
        <v>145</v>
      </c>
      <c r="BF218" t="s">
        <v>250</v>
      </c>
      <c r="BG218" t="s">
        <v>142</v>
      </c>
      <c r="BH218" t="s">
        <v>385</v>
      </c>
    </row>
    <row r="219" spans="33:60" x14ac:dyDescent="0.25">
      <c r="AH219" s="49"/>
      <c r="AI219" s="49"/>
      <c r="AK219" s="32" t="s">
        <v>49</v>
      </c>
      <c r="AL219" t="s">
        <v>93</v>
      </c>
      <c r="AM219" t="s">
        <v>314</v>
      </c>
      <c r="AN219" t="s">
        <v>315</v>
      </c>
      <c r="AW219" t="s">
        <v>154</v>
      </c>
      <c r="AX219" t="s">
        <v>250</v>
      </c>
      <c r="AY219">
        <v>9</v>
      </c>
      <c r="AZ219" t="s">
        <v>155</v>
      </c>
      <c r="BA219" t="s">
        <v>387</v>
      </c>
      <c r="BB219" t="s">
        <v>157</v>
      </c>
      <c r="BC219" t="s">
        <v>158</v>
      </c>
      <c r="BD219" t="s">
        <v>159</v>
      </c>
      <c r="BE219" t="s">
        <v>157</v>
      </c>
      <c r="BF219" t="s">
        <v>250</v>
      </c>
      <c r="BG219" t="s">
        <v>154</v>
      </c>
      <c r="BH219" t="s">
        <v>388</v>
      </c>
    </row>
    <row r="220" spans="33:60" x14ac:dyDescent="0.25">
      <c r="AH220" s="49"/>
      <c r="AI220" s="49"/>
      <c r="AK220" s="32" t="s">
        <v>49</v>
      </c>
      <c r="AL220" t="s">
        <v>93</v>
      </c>
      <c r="AM220" t="s">
        <v>318</v>
      </c>
      <c r="AN220" t="s">
        <v>319</v>
      </c>
      <c r="AW220" t="s">
        <v>166</v>
      </c>
      <c r="AX220" t="s">
        <v>250</v>
      </c>
      <c r="AY220">
        <v>10</v>
      </c>
      <c r="AZ220" t="s">
        <v>167</v>
      </c>
      <c r="BA220" t="s">
        <v>389</v>
      </c>
      <c r="BB220" t="s">
        <v>169</v>
      </c>
      <c r="BC220" t="s">
        <v>170</v>
      </c>
      <c r="BD220" t="s">
        <v>171</v>
      </c>
      <c r="BE220" t="s">
        <v>169</v>
      </c>
      <c r="BF220" t="s">
        <v>250</v>
      </c>
      <c r="BG220" t="s">
        <v>166</v>
      </c>
      <c r="BH220" t="s">
        <v>390</v>
      </c>
    </row>
    <row r="221" spans="33:60" x14ac:dyDescent="0.25">
      <c r="AG221" t="s">
        <v>258</v>
      </c>
      <c r="AH221" t="s">
        <v>177</v>
      </c>
      <c r="AI221" t="s">
        <v>178</v>
      </c>
      <c r="AK221" s="32" t="s">
        <v>49</v>
      </c>
      <c r="AL221" t="s">
        <v>93</v>
      </c>
      <c r="AM221" t="s">
        <v>321</v>
      </c>
      <c r="AN221" t="s">
        <v>322</v>
      </c>
      <c r="AW221" t="s">
        <v>181</v>
      </c>
      <c r="AX221" t="s">
        <v>250</v>
      </c>
      <c r="AY221">
        <v>11</v>
      </c>
      <c r="AZ221" t="s">
        <v>182</v>
      </c>
      <c r="BA221" t="s">
        <v>391</v>
      </c>
      <c r="BB221" t="s">
        <v>184</v>
      </c>
      <c r="BC221" t="s">
        <v>185</v>
      </c>
      <c r="BD221" t="s">
        <v>186</v>
      </c>
      <c r="BE221" t="s">
        <v>184</v>
      </c>
      <c r="BF221" t="s">
        <v>250</v>
      </c>
      <c r="BG221" t="s">
        <v>181</v>
      </c>
      <c r="BH221" t="s">
        <v>392</v>
      </c>
    </row>
    <row r="222" spans="33:60" x14ac:dyDescent="0.25">
      <c r="AG222" t="s">
        <v>258</v>
      </c>
      <c r="AH222" t="s">
        <v>191</v>
      </c>
      <c r="AI222" t="s">
        <v>192</v>
      </c>
      <c r="AK222" s="32" t="s">
        <v>49</v>
      </c>
      <c r="AL222" t="s">
        <v>93</v>
      </c>
      <c r="AM222" t="s">
        <v>325</v>
      </c>
      <c r="AN222" t="s">
        <v>326</v>
      </c>
      <c r="AW222" t="s">
        <v>195</v>
      </c>
      <c r="AX222" t="s">
        <v>250</v>
      </c>
      <c r="AY222">
        <v>14</v>
      </c>
      <c r="AZ222" t="s">
        <v>196</v>
      </c>
      <c r="BA222" t="s">
        <v>393</v>
      </c>
      <c r="BB222" t="s">
        <v>198</v>
      </c>
      <c r="BC222" t="s">
        <v>199</v>
      </c>
      <c r="BD222" t="s">
        <v>200</v>
      </c>
      <c r="BE222" t="s">
        <v>198</v>
      </c>
      <c r="BF222" t="s">
        <v>250</v>
      </c>
      <c r="BG222" t="s">
        <v>195</v>
      </c>
      <c r="BH222" t="s">
        <v>394</v>
      </c>
    </row>
    <row r="223" spans="33:60" x14ac:dyDescent="0.25">
      <c r="AG223" t="s">
        <v>262</v>
      </c>
      <c r="AH223" t="s">
        <v>39</v>
      </c>
      <c r="AI223">
        <v>15</v>
      </c>
      <c r="AK223" s="32" t="s">
        <v>49</v>
      </c>
      <c r="AL223" t="s">
        <v>93</v>
      </c>
      <c r="AM223" t="s">
        <v>327</v>
      </c>
      <c r="AN223" t="s">
        <v>328</v>
      </c>
      <c r="AW223" t="s">
        <v>208</v>
      </c>
      <c r="AX223" t="s">
        <v>250</v>
      </c>
      <c r="AY223">
        <v>18</v>
      </c>
      <c r="AZ223" t="s">
        <v>209</v>
      </c>
      <c r="BA223" t="s">
        <v>395</v>
      </c>
      <c r="BB223" t="s">
        <v>211</v>
      </c>
      <c r="BC223" t="s">
        <v>212</v>
      </c>
      <c r="BD223" t="s">
        <v>213</v>
      </c>
      <c r="BE223" t="s">
        <v>211</v>
      </c>
      <c r="BF223" t="s">
        <v>250</v>
      </c>
      <c r="BG223" t="s">
        <v>208</v>
      </c>
      <c r="BH223" t="s">
        <v>396</v>
      </c>
    </row>
    <row r="224" spans="33:60" x14ac:dyDescent="0.25">
      <c r="AG224" t="s">
        <v>262</v>
      </c>
      <c r="AH224" s="49" t="s">
        <v>76</v>
      </c>
      <c r="AI224" s="49" t="s">
        <v>398</v>
      </c>
      <c r="AK224" s="32" t="s">
        <v>49</v>
      </c>
      <c r="AL224" t="s">
        <v>93</v>
      </c>
      <c r="AM224" t="s">
        <v>329</v>
      </c>
      <c r="AN224" t="s">
        <v>330</v>
      </c>
      <c r="AW224" t="s">
        <v>52</v>
      </c>
      <c r="AX224" t="s">
        <v>254</v>
      </c>
      <c r="AY224">
        <v>3</v>
      </c>
      <c r="AZ224" t="s">
        <v>54</v>
      </c>
      <c r="BA224" t="s">
        <v>374</v>
      </c>
      <c r="BB224" t="s">
        <v>56</v>
      </c>
      <c r="BC224" t="s">
        <v>57</v>
      </c>
      <c r="BD224" t="s">
        <v>58</v>
      </c>
      <c r="BE224" t="s">
        <v>56</v>
      </c>
      <c r="BF224" t="s">
        <v>254</v>
      </c>
      <c r="BG224" t="s">
        <v>52</v>
      </c>
      <c r="BH224" t="s">
        <v>375</v>
      </c>
    </row>
    <row r="225" spans="33:60" x14ac:dyDescent="0.25">
      <c r="AH225" s="49"/>
      <c r="AI225" s="49"/>
      <c r="AK225" s="32" t="s">
        <v>49</v>
      </c>
      <c r="AL225" t="s">
        <v>93</v>
      </c>
      <c r="AM225" t="s">
        <v>331</v>
      </c>
      <c r="AN225" t="s">
        <v>332</v>
      </c>
      <c r="AW225" t="s">
        <v>80</v>
      </c>
      <c r="AX225" t="s">
        <v>254</v>
      </c>
      <c r="AY225">
        <v>4</v>
      </c>
      <c r="AZ225" t="s">
        <v>81</v>
      </c>
      <c r="BA225" t="s">
        <v>376</v>
      </c>
      <c r="BB225" t="s">
        <v>83</v>
      </c>
      <c r="BC225" t="s">
        <v>84</v>
      </c>
      <c r="BD225" t="s">
        <v>85</v>
      </c>
      <c r="BE225" t="s">
        <v>83</v>
      </c>
      <c r="BF225" t="s">
        <v>254</v>
      </c>
      <c r="BG225" t="s">
        <v>80</v>
      </c>
      <c r="BH225" t="s">
        <v>377</v>
      </c>
    </row>
    <row r="226" spans="33:60" x14ac:dyDescent="0.25">
      <c r="AH226" s="49"/>
      <c r="AI226" s="49"/>
      <c r="AK226" s="32" t="s">
        <v>49</v>
      </c>
      <c r="AL226" t="s">
        <v>93</v>
      </c>
      <c r="AM226" t="s">
        <v>333</v>
      </c>
      <c r="AN226" t="s">
        <v>334</v>
      </c>
      <c r="AW226" t="s">
        <v>102</v>
      </c>
      <c r="AX226" t="s">
        <v>254</v>
      </c>
      <c r="AY226">
        <v>5</v>
      </c>
      <c r="AZ226" t="s">
        <v>103</v>
      </c>
      <c r="BA226" t="s">
        <v>378</v>
      </c>
      <c r="BB226" t="s">
        <v>105</v>
      </c>
      <c r="BC226" t="s">
        <v>106</v>
      </c>
      <c r="BD226" t="s">
        <v>107</v>
      </c>
      <c r="BE226" t="s">
        <v>105</v>
      </c>
      <c r="BF226" t="s">
        <v>254</v>
      </c>
      <c r="BG226" t="s">
        <v>102</v>
      </c>
      <c r="BH226" t="s">
        <v>379</v>
      </c>
    </row>
    <row r="227" spans="33:60" x14ac:dyDescent="0.25">
      <c r="AH227" s="49"/>
      <c r="AI227" s="49"/>
      <c r="AK227" s="32" t="s">
        <v>49</v>
      </c>
      <c r="AL227" t="s">
        <v>93</v>
      </c>
      <c r="AM227" t="s">
        <v>335</v>
      </c>
      <c r="AN227" t="s">
        <v>336</v>
      </c>
      <c r="AW227" t="s">
        <v>114</v>
      </c>
      <c r="AX227" t="s">
        <v>254</v>
      </c>
      <c r="AY227">
        <v>6</v>
      </c>
      <c r="AZ227" t="s">
        <v>115</v>
      </c>
      <c r="BA227" t="s">
        <v>380</v>
      </c>
      <c r="BB227" t="s">
        <v>117</v>
      </c>
      <c r="BC227" t="s">
        <v>118</v>
      </c>
      <c r="BD227" t="s">
        <v>119</v>
      </c>
      <c r="BE227" t="s">
        <v>117</v>
      </c>
      <c r="BF227" t="s">
        <v>254</v>
      </c>
      <c r="BG227" t="s">
        <v>114</v>
      </c>
      <c r="BH227" t="s">
        <v>381</v>
      </c>
    </row>
    <row r="228" spans="33:60" x14ac:dyDescent="0.25">
      <c r="AH228" s="49"/>
      <c r="AI228" s="49"/>
      <c r="AK228" s="32" t="s">
        <v>49</v>
      </c>
      <c r="AL228" t="s">
        <v>93</v>
      </c>
      <c r="AM228" t="s">
        <v>337</v>
      </c>
      <c r="AN228" t="s">
        <v>338</v>
      </c>
      <c r="AW228" t="s">
        <v>129</v>
      </c>
      <c r="AX228" t="s">
        <v>254</v>
      </c>
      <c r="AY228">
        <v>7</v>
      </c>
      <c r="AZ228" t="s">
        <v>130</v>
      </c>
      <c r="BA228" t="s">
        <v>382</v>
      </c>
      <c r="BB228" t="s">
        <v>132</v>
      </c>
      <c r="BC228" t="s">
        <v>133</v>
      </c>
      <c r="BD228" t="s">
        <v>134</v>
      </c>
      <c r="BE228" t="s">
        <v>132</v>
      </c>
      <c r="BF228" t="s">
        <v>254</v>
      </c>
      <c r="BG228" t="s">
        <v>129</v>
      </c>
      <c r="BH228" t="s">
        <v>383</v>
      </c>
    </row>
    <row r="229" spans="33:60" x14ac:dyDescent="0.25">
      <c r="AG229" t="s">
        <v>262</v>
      </c>
      <c r="AH229" t="s">
        <v>139</v>
      </c>
      <c r="AI229">
        <v>15</v>
      </c>
      <c r="AK229" s="32" t="s">
        <v>49</v>
      </c>
      <c r="AL229" t="s">
        <v>93</v>
      </c>
      <c r="AM229" t="s">
        <v>340</v>
      </c>
      <c r="AN229" t="s">
        <v>341</v>
      </c>
      <c r="AW229" t="s">
        <v>142</v>
      </c>
      <c r="AX229" t="s">
        <v>254</v>
      </c>
      <c r="AY229">
        <v>8</v>
      </c>
      <c r="AZ229" t="s">
        <v>143</v>
      </c>
      <c r="BA229" t="s">
        <v>384</v>
      </c>
      <c r="BB229" t="s">
        <v>145</v>
      </c>
      <c r="BC229" t="s">
        <v>146</v>
      </c>
      <c r="BD229" t="s">
        <v>147</v>
      </c>
      <c r="BE229" t="s">
        <v>145</v>
      </c>
      <c r="BF229" t="s">
        <v>254</v>
      </c>
      <c r="BG229" t="s">
        <v>142</v>
      </c>
      <c r="BH229" t="s">
        <v>385</v>
      </c>
    </row>
    <row r="230" spans="33:60" x14ac:dyDescent="0.25">
      <c r="AK230" s="32" t="s">
        <v>49</v>
      </c>
      <c r="AL230" t="s">
        <v>93</v>
      </c>
      <c r="AM230" t="s">
        <v>342</v>
      </c>
      <c r="AN230" t="s">
        <v>343</v>
      </c>
      <c r="AW230" t="s">
        <v>154</v>
      </c>
      <c r="AX230" t="s">
        <v>254</v>
      </c>
      <c r="AY230">
        <v>9</v>
      </c>
      <c r="AZ230" t="s">
        <v>155</v>
      </c>
      <c r="BA230" t="s">
        <v>387</v>
      </c>
      <c r="BB230" t="s">
        <v>157</v>
      </c>
      <c r="BC230" t="s">
        <v>158</v>
      </c>
      <c r="BD230" t="s">
        <v>159</v>
      </c>
      <c r="BE230" t="s">
        <v>157</v>
      </c>
      <c r="BF230" t="s">
        <v>254</v>
      </c>
      <c r="BG230" t="s">
        <v>154</v>
      </c>
      <c r="BH230" t="s">
        <v>388</v>
      </c>
    </row>
    <row r="231" spans="33:60" x14ac:dyDescent="0.25">
      <c r="AG231" t="s">
        <v>262</v>
      </c>
      <c r="AH231" t="s">
        <v>177</v>
      </c>
      <c r="AI231">
        <v>13</v>
      </c>
      <c r="AK231" s="32" t="s">
        <v>49</v>
      </c>
      <c r="AL231" t="s">
        <v>93</v>
      </c>
      <c r="AM231" t="s">
        <v>344</v>
      </c>
      <c r="AN231" t="s">
        <v>345</v>
      </c>
      <c r="AW231" t="s">
        <v>166</v>
      </c>
      <c r="AX231" t="s">
        <v>254</v>
      </c>
      <c r="AY231">
        <v>10</v>
      </c>
      <c r="AZ231" t="s">
        <v>167</v>
      </c>
      <c r="BA231" t="s">
        <v>389</v>
      </c>
      <c r="BB231" t="s">
        <v>169</v>
      </c>
      <c r="BC231" t="s">
        <v>170</v>
      </c>
      <c r="BD231" t="s">
        <v>171</v>
      </c>
      <c r="BE231" t="s">
        <v>169</v>
      </c>
      <c r="BF231" t="s">
        <v>254</v>
      </c>
      <c r="BG231" t="s">
        <v>166</v>
      </c>
      <c r="BH231" t="s">
        <v>390</v>
      </c>
    </row>
    <row r="232" spans="33:60" x14ac:dyDescent="0.25">
      <c r="AG232" t="s">
        <v>262</v>
      </c>
      <c r="AH232" t="s">
        <v>191</v>
      </c>
      <c r="AI232">
        <v>15</v>
      </c>
      <c r="AK232" s="32" t="s">
        <v>49</v>
      </c>
      <c r="AL232" t="s">
        <v>93</v>
      </c>
      <c r="AM232" t="s">
        <v>346</v>
      </c>
      <c r="AN232" t="s">
        <v>347</v>
      </c>
      <c r="AW232" t="s">
        <v>181</v>
      </c>
      <c r="AX232" t="s">
        <v>254</v>
      </c>
      <c r="AY232">
        <v>11</v>
      </c>
      <c r="AZ232" t="s">
        <v>182</v>
      </c>
      <c r="BA232" t="s">
        <v>391</v>
      </c>
      <c r="BB232" t="s">
        <v>184</v>
      </c>
      <c r="BC232" t="s">
        <v>185</v>
      </c>
      <c r="BD232" t="s">
        <v>186</v>
      </c>
      <c r="BE232" t="s">
        <v>184</v>
      </c>
      <c r="BF232" t="s">
        <v>254</v>
      </c>
      <c r="BG232" t="s">
        <v>181</v>
      </c>
      <c r="BH232" t="s">
        <v>392</v>
      </c>
    </row>
    <row r="233" spans="33:60" x14ac:dyDescent="0.25">
      <c r="AG233" t="s">
        <v>266</v>
      </c>
      <c r="AH233" t="s">
        <v>39</v>
      </c>
      <c r="AI233">
        <v>1083</v>
      </c>
      <c r="AK233" s="32" t="s">
        <v>49</v>
      </c>
      <c r="AL233" t="s">
        <v>93</v>
      </c>
      <c r="AM233" t="s">
        <v>348</v>
      </c>
      <c r="AN233" t="s">
        <v>349</v>
      </c>
      <c r="AW233" t="s">
        <v>195</v>
      </c>
      <c r="AX233" t="s">
        <v>254</v>
      </c>
      <c r="AY233">
        <v>14</v>
      </c>
      <c r="AZ233" t="s">
        <v>196</v>
      </c>
      <c r="BA233" t="s">
        <v>393</v>
      </c>
      <c r="BB233" t="s">
        <v>198</v>
      </c>
      <c r="BC233" t="s">
        <v>199</v>
      </c>
      <c r="BD233" t="s">
        <v>200</v>
      </c>
      <c r="BE233" t="s">
        <v>198</v>
      </c>
      <c r="BF233" t="s">
        <v>254</v>
      </c>
      <c r="BG233" t="s">
        <v>195</v>
      </c>
      <c r="BH233" t="s">
        <v>394</v>
      </c>
    </row>
    <row r="234" spans="33:60" x14ac:dyDescent="0.25">
      <c r="AG234" t="s">
        <v>266</v>
      </c>
      <c r="AH234" t="s">
        <v>76</v>
      </c>
      <c r="AI234">
        <v>1080</v>
      </c>
      <c r="AK234" s="32" t="s">
        <v>49</v>
      </c>
      <c r="AL234" t="s">
        <v>93</v>
      </c>
      <c r="AM234" t="s">
        <v>350</v>
      </c>
      <c r="AN234" t="s">
        <v>351</v>
      </c>
      <c r="AW234" t="s">
        <v>208</v>
      </c>
      <c r="AX234" t="s">
        <v>254</v>
      </c>
      <c r="AY234">
        <v>18</v>
      </c>
      <c r="AZ234" t="s">
        <v>209</v>
      </c>
      <c r="BA234" t="s">
        <v>395</v>
      </c>
      <c r="BB234" t="s">
        <v>211</v>
      </c>
      <c r="BC234" t="s">
        <v>212</v>
      </c>
      <c r="BD234" t="s">
        <v>213</v>
      </c>
      <c r="BE234" t="s">
        <v>211</v>
      </c>
      <c r="BF234" t="s">
        <v>254</v>
      </c>
      <c r="BG234" t="s">
        <v>208</v>
      </c>
      <c r="BH234" t="s">
        <v>396</v>
      </c>
    </row>
    <row r="235" spans="33:60" x14ac:dyDescent="0.25">
      <c r="AG235" t="s">
        <v>266</v>
      </c>
      <c r="AH235" t="s">
        <v>139</v>
      </c>
      <c r="AI235">
        <v>1080</v>
      </c>
      <c r="AK235" s="32" t="s">
        <v>49</v>
      </c>
      <c r="AL235" t="s">
        <v>93</v>
      </c>
      <c r="AM235" t="s">
        <v>352</v>
      </c>
      <c r="AN235" t="s">
        <v>353</v>
      </c>
      <c r="AW235" t="s">
        <v>52</v>
      </c>
      <c r="AX235" t="s">
        <v>258</v>
      </c>
      <c r="AY235">
        <v>3</v>
      </c>
      <c r="AZ235" t="s">
        <v>54</v>
      </c>
      <c r="BA235" t="s">
        <v>374</v>
      </c>
      <c r="BB235" t="s">
        <v>56</v>
      </c>
      <c r="BC235" t="s">
        <v>57</v>
      </c>
      <c r="BD235" t="s">
        <v>58</v>
      </c>
      <c r="BE235" t="s">
        <v>56</v>
      </c>
      <c r="BF235" t="s">
        <v>258</v>
      </c>
      <c r="BG235" t="s">
        <v>52</v>
      </c>
      <c r="BH235" t="s">
        <v>375</v>
      </c>
    </row>
    <row r="236" spans="33:60" x14ac:dyDescent="0.25">
      <c r="AK236" s="32" t="s">
        <v>49</v>
      </c>
      <c r="AL236" t="s">
        <v>93</v>
      </c>
      <c r="AM236" t="s">
        <v>354</v>
      </c>
      <c r="AN236" t="s">
        <v>355</v>
      </c>
      <c r="AW236" t="s">
        <v>80</v>
      </c>
      <c r="AX236" t="s">
        <v>258</v>
      </c>
      <c r="AY236">
        <v>4</v>
      </c>
      <c r="AZ236" t="s">
        <v>81</v>
      </c>
      <c r="BA236" t="s">
        <v>376</v>
      </c>
      <c r="BB236" t="s">
        <v>83</v>
      </c>
      <c r="BC236" t="s">
        <v>84</v>
      </c>
      <c r="BD236" t="s">
        <v>85</v>
      </c>
      <c r="BE236" t="s">
        <v>83</v>
      </c>
      <c r="BF236" t="s">
        <v>258</v>
      </c>
      <c r="BG236" t="s">
        <v>80</v>
      </c>
      <c r="BH236" t="s">
        <v>377</v>
      </c>
    </row>
    <row r="237" spans="33:60" x14ac:dyDescent="0.25">
      <c r="AG237" t="s">
        <v>266</v>
      </c>
      <c r="AH237" t="s">
        <v>177</v>
      </c>
      <c r="AI237">
        <v>1088</v>
      </c>
      <c r="AK237" s="32" t="s">
        <v>49</v>
      </c>
      <c r="AL237" t="s">
        <v>93</v>
      </c>
      <c r="AM237" t="s">
        <v>356</v>
      </c>
      <c r="AN237" t="s">
        <v>357</v>
      </c>
      <c r="AW237" t="s">
        <v>102</v>
      </c>
      <c r="AX237" t="s">
        <v>258</v>
      </c>
      <c r="AY237">
        <v>5</v>
      </c>
      <c r="AZ237" t="s">
        <v>103</v>
      </c>
      <c r="BA237" t="s">
        <v>378</v>
      </c>
      <c r="BB237" t="s">
        <v>105</v>
      </c>
      <c r="BC237" t="s">
        <v>106</v>
      </c>
      <c r="BD237" t="s">
        <v>107</v>
      </c>
      <c r="BE237" t="s">
        <v>105</v>
      </c>
      <c r="BF237" t="s">
        <v>258</v>
      </c>
      <c r="BG237" t="s">
        <v>102</v>
      </c>
      <c r="BH237" t="s">
        <v>379</v>
      </c>
    </row>
    <row r="238" spans="33:60" x14ac:dyDescent="0.25">
      <c r="AG238" t="s">
        <v>266</v>
      </c>
      <c r="AH238" t="s">
        <v>191</v>
      </c>
      <c r="AI238">
        <v>1190</v>
      </c>
      <c r="AK238" s="32" t="s">
        <v>49</v>
      </c>
      <c r="AL238" t="s">
        <v>93</v>
      </c>
      <c r="AM238" t="s">
        <v>358</v>
      </c>
      <c r="AN238" t="s">
        <v>359</v>
      </c>
      <c r="AW238" t="s">
        <v>114</v>
      </c>
      <c r="AX238" t="s">
        <v>258</v>
      </c>
      <c r="AY238">
        <v>6</v>
      </c>
      <c r="AZ238" t="s">
        <v>115</v>
      </c>
      <c r="BA238" t="s">
        <v>380</v>
      </c>
      <c r="BB238" t="s">
        <v>117</v>
      </c>
      <c r="BC238" t="s">
        <v>118</v>
      </c>
      <c r="BD238" t="s">
        <v>119</v>
      </c>
      <c r="BE238" t="s">
        <v>117</v>
      </c>
      <c r="BF238" t="s">
        <v>258</v>
      </c>
      <c r="BG238" t="s">
        <v>114</v>
      </c>
      <c r="BH238" t="s">
        <v>381</v>
      </c>
    </row>
    <row r="239" spans="33:60" x14ac:dyDescent="0.25">
      <c r="AG239" t="s">
        <v>270</v>
      </c>
      <c r="AH239" t="s">
        <v>39</v>
      </c>
      <c r="AI239">
        <v>450</v>
      </c>
      <c r="AK239" s="32" t="s">
        <v>49</v>
      </c>
      <c r="AL239" t="s">
        <v>93</v>
      </c>
      <c r="AM239" t="s">
        <v>360</v>
      </c>
      <c r="AN239" t="s">
        <v>361</v>
      </c>
      <c r="AW239" t="s">
        <v>129</v>
      </c>
      <c r="AX239" t="s">
        <v>258</v>
      </c>
      <c r="AY239">
        <v>7</v>
      </c>
      <c r="AZ239" t="s">
        <v>130</v>
      </c>
      <c r="BA239" t="s">
        <v>382</v>
      </c>
      <c r="BB239" t="s">
        <v>132</v>
      </c>
      <c r="BC239" t="s">
        <v>133</v>
      </c>
      <c r="BD239" t="s">
        <v>134</v>
      </c>
      <c r="BE239" t="s">
        <v>132</v>
      </c>
      <c r="BF239" t="s">
        <v>258</v>
      </c>
      <c r="BG239" t="s">
        <v>129</v>
      </c>
      <c r="BH239" t="s">
        <v>383</v>
      </c>
    </row>
    <row r="240" spans="33:60" x14ac:dyDescent="0.25">
      <c r="AG240" t="s">
        <v>270</v>
      </c>
      <c r="AH240" t="s">
        <v>76</v>
      </c>
      <c r="AI240">
        <v>190</v>
      </c>
      <c r="AK240" s="32" t="s">
        <v>49</v>
      </c>
      <c r="AL240" t="s">
        <v>93</v>
      </c>
      <c r="AM240" t="s">
        <v>362</v>
      </c>
      <c r="AN240" t="s">
        <v>363</v>
      </c>
      <c r="AW240" t="s">
        <v>142</v>
      </c>
      <c r="AX240" t="s">
        <v>258</v>
      </c>
      <c r="AY240">
        <v>8</v>
      </c>
      <c r="AZ240" t="s">
        <v>143</v>
      </c>
      <c r="BA240" t="s">
        <v>384</v>
      </c>
      <c r="BB240" t="s">
        <v>145</v>
      </c>
      <c r="BC240" t="s">
        <v>146</v>
      </c>
      <c r="BD240" t="s">
        <v>147</v>
      </c>
      <c r="BE240" t="s">
        <v>145</v>
      </c>
      <c r="BF240" t="s">
        <v>258</v>
      </c>
      <c r="BG240" t="s">
        <v>142</v>
      </c>
      <c r="BH240" t="s">
        <v>385</v>
      </c>
    </row>
    <row r="241" spans="33:60" x14ac:dyDescent="0.25">
      <c r="AG241" t="s">
        <v>270</v>
      </c>
      <c r="AH241" t="s">
        <v>139</v>
      </c>
      <c r="AI241">
        <v>490</v>
      </c>
      <c r="AK241" s="32" t="s">
        <v>49</v>
      </c>
      <c r="AL241" t="s">
        <v>93</v>
      </c>
      <c r="AM241" t="s">
        <v>364</v>
      </c>
      <c r="AN241" t="s">
        <v>365</v>
      </c>
      <c r="AW241" t="s">
        <v>154</v>
      </c>
      <c r="AX241" t="s">
        <v>258</v>
      </c>
      <c r="AY241">
        <v>9</v>
      </c>
      <c r="AZ241" t="s">
        <v>155</v>
      </c>
      <c r="BA241" t="s">
        <v>387</v>
      </c>
      <c r="BB241" t="s">
        <v>157</v>
      </c>
      <c r="BC241" t="s">
        <v>158</v>
      </c>
      <c r="BD241" t="s">
        <v>159</v>
      </c>
      <c r="BE241" t="s">
        <v>157</v>
      </c>
      <c r="BF241" t="s">
        <v>258</v>
      </c>
      <c r="BG241" t="s">
        <v>154</v>
      </c>
      <c r="BH241" t="s">
        <v>388</v>
      </c>
    </row>
    <row r="242" spans="33:60" x14ac:dyDescent="0.25">
      <c r="AK242" s="32" t="s">
        <v>49</v>
      </c>
      <c r="AL242" t="s">
        <v>93</v>
      </c>
      <c r="AM242" t="s">
        <v>366</v>
      </c>
      <c r="AN242" t="s">
        <v>367</v>
      </c>
      <c r="AW242" t="s">
        <v>166</v>
      </c>
      <c r="AX242" t="s">
        <v>258</v>
      </c>
      <c r="AY242">
        <v>10</v>
      </c>
      <c r="AZ242" t="s">
        <v>167</v>
      </c>
      <c r="BA242" t="s">
        <v>389</v>
      </c>
      <c r="BB242" t="s">
        <v>169</v>
      </c>
      <c r="BC242" t="s">
        <v>170</v>
      </c>
      <c r="BD242" t="s">
        <v>171</v>
      </c>
      <c r="BE242" t="s">
        <v>169</v>
      </c>
      <c r="BF242" t="s">
        <v>258</v>
      </c>
      <c r="BG242" t="s">
        <v>166</v>
      </c>
      <c r="BH242" t="s">
        <v>390</v>
      </c>
    </row>
    <row r="243" spans="33:60" x14ac:dyDescent="0.25">
      <c r="AG243" t="s">
        <v>270</v>
      </c>
      <c r="AH243" t="s">
        <v>177</v>
      </c>
      <c r="AI243">
        <v>480</v>
      </c>
      <c r="AK243" s="32" t="s">
        <v>49</v>
      </c>
      <c r="AL243" t="s">
        <v>93</v>
      </c>
      <c r="AM243" t="s">
        <v>368</v>
      </c>
      <c r="AN243" t="s">
        <v>369</v>
      </c>
      <c r="AW243" t="s">
        <v>181</v>
      </c>
      <c r="AX243" t="s">
        <v>258</v>
      </c>
      <c r="AY243">
        <v>11</v>
      </c>
      <c r="AZ243" t="s">
        <v>182</v>
      </c>
      <c r="BA243" t="s">
        <v>391</v>
      </c>
      <c r="BB243" t="s">
        <v>184</v>
      </c>
      <c r="BC243" t="s">
        <v>185</v>
      </c>
      <c r="BD243" t="s">
        <v>186</v>
      </c>
      <c r="BE243" t="s">
        <v>184</v>
      </c>
      <c r="BF243" t="s">
        <v>258</v>
      </c>
      <c r="BG243" t="s">
        <v>181</v>
      </c>
      <c r="BH243" t="s">
        <v>392</v>
      </c>
    </row>
    <row r="244" spans="33:60" x14ac:dyDescent="0.25">
      <c r="AG244" t="s">
        <v>270</v>
      </c>
      <c r="AH244" t="s">
        <v>191</v>
      </c>
      <c r="AI244">
        <v>450</v>
      </c>
      <c r="AK244" s="32" t="s">
        <v>49</v>
      </c>
      <c r="AL244" t="s">
        <v>93</v>
      </c>
      <c r="AM244" t="s">
        <v>370</v>
      </c>
      <c r="AN244" t="s">
        <v>371</v>
      </c>
      <c r="AW244" t="s">
        <v>195</v>
      </c>
      <c r="AX244" t="s">
        <v>258</v>
      </c>
      <c r="AY244">
        <v>14</v>
      </c>
      <c r="AZ244" t="s">
        <v>196</v>
      </c>
      <c r="BA244" t="s">
        <v>393</v>
      </c>
      <c r="BB244" t="s">
        <v>198</v>
      </c>
      <c r="BC244" t="s">
        <v>199</v>
      </c>
      <c r="BD244" t="s">
        <v>200</v>
      </c>
      <c r="BE244" t="s">
        <v>198</v>
      </c>
      <c r="BF244" t="s">
        <v>258</v>
      </c>
      <c r="BG244" t="s">
        <v>195</v>
      </c>
      <c r="BH244" t="s">
        <v>394</v>
      </c>
    </row>
    <row r="245" spans="33:60" x14ac:dyDescent="0.25">
      <c r="AH245" s="49"/>
      <c r="AI245" s="53"/>
      <c r="AW245" t="s">
        <v>208</v>
      </c>
      <c r="AX245" t="s">
        <v>258</v>
      </c>
      <c r="AY245">
        <v>18</v>
      </c>
      <c r="AZ245" t="s">
        <v>209</v>
      </c>
      <c r="BA245" t="s">
        <v>395</v>
      </c>
      <c r="BB245" t="s">
        <v>211</v>
      </c>
      <c r="BC245" t="s">
        <v>212</v>
      </c>
      <c r="BD245" t="s">
        <v>213</v>
      </c>
      <c r="BE245" t="s">
        <v>211</v>
      </c>
      <c r="BF245" t="s">
        <v>258</v>
      </c>
      <c r="BG245" t="s">
        <v>208</v>
      </c>
      <c r="BH245" t="s">
        <v>396</v>
      </c>
    </row>
    <row r="246" spans="33:60" x14ac:dyDescent="0.25">
      <c r="AG246" t="s">
        <v>273</v>
      </c>
      <c r="AH246" s="49" t="s">
        <v>39</v>
      </c>
      <c r="AI246" s="53" t="s">
        <v>372</v>
      </c>
      <c r="AK246" s="32" t="s">
        <v>49</v>
      </c>
      <c r="AL246" t="s">
        <v>111</v>
      </c>
      <c r="AM246" t="s">
        <v>50</v>
      </c>
      <c r="AN246" t="s">
        <v>51</v>
      </c>
      <c r="AW246" t="s">
        <v>52</v>
      </c>
      <c r="AX246" s="54" t="s">
        <v>262</v>
      </c>
      <c r="AY246">
        <v>3</v>
      </c>
      <c r="AZ246" t="s">
        <v>54</v>
      </c>
      <c r="BA246" t="s">
        <v>55</v>
      </c>
      <c r="BB246" t="s">
        <v>56</v>
      </c>
      <c r="BC246" t="s">
        <v>57</v>
      </c>
      <c r="BD246" t="s">
        <v>58</v>
      </c>
      <c r="BE246" t="s">
        <v>56</v>
      </c>
      <c r="BF246" s="54" t="s">
        <v>262</v>
      </c>
      <c r="BG246" t="s">
        <v>52</v>
      </c>
      <c r="BH246" t="s">
        <v>59</v>
      </c>
    </row>
    <row r="247" spans="33:60" x14ac:dyDescent="0.25">
      <c r="AH247" s="49"/>
      <c r="AI247" s="53"/>
      <c r="AK247" s="32" t="s">
        <v>49</v>
      </c>
      <c r="AL247" t="s">
        <v>111</v>
      </c>
      <c r="AM247" t="s">
        <v>78</v>
      </c>
      <c r="AN247" t="s">
        <v>79</v>
      </c>
      <c r="AW247" t="s">
        <v>80</v>
      </c>
      <c r="AX247" s="54" t="s">
        <v>262</v>
      </c>
      <c r="AY247">
        <v>4</v>
      </c>
      <c r="AZ247" t="s">
        <v>81</v>
      </c>
      <c r="BA247" t="s">
        <v>82</v>
      </c>
      <c r="BB247" t="s">
        <v>83</v>
      </c>
      <c r="BC247" t="s">
        <v>84</v>
      </c>
      <c r="BD247" t="s">
        <v>85</v>
      </c>
      <c r="BE247" t="s">
        <v>83</v>
      </c>
      <c r="BF247" s="54" t="s">
        <v>262</v>
      </c>
      <c r="BG247" t="s">
        <v>80</v>
      </c>
      <c r="BH247" t="s">
        <v>86</v>
      </c>
    </row>
    <row r="248" spans="33:60" x14ac:dyDescent="0.25">
      <c r="AG248" t="s">
        <v>273</v>
      </c>
      <c r="AH248" s="49" t="s">
        <v>76</v>
      </c>
      <c r="AI248" s="53" t="s">
        <v>373</v>
      </c>
      <c r="AK248" s="32" t="s">
        <v>49</v>
      </c>
      <c r="AL248" t="s">
        <v>111</v>
      </c>
      <c r="AM248" t="s">
        <v>100</v>
      </c>
      <c r="AN248" t="s">
        <v>101</v>
      </c>
      <c r="AW248" t="s">
        <v>102</v>
      </c>
      <c r="AX248" s="54" t="s">
        <v>262</v>
      </c>
      <c r="AY248">
        <v>5</v>
      </c>
      <c r="AZ248" t="s">
        <v>103</v>
      </c>
      <c r="BA248" t="s">
        <v>104</v>
      </c>
      <c r="BB248" t="s">
        <v>105</v>
      </c>
      <c r="BC248" t="s">
        <v>106</v>
      </c>
      <c r="BD248" t="s">
        <v>107</v>
      </c>
      <c r="BE248" t="s">
        <v>105</v>
      </c>
      <c r="BF248" s="54" t="s">
        <v>262</v>
      </c>
      <c r="BG248" t="s">
        <v>102</v>
      </c>
      <c r="BH248" t="s">
        <v>64</v>
      </c>
    </row>
    <row r="249" spans="33:60" x14ac:dyDescent="0.25">
      <c r="AH249" s="49"/>
      <c r="AI249" s="53"/>
      <c r="AK249" s="32" t="s">
        <v>49</v>
      </c>
      <c r="AL249" t="s">
        <v>111</v>
      </c>
      <c r="AM249" t="s">
        <v>112</v>
      </c>
      <c r="AN249" t="s">
        <v>113</v>
      </c>
      <c r="AW249" t="s">
        <v>114</v>
      </c>
      <c r="AX249" s="54" t="s">
        <v>262</v>
      </c>
      <c r="AY249">
        <v>6</v>
      </c>
      <c r="AZ249" t="s">
        <v>115</v>
      </c>
      <c r="BA249" t="s">
        <v>116</v>
      </c>
      <c r="BB249" t="s">
        <v>117</v>
      </c>
      <c r="BC249" t="s">
        <v>118</v>
      </c>
      <c r="BD249" t="s">
        <v>119</v>
      </c>
      <c r="BE249" t="s">
        <v>117</v>
      </c>
      <c r="BF249" s="54" t="s">
        <v>262</v>
      </c>
      <c r="BG249" t="s">
        <v>114</v>
      </c>
      <c r="BH249" t="s">
        <v>120</v>
      </c>
    </row>
    <row r="250" spans="33:60" x14ac:dyDescent="0.25">
      <c r="AH250" s="49"/>
      <c r="AI250" s="53"/>
      <c r="AK250" s="32" t="s">
        <v>49</v>
      </c>
      <c r="AL250" t="s">
        <v>111</v>
      </c>
      <c r="AM250" t="s">
        <v>127</v>
      </c>
      <c r="AN250" t="s">
        <v>128</v>
      </c>
      <c r="AW250" t="s">
        <v>129</v>
      </c>
      <c r="AX250" s="54" t="s">
        <v>262</v>
      </c>
      <c r="AY250">
        <v>7</v>
      </c>
      <c r="AZ250" t="s">
        <v>130</v>
      </c>
      <c r="BA250" t="s">
        <v>131</v>
      </c>
      <c r="BB250" t="s">
        <v>132</v>
      </c>
      <c r="BC250" t="s">
        <v>133</v>
      </c>
      <c r="BD250" t="s">
        <v>134</v>
      </c>
      <c r="BE250" t="s">
        <v>132</v>
      </c>
      <c r="BF250" s="54" t="s">
        <v>262</v>
      </c>
      <c r="BG250" t="s">
        <v>129</v>
      </c>
      <c r="BH250" t="s">
        <v>135</v>
      </c>
    </row>
    <row r="251" spans="33:60" x14ac:dyDescent="0.25">
      <c r="AH251" s="49"/>
      <c r="AI251" s="53"/>
      <c r="AK251" s="32" t="s">
        <v>49</v>
      </c>
      <c r="AL251" t="s">
        <v>111</v>
      </c>
      <c r="AM251" t="s">
        <v>140</v>
      </c>
      <c r="AN251" t="s">
        <v>141</v>
      </c>
      <c r="AW251" t="s">
        <v>142</v>
      </c>
      <c r="AX251" s="54" t="s">
        <v>262</v>
      </c>
      <c r="AY251">
        <v>8</v>
      </c>
      <c r="AZ251" t="s">
        <v>143</v>
      </c>
      <c r="BA251" t="s">
        <v>144</v>
      </c>
      <c r="BB251" t="s">
        <v>145</v>
      </c>
      <c r="BC251" t="s">
        <v>146</v>
      </c>
      <c r="BD251" t="s">
        <v>147</v>
      </c>
      <c r="BE251" t="s">
        <v>145</v>
      </c>
      <c r="BF251" s="54" t="s">
        <v>262</v>
      </c>
      <c r="BG251" t="s">
        <v>142</v>
      </c>
      <c r="BH251" t="s">
        <v>148</v>
      </c>
    </row>
    <row r="252" spans="33:60" x14ac:dyDescent="0.25">
      <c r="AH252" s="49"/>
      <c r="AI252" s="53"/>
      <c r="AK252" s="32" t="s">
        <v>49</v>
      </c>
      <c r="AL252" t="s">
        <v>111</v>
      </c>
      <c r="AM252" t="s">
        <v>152</v>
      </c>
      <c r="AN252" t="s">
        <v>153</v>
      </c>
      <c r="AW252" t="s">
        <v>154</v>
      </c>
      <c r="AX252" s="54" t="s">
        <v>262</v>
      </c>
      <c r="AY252">
        <v>9</v>
      </c>
      <c r="AZ252" t="s">
        <v>155</v>
      </c>
      <c r="BA252" t="s">
        <v>156</v>
      </c>
      <c r="BB252" t="s">
        <v>157</v>
      </c>
      <c r="BC252" t="s">
        <v>158</v>
      </c>
      <c r="BD252" t="s">
        <v>159</v>
      </c>
      <c r="BE252" t="s">
        <v>157</v>
      </c>
      <c r="BF252" s="54" t="s">
        <v>262</v>
      </c>
      <c r="BG252" t="s">
        <v>154</v>
      </c>
      <c r="BH252" t="s">
        <v>89</v>
      </c>
    </row>
    <row r="253" spans="33:60" x14ac:dyDescent="0.25">
      <c r="AH253" s="49"/>
      <c r="AI253" s="53"/>
      <c r="AK253" s="32" t="s">
        <v>49</v>
      </c>
      <c r="AL253" t="s">
        <v>111</v>
      </c>
      <c r="AM253" t="s">
        <v>164</v>
      </c>
      <c r="AN253" t="s">
        <v>165</v>
      </c>
      <c r="AW253" t="s">
        <v>166</v>
      </c>
      <c r="AX253" s="54" t="s">
        <v>262</v>
      </c>
      <c r="AY253">
        <v>10</v>
      </c>
      <c r="AZ253" t="s">
        <v>167</v>
      </c>
      <c r="BA253" t="s">
        <v>168</v>
      </c>
      <c r="BB253" t="s">
        <v>169</v>
      </c>
      <c r="BC253" t="s">
        <v>170</v>
      </c>
      <c r="BD253" t="s">
        <v>171</v>
      </c>
      <c r="BE253" t="s">
        <v>169</v>
      </c>
      <c r="BF253" s="54" t="s">
        <v>262</v>
      </c>
      <c r="BG253" t="s">
        <v>166</v>
      </c>
      <c r="BH253" t="s">
        <v>172</v>
      </c>
    </row>
    <row r="254" spans="33:60" x14ac:dyDescent="0.25">
      <c r="AG254" t="s">
        <v>273</v>
      </c>
      <c r="AH254" s="49" t="s">
        <v>139</v>
      </c>
      <c r="AI254" s="53" t="s">
        <v>372</v>
      </c>
      <c r="AK254" s="32" t="s">
        <v>49</v>
      </c>
      <c r="AL254" t="s">
        <v>111</v>
      </c>
      <c r="AM254" t="s">
        <v>179</v>
      </c>
      <c r="AN254" t="s">
        <v>180</v>
      </c>
      <c r="AW254" t="s">
        <v>181</v>
      </c>
      <c r="AX254" s="54" t="s">
        <v>262</v>
      </c>
      <c r="AY254">
        <v>11</v>
      </c>
      <c r="AZ254" t="s">
        <v>182</v>
      </c>
      <c r="BA254" t="s">
        <v>183</v>
      </c>
      <c r="BB254" t="s">
        <v>184</v>
      </c>
      <c r="BC254" t="s">
        <v>185</v>
      </c>
      <c r="BD254" t="s">
        <v>186</v>
      </c>
      <c r="BE254" t="s">
        <v>184</v>
      </c>
      <c r="BF254" s="54" t="s">
        <v>262</v>
      </c>
      <c r="BG254" t="s">
        <v>181</v>
      </c>
      <c r="BH254" t="s">
        <v>187</v>
      </c>
    </row>
    <row r="255" spans="33:60" x14ac:dyDescent="0.25">
      <c r="AH255" s="49"/>
      <c r="AI255" s="53"/>
      <c r="AK255" s="32" t="s">
        <v>49</v>
      </c>
      <c r="AL255" t="s">
        <v>111</v>
      </c>
      <c r="AM255" t="s">
        <v>193</v>
      </c>
      <c r="AN255" t="s">
        <v>194</v>
      </c>
      <c r="AW255" t="s">
        <v>195</v>
      </c>
      <c r="AX255" s="54" t="s">
        <v>262</v>
      </c>
      <c r="AY255">
        <v>14</v>
      </c>
      <c r="AZ255" t="s">
        <v>196</v>
      </c>
      <c r="BA255" t="s">
        <v>197</v>
      </c>
      <c r="BB255" t="s">
        <v>198</v>
      </c>
      <c r="BC255" t="s">
        <v>199</v>
      </c>
      <c r="BD255" t="s">
        <v>200</v>
      </c>
      <c r="BE255" t="s">
        <v>198</v>
      </c>
      <c r="BF255" s="54" t="s">
        <v>262</v>
      </c>
      <c r="BG255" t="s">
        <v>195</v>
      </c>
      <c r="BH255" t="s">
        <v>201</v>
      </c>
    </row>
    <row r="256" spans="33:60" x14ac:dyDescent="0.25">
      <c r="AH256" s="49"/>
      <c r="AI256" s="53"/>
      <c r="AK256" s="32" t="s">
        <v>49</v>
      </c>
      <c r="AL256" t="s">
        <v>111</v>
      </c>
      <c r="AM256" t="s">
        <v>206</v>
      </c>
      <c r="AN256" t="s">
        <v>207</v>
      </c>
      <c r="AW256" t="s">
        <v>208</v>
      </c>
      <c r="AX256" s="54" t="s">
        <v>262</v>
      </c>
      <c r="AY256">
        <v>18</v>
      </c>
      <c r="AZ256" t="s">
        <v>209</v>
      </c>
      <c r="BA256" t="s">
        <v>210</v>
      </c>
      <c r="BB256" t="s">
        <v>211</v>
      </c>
      <c r="BC256" t="s">
        <v>212</v>
      </c>
      <c r="BD256" t="s">
        <v>213</v>
      </c>
      <c r="BE256" t="s">
        <v>211</v>
      </c>
      <c r="BF256" s="54" t="s">
        <v>262</v>
      </c>
      <c r="BG256" t="s">
        <v>208</v>
      </c>
      <c r="BH256" t="s">
        <v>214</v>
      </c>
    </row>
    <row r="257" spans="33:60" x14ac:dyDescent="0.25">
      <c r="AH257" s="49"/>
      <c r="AI257" s="53"/>
      <c r="AK257" s="32" t="s">
        <v>49</v>
      </c>
      <c r="AL257" t="s">
        <v>111</v>
      </c>
      <c r="AM257" t="s">
        <v>218</v>
      </c>
      <c r="AN257" t="s">
        <v>219</v>
      </c>
      <c r="AW257" t="s">
        <v>52</v>
      </c>
      <c r="AX257" t="s">
        <v>266</v>
      </c>
      <c r="AY257" s="54">
        <v>3</v>
      </c>
      <c r="AZ257" s="54" t="s">
        <v>55</v>
      </c>
      <c r="BA257" s="54" t="s">
        <v>399</v>
      </c>
      <c r="BB257" s="56"/>
      <c r="BC257" s="54" t="s">
        <v>57</v>
      </c>
      <c r="BD257" s="54" t="s">
        <v>400</v>
      </c>
      <c r="BE257" s="56"/>
      <c r="BF257" t="s">
        <v>266</v>
      </c>
      <c r="BG257" t="s">
        <v>52</v>
      </c>
      <c r="BH257" s="18"/>
    </row>
    <row r="258" spans="33:60" x14ac:dyDescent="0.25">
      <c r="AH258" s="49"/>
      <c r="AI258" s="53"/>
      <c r="AK258" s="32" t="s">
        <v>49</v>
      </c>
      <c r="AL258" t="s">
        <v>111</v>
      </c>
      <c r="AM258" t="s">
        <v>224</v>
      </c>
      <c r="AN258" t="s">
        <v>225</v>
      </c>
      <c r="AW258" t="s">
        <v>80</v>
      </c>
      <c r="AX258" t="s">
        <v>266</v>
      </c>
      <c r="AY258" s="54">
        <v>4</v>
      </c>
      <c r="AZ258" s="54" t="s">
        <v>82</v>
      </c>
      <c r="BA258" s="54" t="s">
        <v>401</v>
      </c>
      <c r="BB258" s="56"/>
      <c r="BC258" s="54" t="s">
        <v>84</v>
      </c>
      <c r="BD258" s="54" t="s">
        <v>402</v>
      </c>
      <c r="BE258" s="56"/>
      <c r="BF258" t="s">
        <v>266</v>
      </c>
      <c r="BG258" t="s">
        <v>80</v>
      </c>
      <c r="BH258" t="s">
        <v>403</v>
      </c>
    </row>
    <row r="259" spans="33:60" x14ac:dyDescent="0.25">
      <c r="AH259" s="49"/>
      <c r="AI259" s="53"/>
      <c r="AK259" s="32" t="s">
        <v>49</v>
      </c>
      <c r="AL259" t="s">
        <v>111</v>
      </c>
      <c r="AM259" t="s">
        <v>228</v>
      </c>
      <c r="AN259" t="s">
        <v>229</v>
      </c>
      <c r="AW259" t="s">
        <v>102</v>
      </c>
      <c r="AX259" t="s">
        <v>266</v>
      </c>
      <c r="AY259" s="54">
        <v>5</v>
      </c>
      <c r="AZ259" s="54" t="s">
        <v>104</v>
      </c>
      <c r="BA259" s="54" t="s">
        <v>404</v>
      </c>
      <c r="BB259" s="56"/>
      <c r="BC259" s="54" t="s">
        <v>106</v>
      </c>
      <c r="BD259" s="54" t="s">
        <v>405</v>
      </c>
      <c r="BE259" s="56"/>
      <c r="BF259" t="s">
        <v>266</v>
      </c>
      <c r="BG259" t="s">
        <v>102</v>
      </c>
      <c r="BH259" t="s">
        <v>406</v>
      </c>
    </row>
    <row r="260" spans="33:60" x14ac:dyDescent="0.25">
      <c r="AG260" t="s">
        <v>273</v>
      </c>
      <c r="AH260" s="49" t="s">
        <v>177</v>
      </c>
      <c r="AI260" s="53" t="s">
        <v>372</v>
      </c>
      <c r="AK260" s="32" t="s">
        <v>49</v>
      </c>
      <c r="AL260" t="s">
        <v>111</v>
      </c>
      <c r="AM260" t="s">
        <v>232</v>
      </c>
      <c r="AN260" t="s">
        <v>233</v>
      </c>
      <c r="AW260" t="s">
        <v>114</v>
      </c>
      <c r="AX260" t="s">
        <v>266</v>
      </c>
      <c r="AY260" s="54">
        <v>6</v>
      </c>
      <c r="AZ260" s="54" t="s">
        <v>116</v>
      </c>
      <c r="BA260" s="54" t="s">
        <v>407</v>
      </c>
      <c r="BB260" s="56"/>
      <c r="BC260" s="54" t="s">
        <v>118</v>
      </c>
      <c r="BD260" s="54" t="s">
        <v>408</v>
      </c>
      <c r="BE260" s="56"/>
      <c r="BF260" t="s">
        <v>266</v>
      </c>
      <c r="BG260" t="s">
        <v>114</v>
      </c>
      <c r="BH260" t="s">
        <v>409</v>
      </c>
    </row>
    <row r="261" spans="33:60" x14ac:dyDescent="0.25">
      <c r="AH261" s="49"/>
      <c r="AI261" s="53"/>
      <c r="AK261" s="32" t="s">
        <v>49</v>
      </c>
      <c r="AL261" t="s">
        <v>111</v>
      </c>
      <c r="AM261" t="s">
        <v>237</v>
      </c>
      <c r="AN261" t="s">
        <v>238</v>
      </c>
      <c r="AW261" t="s">
        <v>129</v>
      </c>
      <c r="AX261" t="s">
        <v>266</v>
      </c>
      <c r="AY261" s="54">
        <v>7</v>
      </c>
      <c r="AZ261" s="54" t="s">
        <v>131</v>
      </c>
      <c r="BA261" s="54" t="s">
        <v>410</v>
      </c>
      <c r="BB261" s="56"/>
      <c r="BC261" s="54" t="s">
        <v>133</v>
      </c>
      <c r="BD261" s="54" t="s">
        <v>411</v>
      </c>
      <c r="BE261" s="56"/>
      <c r="BF261" t="s">
        <v>266</v>
      </c>
      <c r="BG261" t="s">
        <v>129</v>
      </c>
      <c r="BH261" t="s">
        <v>412</v>
      </c>
    </row>
    <row r="262" spans="33:60" x14ac:dyDescent="0.25">
      <c r="AG262" t="s">
        <v>273</v>
      </c>
      <c r="AH262" s="49" t="s">
        <v>191</v>
      </c>
      <c r="AI262" s="53" t="s">
        <v>386</v>
      </c>
      <c r="AK262" s="32" t="s">
        <v>49</v>
      </c>
      <c r="AL262" t="s">
        <v>111</v>
      </c>
      <c r="AM262" t="s">
        <v>242</v>
      </c>
      <c r="AN262" t="s">
        <v>243</v>
      </c>
      <c r="AW262" t="s">
        <v>142</v>
      </c>
      <c r="AX262" t="s">
        <v>266</v>
      </c>
      <c r="AY262" s="54">
        <v>8</v>
      </c>
      <c r="AZ262" s="54" t="s">
        <v>144</v>
      </c>
      <c r="BA262" s="54" t="s">
        <v>413</v>
      </c>
      <c r="BB262" s="56"/>
      <c r="BC262" s="54" t="s">
        <v>146</v>
      </c>
      <c r="BD262" s="54" t="s">
        <v>414</v>
      </c>
      <c r="BE262" s="56"/>
      <c r="BF262" t="s">
        <v>266</v>
      </c>
      <c r="BG262" t="s">
        <v>142</v>
      </c>
      <c r="BH262" t="s">
        <v>415</v>
      </c>
    </row>
    <row r="263" spans="33:60" x14ac:dyDescent="0.25">
      <c r="AH263" s="49"/>
      <c r="AI263" s="53"/>
      <c r="AK263" s="32" t="s">
        <v>49</v>
      </c>
      <c r="AL263" t="s">
        <v>111</v>
      </c>
      <c r="AM263" t="s">
        <v>247</v>
      </c>
      <c r="AN263" t="s">
        <v>248</v>
      </c>
      <c r="AW263" t="s">
        <v>154</v>
      </c>
      <c r="AX263" t="s">
        <v>266</v>
      </c>
      <c r="AY263" s="54">
        <v>9</v>
      </c>
      <c r="AZ263" s="54" t="s">
        <v>156</v>
      </c>
      <c r="BA263" s="54" t="s">
        <v>416</v>
      </c>
      <c r="BB263" s="56"/>
      <c r="BC263" s="54" t="s">
        <v>158</v>
      </c>
      <c r="BD263" s="54" t="s">
        <v>417</v>
      </c>
      <c r="BE263" s="56"/>
      <c r="BF263" t="s">
        <v>266</v>
      </c>
      <c r="BG263" t="s">
        <v>154</v>
      </c>
      <c r="BH263" t="s">
        <v>418</v>
      </c>
    </row>
    <row r="264" spans="33:60" x14ac:dyDescent="0.25">
      <c r="AG264" t="s">
        <v>276</v>
      </c>
      <c r="AH264" t="s">
        <v>39</v>
      </c>
      <c r="AI264">
        <v>2429</v>
      </c>
      <c r="AK264" s="32" t="s">
        <v>49</v>
      </c>
      <c r="AL264" t="s">
        <v>111</v>
      </c>
      <c r="AM264" t="s">
        <v>251</v>
      </c>
      <c r="AN264" t="s">
        <v>252</v>
      </c>
      <c r="AW264" t="s">
        <v>166</v>
      </c>
      <c r="AX264" t="s">
        <v>266</v>
      </c>
      <c r="AY264" s="54">
        <v>10</v>
      </c>
      <c r="AZ264" s="54" t="s">
        <v>168</v>
      </c>
      <c r="BA264" s="54" t="s">
        <v>419</v>
      </c>
      <c r="BB264" s="56"/>
      <c r="BC264" s="54" t="s">
        <v>170</v>
      </c>
      <c r="BD264" s="54" t="s">
        <v>420</v>
      </c>
      <c r="BE264" s="56"/>
      <c r="BF264" t="s">
        <v>266</v>
      </c>
      <c r="BG264" t="s">
        <v>166</v>
      </c>
      <c r="BH264" t="s">
        <v>421</v>
      </c>
    </row>
    <row r="265" spans="33:60" x14ac:dyDescent="0.25">
      <c r="AG265" t="s">
        <v>276</v>
      </c>
      <c r="AH265" s="49" t="s">
        <v>76</v>
      </c>
      <c r="AI265" s="49" t="s">
        <v>77</v>
      </c>
      <c r="AK265" s="32" t="s">
        <v>49</v>
      </c>
      <c r="AL265" t="s">
        <v>111</v>
      </c>
      <c r="AM265" t="s">
        <v>255</v>
      </c>
      <c r="AN265" t="s">
        <v>256</v>
      </c>
      <c r="AW265" t="s">
        <v>181</v>
      </c>
      <c r="AX265" t="s">
        <v>266</v>
      </c>
      <c r="AY265" s="54">
        <v>11</v>
      </c>
      <c r="AZ265" s="54" t="s">
        <v>183</v>
      </c>
      <c r="BA265" s="54" t="s">
        <v>422</v>
      </c>
      <c r="BB265" s="56"/>
      <c r="BC265" s="54" t="s">
        <v>185</v>
      </c>
      <c r="BD265" s="54" t="s">
        <v>423</v>
      </c>
      <c r="BE265" s="56"/>
      <c r="BF265" t="s">
        <v>266</v>
      </c>
      <c r="BG265" t="s">
        <v>181</v>
      </c>
      <c r="BH265" t="s">
        <v>424</v>
      </c>
    </row>
    <row r="266" spans="33:60" x14ac:dyDescent="0.25">
      <c r="AH266" s="49"/>
      <c r="AI266" s="49"/>
      <c r="AK266" s="32" t="s">
        <v>49</v>
      </c>
      <c r="AL266" t="s">
        <v>111</v>
      </c>
      <c r="AM266" t="s">
        <v>259</v>
      </c>
      <c r="AN266" t="s">
        <v>260</v>
      </c>
      <c r="AW266" t="s">
        <v>195</v>
      </c>
      <c r="AX266" t="s">
        <v>266</v>
      </c>
      <c r="AY266" s="54">
        <v>14</v>
      </c>
      <c r="AZ266" s="54" t="s">
        <v>197</v>
      </c>
      <c r="BA266" s="54" t="s">
        <v>425</v>
      </c>
      <c r="BB266" s="56"/>
      <c r="BC266" s="54" t="s">
        <v>199</v>
      </c>
      <c r="BD266" s="54" t="s">
        <v>426</v>
      </c>
      <c r="BE266" s="56"/>
      <c r="BF266" t="s">
        <v>266</v>
      </c>
      <c r="BG266" t="s">
        <v>195</v>
      </c>
      <c r="BH266" t="s">
        <v>427</v>
      </c>
    </row>
    <row r="267" spans="33:60" x14ac:dyDescent="0.25">
      <c r="AH267" s="49"/>
      <c r="AI267" s="49"/>
      <c r="AK267" s="32" t="s">
        <v>49</v>
      </c>
      <c r="AL267" t="s">
        <v>111</v>
      </c>
      <c r="AM267" t="s">
        <v>263</v>
      </c>
      <c r="AN267" t="s">
        <v>264</v>
      </c>
      <c r="AW267" t="s">
        <v>208</v>
      </c>
      <c r="AX267" t="s">
        <v>266</v>
      </c>
      <c r="AY267" s="54">
        <v>18</v>
      </c>
      <c r="AZ267" s="54" t="s">
        <v>210</v>
      </c>
      <c r="BA267" s="54" t="s">
        <v>428</v>
      </c>
      <c r="BB267" s="56"/>
      <c r="BC267" s="54" t="s">
        <v>212</v>
      </c>
      <c r="BD267" s="54" t="s">
        <v>429</v>
      </c>
      <c r="BE267" s="56"/>
      <c r="BF267" t="s">
        <v>266</v>
      </c>
      <c r="BG267" t="s">
        <v>208</v>
      </c>
      <c r="BH267" t="s">
        <v>430</v>
      </c>
    </row>
    <row r="268" spans="33:60" x14ac:dyDescent="0.25">
      <c r="AH268" s="49"/>
      <c r="AI268" s="49"/>
      <c r="AK268" s="32" t="s">
        <v>49</v>
      </c>
      <c r="AL268" t="s">
        <v>111</v>
      </c>
      <c r="AM268" t="s">
        <v>267</v>
      </c>
      <c r="AN268" t="s">
        <v>268</v>
      </c>
      <c r="AW268" t="s">
        <v>52</v>
      </c>
      <c r="AX268" t="s">
        <v>270</v>
      </c>
      <c r="AY268">
        <v>3</v>
      </c>
      <c r="AZ268" t="s">
        <v>54</v>
      </c>
      <c r="BA268" t="s">
        <v>55</v>
      </c>
      <c r="BB268" t="s">
        <v>56</v>
      </c>
      <c r="BC268" t="s">
        <v>57</v>
      </c>
      <c r="BD268" t="s">
        <v>58</v>
      </c>
      <c r="BE268" t="s">
        <v>56</v>
      </c>
      <c r="BF268" t="s">
        <v>270</v>
      </c>
      <c r="BG268" t="s">
        <v>52</v>
      </c>
      <c r="BH268" t="s">
        <v>59</v>
      </c>
    </row>
    <row r="269" spans="33:60" x14ac:dyDescent="0.25">
      <c r="AG269" t="s">
        <v>276</v>
      </c>
      <c r="AH269" t="s">
        <v>139</v>
      </c>
      <c r="AI269">
        <v>2429</v>
      </c>
      <c r="AK269" s="32" t="s">
        <v>49</v>
      </c>
      <c r="AL269" t="s">
        <v>111</v>
      </c>
      <c r="AM269" t="s">
        <v>271</v>
      </c>
      <c r="AN269" t="s">
        <v>272</v>
      </c>
      <c r="AW269" t="s">
        <v>80</v>
      </c>
      <c r="AX269" t="s">
        <v>270</v>
      </c>
      <c r="AY269">
        <v>4</v>
      </c>
      <c r="AZ269" t="s">
        <v>81</v>
      </c>
      <c r="BA269" t="s">
        <v>82</v>
      </c>
      <c r="BB269" t="s">
        <v>83</v>
      </c>
      <c r="BC269" t="s">
        <v>84</v>
      </c>
      <c r="BD269" t="s">
        <v>85</v>
      </c>
      <c r="BE269" t="s">
        <v>83</v>
      </c>
      <c r="BF269" t="s">
        <v>270</v>
      </c>
      <c r="BG269" t="s">
        <v>80</v>
      </c>
      <c r="BH269" t="s">
        <v>86</v>
      </c>
    </row>
    <row r="270" spans="33:60" x14ac:dyDescent="0.25">
      <c r="AH270" s="49"/>
      <c r="AI270" s="49"/>
      <c r="AK270" s="32" t="s">
        <v>49</v>
      </c>
      <c r="AL270" t="s">
        <v>111</v>
      </c>
      <c r="AM270" t="s">
        <v>274</v>
      </c>
      <c r="AN270" t="s">
        <v>275</v>
      </c>
      <c r="AW270" t="s">
        <v>102</v>
      </c>
      <c r="AX270" t="s">
        <v>270</v>
      </c>
      <c r="AY270">
        <v>5</v>
      </c>
      <c r="AZ270" t="s">
        <v>103</v>
      </c>
      <c r="BA270" t="s">
        <v>104</v>
      </c>
      <c r="BB270" t="s">
        <v>105</v>
      </c>
      <c r="BC270" t="s">
        <v>106</v>
      </c>
      <c r="BD270" t="s">
        <v>107</v>
      </c>
      <c r="BE270" t="s">
        <v>105</v>
      </c>
      <c r="BF270" t="s">
        <v>270</v>
      </c>
      <c r="BG270" t="s">
        <v>102</v>
      </c>
      <c r="BH270" t="s">
        <v>64</v>
      </c>
    </row>
    <row r="271" spans="33:60" x14ac:dyDescent="0.25">
      <c r="AH271" s="49"/>
      <c r="AI271" s="49"/>
      <c r="AK271" s="32" t="s">
        <v>49</v>
      </c>
      <c r="AL271" t="s">
        <v>111</v>
      </c>
      <c r="AM271" t="s">
        <v>277</v>
      </c>
      <c r="AN271" t="s">
        <v>278</v>
      </c>
      <c r="AW271" t="s">
        <v>114</v>
      </c>
      <c r="AX271" t="s">
        <v>270</v>
      </c>
      <c r="AY271">
        <v>6</v>
      </c>
      <c r="AZ271" t="s">
        <v>115</v>
      </c>
      <c r="BA271" t="s">
        <v>116</v>
      </c>
      <c r="BB271" t="s">
        <v>117</v>
      </c>
      <c r="BC271" t="s">
        <v>118</v>
      </c>
      <c r="BD271" t="s">
        <v>119</v>
      </c>
      <c r="BE271" t="s">
        <v>117</v>
      </c>
      <c r="BF271" t="s">
        <v>270</v>
      </c>
      <c r="BG271" t="s">
        <v>114</v>
      </c>
      <c r="BH271" t="s">
        <v>120</v>
      </c>
    </row>
    <row r="272" spans="33:60" x14ac:dyDescent="0.25">
      <c r="AG272" t="s">
        <v>276</v>
      </c>
      <c r="AH272" t="s">
        <v>177</v>
      </c>
      <c r="AI272" t="s">
        <v>178</v>
      </c>
      <c r="AK272" s="32" t="s">
        <v>49</v>
      </c>
      <c r="AL272" t="s">
        <v>111</v>
      </c>
      <c r="AM272" t="s">
        <v>281</v>
      </c>
      <c r="AN272" t="s">
        <v>282</v>
      </c>
      <c r="AW272" t="s">
        <v>129</v>
      </c>
      <c r="AX272" t="s">
        <v>270</v>
      </c>
      <c r="AY272">
        <v>7</v>
      </c>
      <c r="AZ272" t="s">
        <v>130</v>
      </c>
      <c r="BA272" t="s">
        <v>131</v>
      </c>
      <c r="BB272" t="s">
        <v>132</v>
      </c>
      <c r="BC272" t="s">
        <v>133</v>
      </c>
      <c r="BD272" t="s">
        <v>134</v>
      </c>
      <c r="BE272" t="s">
        <v>132</v>
      </c>
      <c r="BF272" t="s">
        <v>270</v>
      </c>
      <c r="BG272" t="s">
        <v>129</v>
      </c>
      <c r="BH272" t="s">
        <v>135</v>
      </c>
    </row>
    <row r="273" spans="33:60" x14ac:dyDescent="0.25">
      <c r="AG273" t="s">
        <v>276</v>
      </c>
      <c r="AH273" t="s">
        <v>191</v>
      </c>
      <c r="AI273" t="s">
        <v>192</v>
      </c>
      <c r="AK273" s="32" t="s">
        <v>49</v>
      </c>
      <c r="AL273" t="s">
        <v>111</v>
      </c>
      <c r="AM273" t="s">
        <v>285</v>
      </c>
      <c r="AN273" t="s">
        <v>286</v>
      </c>
      <c r="AW273" t="s">
        <v>142</v>
      </c>
      <c r="AX273" t="s">
        <v>270</v>
      </c>
      <c r="AY273">
        <v>8</v>
      </c>
      <c r="AZ273" t="s">
        <v>143</v>
      </c>
      <c r="BA273" t="s">
        <v>144</v>
      </c>
      <c r="BB273" t="s">
        <v>145</v>
      </c>
      <c r="BC273" t="s">
        <v>146</v>
      </c>
      <c r="BD273" t="s">
        <v>147</v>
      </c>
      <c r="BE273" t="s">
        <v>145</v>
      </c>
      <c r="BF273" t="s">
        <v>270</v>
      </c>
      <c r="BG273" t="s">
        <v>142</v>
      </c>
      <c r="BH273" t="s">
        <v>148</v>
      </c>
    </row>
    <row r="274" spans="33:60" x14ac:dyDescent="0.25">
      <c r="AG274" t="s">
        <v>280</v>
      </c>
      <c r="AH274" t="s">
        <v>39</v>
      </c>
      <c r="AI274">
        <v>2429</v>
      </c>
      <c r="AK274" s="32" t="s">
        <v>49</v>
      </c>
      <c r="AL274" t="s">
        <v>111</v>
      </c>
      <c r="AM274" t="s">
        <v>288</v>
      </c>
      <c r="AN274" t="s">
        <v>289</v>
      </c>
      <c r="AW274" t="s">
        <v>154</v>
      </c>
      <c r="AX274" t="s">
        <v>270</v>
      </c>
      <c r="AY274">
        <v>9</v>
      </c>
      <c r="AZ274" t="s">
        <v>155</v>
      </c>
      <c r="BA274" t="s">
        <v>156</v>
      </c>
      <c r="BB274" t="s">
        <v>157</v>
      </c>
      <c r="BC274" t="s">
        <v>158</v>
      </c>
      <c r="BD274" t="s">
        <v>159</v>
      </c>
      <c r="BE274" t="s">
        <v>157</v>
      </c>
      <c r="BF274" t="s">
        <v>270</v>
      </c>
      <c r="BG274" t="s">
        <v>154</v>
      </c>
      <c r="BH274" t="s">
        <v>89</v>
      </c>
    </row>
    <row r="275" spans="33:60" x14ac:dyDescent="0.25">
      <c r="AG275" t="s">
        <v>280</v>
      </c>
      <c r="AH275" s="49" t="s">
        <v>76</v>
      </c>
      <c r="AI275" s="49" t="s">
        <v>77</v>
      </c>
      <c r="AK275" s="32" t="s">
        <v>49</v>
      </c>
      <c r="AL275" t="s">
        <v>111</v>
      </c>
      <c r="AM275" t="s">
        <v>292</v>
      </c>
      <c r="AN275" t="s">
        <v>293</v>
      </c>
      <c r="AW275" t="s">
        <v>166</v>
      </c>
      <c r="AX275" t="s">
        <v>270</v>
      </c>
      <c r="AY275">
        <v>10</v>
      </c>
      <c r="AZ275" t="s">
        <v>167</v>
      </c>
      <c r="BA275" t="s">
        <v>168</v>
      </c>
      <c r="BB275" t="s">
        <v>169</v>
      </c>
      <c r="BC275" t="s">
        <v>170</v>
      </c>
      <c r="BD275" t="s">
        <v>171</v>
      </c>
      <c r="BE275" t="s">
        <v>169</v>
      </c>
      <c r="BF275" t="s">
        <v>270</v>
      </c>
      <c r="BG275" t="s">
        <v>166</v>
      </c>
      <c r="BH275" t="s">
        <v>172</v>
      </c>
    </row>
    <row r="276" spans="33:60" x14ac:dyDescent="0.25">
      <c r="AH276" s="49"/>
      <c r="AI276" s="49"/>
      <c r="AK276" s="32" t="s">
        <v>49</v>
      </c>
      <c r="AL276" t="s">
        <v>111</v>
      </c>
      <c r="AM276" t="s">
        <v>297</v>
      </c>
      <c r="AN276" t="s">
        <v>298</v>
      </c>
      <c r="AW276" t="s">
        <v>181</v>
      </c>
      <c r="AX276" t="s">
        <v>270</v>
      </c>
      <c r="AY276">
        <v>11</v>
      </c>
      <c r="AZ276" t="s">
        <v>182</v>
      </c>
      <c r="BA276" t="s">
        <v>183</v>
      </c>
      <c r="BB276" t="s">
        <v>184</v>
      </c>
      <c r="BC276" t="s">
        <v>185</v>
      </c>
      <c r="BD276" t="s">
        <v>186</v>
      </c>
      <c r="BE276" t="s">
        <v>184</v>
      </c>
      <c r="BF276" t="s">
        <v>270</v>
      </c>
      <c r="BG276" t="s">
        <v>181</v>
      </c>
      <c r="BH276" t="s">
        <v>187</v>
      </c>
    </row>
    <row r="277" spans="33:60" x14ac:dyDescent="0.25">
      <c r="AH277" s="49"/>
      <c r="AI277" s="49"/>
      <c r="AK277" s="32" t="s">
        <v>49</v>
      </c>
      <c r="AL277" t="s">
        <v>111</v>
      </c>
      <c r="AM277" t="s">
        <v>302</v>
      </c>
      <c r="AN277" t="s">
        <v>303</v>
      </c>
      <c r="AW277" t="s">
        <v>195</v>
      </c>
      <c r="AX277" t="s">
        <v>270</v>
      </c>
      <c r="AY277">
        <v>14</v>
      </c>
      <c r="AZ277" t="s">
        <v>196</v>
      </c>
      <c r="BA277" t="s">
        <v>197</v>
      </c>
      <c r="BB277" t="s">
        <v>198</v>
      </c>
      <c r="BC277" t="s">
        <v>199</v>
      </c>
      <c r="BD277" t="s">
        <v>200</v>
      </c>
      <c r="BE277" t="s">
        <v>198</v>
      </c>
      <c r="BF277" t="s">
        <v>270</v>
      </c>
      <c r="BG277" t="s">
        <v>195</v>
      </c>
      <c r="BH277" t="s">
        <v>201</v>
      </c>
    </row>
    <row r="278" spans="33:60" x14ac:dyDescent="0.25">
      <c r="AH278" s="49"/>
      <c r="AI278" s="49"/>
      <c r="AK278" s="32" t="s">
        <v>49</v>
      </c>
      <c r="AL278" t="s">
        <v>111</v>
      </c>
      <c r="AM278" t="s">
        <v>306</v>
      </c>
      <c r="AN278" t="s">
        <v>307</v>
      </c>
      <c r="AW278" t="s">
        <v>208</v>
      </c>
      <c r="AX278" t="s">
        <v>270</v>
      </c>
      <c r="AY278">
        <v>18</v>
      </c>
      <c r="AZ278" t="s">
        <v>209</v>
      </c>
      <c r="BA278" t="s">
        <v>210</v>
      </c>
      <c r="BB278" t="s">
        <v>211</v>
      </c>
      <c r="BC278" t="s">
        <v>212</v>
      </c>
      <c r="BD278" t="s">
        <v>213</v>
      </c>
      <c r="BE278" t="s">
        <v>211</v>
      </c>
      <c r="BF278" t="s">
        <v>270</v>
      </c>
      <c r="BG278" t="s">
        <v>208</v>
      </c>
      <c r="BH278" t="s">
        <v>214</v>
      </c>
    </row>
    <row r="279" spans="33:60" x14ac:dyDescent="0.25">
      <c r="AG279" t="s">
        <v>280</v>
      </c>
      <c r="AH279" t="s">
        <v>139</v>
      </c>
      <c r="AI279">
        <v>2429</v>
      </c>
      <c r="AK279" s="32" t="s">
        <v>49</v>
      </c>
      <c r="AL279" t="s">
        <v>111</v>
      </c>
      <c r="AM279" t="s">
        <v>310</v>
      </c>
      <c r="AN279" t="s">
        <v>311</v>
      </c>
      <c r="AW279" t="s">
        <v>52</v>
      </c>
      <c r="AX279" t="s">
        <v>273</v>
      </c>
      <c r="AY279">
        <v>3</v>
      </c>
      <c r="AZ279" t="s">
        <v>55</v>
      </c>
      <c r="BA279" s="54">
        <v>380</v>
      </c>
      <c r="BB279" s="54">
        <v>300</v>
      </c>
      <c r="BC279" s="54" t="s">
        <v>57</v>
      </c>
      <c r="BD279" s="54" t="s">
        <v>431</v>
      </c>
      <c r="BE279" s="54" t="s">
        <v>432</v>
      </c>
      <c r="BF279" s="54" t="s">
        <v>273</v>
      </c>
      <c r="BG279" s="54" t="s">
        <v>52</v>
      </c>
      <c r="BH279" s="54" t="s">
        <v>433</v>
      </c>
    </row>
    <row r="280" spans="33:60" x14ac:dyDescent="0.25">
      <c r="AH280" s="49"/>
      <c r="AI280" s="49"/>
      <c r="AK280" s="32" t="s">
        <v>49</v>
      </c>
      <c r="AL280" t="s">
        <v>111</v>
      </c>
      <c r="AM280" t="s">
        <v>314</v>
      </c>
      <c r="AN280" t="s">
        <v>315</v>
      </c>
      <c r="AW280" t="s">
        <v>80</v>
      </c>
      <c r="AX280" t="s">
        <v>273</v>
      </c>
      <c r="AY280">
        <v>4</v>
      </c>
      <c r="AZ280" t="s">
        <v>82</v>
      </c>
      <c r="BA280" s="54">
        <v>480</v>
      </c>
      <c r="BB280" s="54">
        <v>400</v>
      </c>
      <c r="BC280" s="54" t="s">
        <v>84</v>
      </c>
      <c r="BD280" s="54" t="s">
        <v>434</v>
      </c>
      <c r="BE280" s="54" t="s">
        <v>435</v>
      </c>
      <c r="BF280" s="54" t="s">
        <v>273</v>
      </c>
      <c r="BG280" s="54" t="s">
        <v>80</v>
      </c>
      <c r="BH280" s="54" t="s">
        <v>436</v>
      </c>
    </row>
    <row r="281" spans="33:60" x14ac:dyDescent="0.25">
      <c r="AH281" s="49"/>
      <c r="AI281" s="49"/>
      <c r="AK281" s="32" t="s">
        <v>49</v>
      </c>
      <c r="AL281" t="s">
        <v>111</v>
      </c>
      <c r="AM281" t="s">
        <v>318</v>
      </c>
      <c r="AN281" t="s">
        <v>319</v>
      </c>
      <c r="AW281" t="s">
        <v>102</v>
      </c>
      <c r="AX281" t="s">
        <v>273</v>
      </c>
      <c r="AY281">
        <v>5</v>
      </c>
      <c r="AZ281" t="s">
        <v>104</v>
      </c>
      <c r="BA281" s="54">
        <v>580</v>
      </c>
      <c r="BB281" s="54">
        <v>500</v>
      </c>
      <c r="BC281" s="54" t="s">
        <v>106</v>
      </c>
      <c r="BD281" s="54" t="s">
        <v>437</v>
      </c>
      <c r="BE281" s="54" t="s">
        <v>438</v>
      </c>
      <c r="BF281" s="54" t="s">
        <v>273</v>
      </c>
      <c r="BG281" s="54" t="s">
        <v>102</v>
      </c>
      <c r="BH281" s="54" t="s">
        <v>439</v>
      </c>
    </row>
    <row r="282" spans="33:60" x14ac:dyDescent="0.25">
      <c r="AG282" t="s">
        <v>280</v>
      </c>
      <c r="AH282" t="s">
        <v>177</v>
      </c>
      <c r="AI282" t="s">
        <v>178</v>
      </c>
      <c r="AK282" s="32" t="s">
        <v>49</v>
      </c>
      <c r="AL282" t="s">
        <v>111</v>
      </c>
      <c r="AM282" t="s">
        <v>321</v>
      </c>
      <c r="AN282" t="s">
        <v>322</v>
      </c>
      <c r="AW282" t="s">
        <v>114</v>
      </c>
      <c r="AX282" t="s">
        <v>273</v>
      </c>
      <c r="AY282">
        <v>6</v>
      </c>
      <c r="AZ282" t="s">
        <v>116</v>
      </c>
      <c r="BA282" s="54">
        <v>680</v>
      </c>
      <c r="BB282" s="54">
        <v>600</v>
      </c>
      <c r="BC282" s="54" t="s">
        <v>118</v>
      </c>
      <c r="BD282" s="54" t="s">
        <v>440</v>
      </c>
      <c r="BE282" s="54" t="s">
        <v>441</v>
      </c>
      <c r="BF282" s="54" t="s">
        <v>273</v>
      </c>
      <c r="BG282" s="54" t="s">
        <v>114</v>
      </c>
      <c r="BH282" s="54" t="s">
        <v>442</v>
      </c>
    </row>
    <row r="283" spans="33:60" x14ac:dyDescent="0.25">
      <c r="AG283" t="s">
        <v>280</v>
      </c>
      <c r="AH283" t="s">
        <v>191</v>
      </c>
      <c r="AI283" t="s">
        <v>192</v>
      </c>
      <c r="AK283" s="32" t="s">
        <v>49</v>
      </c>
      <c r="AL283" t="s">
        <v>111</v>
      </c>
      <c r="AM283" t="s">
        <v>325</v>
      </c>
      <c r="AN283" t="s">
        <v>326</v>
      </c>
      <c r="AW283" t="s">
        <v>129</v>
      </c>
      <c r="AX283" t="s">
        <v>273</v>
      </c>
      <c r="AY283">
        <v>7</v>
      </c>
      <c r="AZ283" t="s">
        <v>131</v>
      </c>
      <c r="BA283" s="54">
        <v>780</v>
      </c>
      <c r="BB283" s="54">
        <v>700</v>
      </c>
      <c r="BC283" s="54" t="s">
        <v>133</v>
      </c>
      <c r="BD283" s="54" t="s">
        <v>443</v>
      </c>
      <c r="BE283" s="54" t="s">
        <v>444</v>
      </c>
      <c r="BF283" s="54" t="s">
        <v>273</v>
      </c>
      <c r="BG283" s="54" t="s">
        <v>129</v>
      </c>
      <c r="BH283" s="54" t="s">
        <v>445</v>
      </c>
    </row>
    <row r="284" spans="33:60" x14ac:dyDescent="0.25">
      <c r="AG284" t="s">
        <v>284</v>
      </c>
      <c r="AH284" t="s">
        <v>39</v>
      </c>
      <c r="AI284">
        <v>2429</v>
      </c>
      <c r="AK284" s="32" t="s">
        <v>49</v>
      </c>
      <c r="AL284" t="s">
        <v>111</v>
      </c>
      <c r="AM284" t="s">
        <v>327</v>
      </c>
      <c r="AN284" t="s">
        <v>328</v>
      </c>
      <c r="AW284" t="s">
        <v>142</v>
      </c>
      <c r="AX284" t="s">
        <v>273</v>
      </c>
      <c r="AY284">
        <v>8</v>
      </c>
      <c r="AZ284" t="s">
        <v>144</v>
      </c>
      <c r="BA284" s="54">
        <v>880</v>
      </c>
      <c r="BB284" s="54">
        <v>800</v>
      </c>
      <c r="BC284" s="54" t="s">
        <v>146</v>
      </c>
      <c r="BD284" s="54" t="s">
        <v>446</v>
      </c>
      <c r="BE284" s="54" t="s">
        <v>447</v>
      </c>
      <c r="BF284" s="54" t="s">
        <v>273</v>
      </c>
      <c r="BG284" s="54" t="s">
        <v>142</v>
      </c>
      <c r="BH284" s="54" t="s">
        <v>448</v>
      </c>
    </row>
    <row r="285" spans="33:60" x14ac:dyDescent="0.25">
      <c r="AG285" t="s">
        <v>284</v>
      </c>
      <c r="AH285" s="49" t="s">
        <v>76</v>
      </c>
      <c r="AI285" s="49" t="s">
        <v>77</v>
      </c>
      <c r="AK285" s="32" t="s">
        <v>49</v>
      </c>
      <c r="AL285" t="s">
        <v>111</v>
      </c>
      <c r="AM285" t="s">
        <v>329</v>
      </c>
      <c r="AN285" t="s">
        <v>330</v>
      </c>
      <c r="AW285" t="s">
        <v>154</v>
      </c>
      <c r="AX285" t="s">
        <v>273</v>
      </c>
      <c r="AY285">
        <v>9</v>
      </c>
      <c r="AZ285" t="s">
        <v>156</v>
      </c>
      <c r="BA285" s="54">
        <v>980</v>
      </c>
      <c r="BB285" s="54">
        <v>900</v>
      </c>
      <c r="BC285" s="54" t="s">
        <v>158</v>
      </c>
      <c r="BD285" s="54" t="s">
        <v>449</v>
      </c>
      <c r="BE285" s="54" t="s">
        <v>450</v>
      </c>
      <c r="BF285" s="54" t="s">
        <v>273</v>
      </c>
      <c r="BG285" s="54" t="s">
        <v>154</v>
      </c>
      <c r="BH285" s="54" t="s">
        <v>451</v>
      </c>
    </row>
    <row r="286" spans="33:60" x14ac:dyDescent="0.25">
      <c r="AH286" s="49"/>
      <c r="AI286" s="49"/>
      <c r="AK286" s="32" t="s">
        <v>49</v>
      </c>
      <c r="AL286" t="s">
        <v>111</v>
      </c>
      <c r="AM286" t="s">
        <v>331</v>
      </c>
      <c r="AN286" t="s">
        <v>332</v>
      </c>
      <c r="AW286" t="s">
        <v>166</v>
      </c>
      <c r="AX286" t="s">
        <v>273</v>
      </c>
      <c r="AY286">
        <v>10</v>
      </c>
      <c r="AZ286" t="s">
        <v>168</v>
      </c>
      <c r="BA286" s="54">
        <v>1080</v>
      </c>
      <c r="BB286" s="54">
        <v>1000</v>
      </c>
      <c r="BC286" s="54" t="s">
        <v>170</v>
      </c>
      <c r="BD286" s="54" t="s">
        <v>452</v>
      </c>
      <c r="BE286" s="54" t="s">
        <v>453</v>
      </c>
      <c r="BF286" s="54" t="s">
        <v>273</v>
      </c>
      <c r="BG286" s="54" t="s">
        <v>166</v>
      </c>
      <c r="BH286" s="54" t="s">
        <v>454</v>
      </c>
    </row>
    <row r="287" spans="33:60" x14ac:dyDescent="0.25">
      <c r="AH287" s="49"/>
      <c r="AI287" s="49"/>
      <c r="AK287" s="32" t="s">
        <v>49</v>
      </c>
      <c r="AL287" t="s">
        <v>111</v>
      </c>
      <c r="AM287" t="s">
        <v>333</v>
      </c>
      <c r="AN287" t="s">
        <v>334</v>
      </c>
      <c r="AW287" t="s">
        <v>181</v>
      </c>
      <c r="AX287" t="s">
        <v>273</v>
      </c>
      <c r="AY287">
        <v>11</v>
      </c>
      <c r="AZ287" t="s">
        <v>183</v>
      </c>
      <c r="BA287" s="54">
        <v>1180</v>
      </c>
      <c r="BB287" s="54">
        <v>1100</v>
      </c>
      <c r="BC287" s="54" t="s">
        <v>185</v>
      </c>
      <c r="BD287" s="54" t="s">
        <v>455</v>
      </c>
      <c r="BE287" s="54" t="s">
        <v>456</v>
      </c>
      <c r="BF287" s="54" t="s">
        <v>273</v>
      </c>
      <c r="BG287" s="54" t="s">
        <v>181</v>
      </c>
      <c r="BH287" s="54" t="s">
        <v>457</v>
      </c>
    </row>
    <row r="288" spans="33:60" x14ac:dyDescent="0.25">
      <c r="AH288" s="49"/>
      <c r="AI288" s="49"/>
      <c r="AK288" s="32" t="s">
        <v>49</v>
      </c>
      <c r="AL288" t="s">
        <v>111</v>
      </c>
      <c r="AM288" t="s">
        <v>335</v>
      </c>
      <c r="AN288" t="s">
        <v>336</v>
      </c>
      <c r="AW288" t="s">
        <v>195</v>
      </c>
      <c r="AX288" t="s">
        <v>273</v>
      </c>
      <c r="AY288">
        <v>14</v>
      </c>
      <c r="AZ288" t="s">
        <v>197</v>
      </c>
      <c r="BA288" s="54">
        <v>1480</v>
      </c>
      <c r="BB288" s="54">
        <v>1400</v>
      </c>
      <c r="BC288" s="54" t="s">
        <v>199</v>
      </c>
      <c r="BD288" s="54" t="s">
        <v>458</v>
      </c>
      <c r="BE288" s="54" t="s">
        <v>459</v>
      </c>
      <c r="BF288" s="54" t="s">
        <v>273</v>
      </c>
      <c r="BG288" s="54" t="s">
        <v>195</v>
      </c>
      <c r="BH288" s="54" t="s">
        <v>460</v>
      </c>
    </row>
    <row r="289" spans="33:60" x14ac:dyDescent="0.25">
      <c r="AG289" t="s">
        <v>284</v>
      </c>
      <c r="AH289" t="s">
        <v>139</v>
      </c>
      <c r="AI289">
        <v>2429</v>
      </c>
      <c r="AK289" s="32" t="s">
        <v>49</v>
      </c>
      <c r="AL289" t="s">
        <v>111</v>
      </c>
      <c r="AM289" t="s">
        <v>337</v>
      </c>
      <c r="AN289" t="s">
        <v>338</v>
      </c>
      <c r="AW289" t="s">
        <v>208</v>
      </c>
      <c r="AX289" t="s">
        <v>273</v>
      </c>
      <c r="AY289">
        <v>18</v>
      </c>
      <c r="AZ289" t="s">
        <v>210</v>
      </c>
      <c r="BA289" s="54">
        <v>1880</v>
      </c>
      <c r="BB289" s="54">
        <v>1800</v>
      </c>
      <c r="BC289" s="54" t="s">
        <v>212</v>
      </c>
      <c r="BD289" s="54" t="s">
        <v>461</v>
      </c>
      <c r="BE289" s="54" t="s">
        <v>462</v>
      </c>
      <c r="BF289" s="54" t="s">
        <v>273</v>
      </c>
      <c r="BG289" s="54" t="s">
        <v>208</v>
      </c>
      <c r="BH289" s="54" t="s">
        <v>463</v>
      </c>
    </row>
    <row r="290" spans="33:60" x14ac:dyDescent="0.25">
      <c r="AH290" s="49"/>
      <c r="AI290" s="49"/>
      <c r="AK290" s="32" t="s">
        <v>49</v>
      </c>
      <c r="AL290" t="s">
        <v>111</v>
      </c>
      <c r="AM290" t="s">
        <v>340</v>
      </c>
      <c r="AN290" t="s">
        <v>341</v>
      </c>
      <c r="AW290" t="s">
        <v>52</v>
      </c>
      <c r="AX290" s="54" t="s">
        <v>276</v>
      </c>
      <c r="AY290">
        <v>3</v>
      </c>
      <c r="AZ290" t="s">
        <v>54</v>
      </c>
      <c r="BA290" t="s">
        <v>374</v>
      </c>
      <c r="BB290" t="s">
        <v>56</v>
      </c>
      <c r="BC290" t="s">
        <v>57</v>
      </c>
      <c r="BD290" t="s">
        <v>58</v>
      </c>
      <c r="BE290" t="s">
        <v>56</v>
      </c>
      <c r="BF290" s="54" t="s">
        <v>276</v>
      </c>
      <c r="BG290" t="s">
        <v>52</v>
      </c>
      <c r="BH290" t="s">
        <v>375</v>
      </c>
    </row>
    <row r="291" spans="33:60" x14ac:dyDescent="0.25">
      <c r="AH291" s="49"/>
      <c r="AI291" s="49"/>
      <c r="AK291" s="32" t="s">
        <v>49</v>
      </c>
      <c r="AL291" t="s">
        <v>111</v>
      </c>
      <c r="AM291" t="s">
        <v>342</v>
      </c>
      <c r="AN291" t="s">
        <v>343</v>
      </c>
      <c r="AW291" t="s">
        <v>80</v>
      </c>
      <c r="AX291" s="54" t="s">
        <v>276</v>
      </c>
      <c r="AY291">
        <v>4</v>
      </c>
      <c r="AZ291" t="s">
        <v>81</v>
      </c>
      <c r="BA291" t="s">
        <v>376</v>
      </c>
      <c r="BB291" t="s">
        <v>83</v>
      </c>
      <c r="BC291" t="s">
        <v>84</v>
      </c>
      <c r="BD291" t="s">
        <v>85</v>
      </c>
      <c r="BE291" t="s">
        <v>83</v>
      </c>
      <c r="BF291" s="54" t="s">
        <v>276</v>
      </c>
      <c r="BG291" t="s">
        <v>80</v>
      </c>
      <c r="BH291" t="s">
        <v>377</v>
      </c>
    </row>
    <row r="292" spans="33:60" x14ac:dyDescent="0.25">
      <c r="AG292" t="s">
        <v>284</v>
      </c>
      <c r="AH292" t="s">
        <v>177</v>
      </c>
      <c r="AI292" t="s">
        <v>178</v>
      </c>
      <c r="AK292" s="32" t="s">
        <v>49</v>
      </c>
      <c r="AL292" t="s">
        <v>111</v>
      </c>
      <c r="AM292" t="s">
        <v>344</v>
      </c>
      <c r="AN292" t="s">
        <v>345</v>
      </c>
      <c r="AW292" t="s">
        <v>102</v>
      </c>
      <c r="AX292" s="54" t="s">
        <v>276</v>
      </c>
      <c r="AY292">
        <v>5</v>
      </c>
      <c r="AZ292" t="s">
        <v>103</v>
      </c>
      <c r="BA292" t="s">
        <v>378</v>
      </c>
      <c r="BB292" t="s">
        <v>105</v>
      </c>
      <c r="BC292" t="s">
        <v>106</v>
      </c>
      <c r="BD292" t="s">
        <v>107</v>
      </c>
      <c r="BE292" t="s">
        <v>105</v>
      </c>
      <c r="BF292" s="54" t="s">
        <v>276</v>
      </c>
      <c r="BG292" t="s">
        <v>102</v>
      </c>
      <c r="BH292" t="s">
        <v>379</v>
      </c>
    </row>
    <row r="293" spans="33:60" x14ac:dyDescent="0.25">
      <c r="AG293" t="s">
        <v>284</v>
      </c>
      <c r="AH293" t="s">
        <v>191</v>
      </c>
      <c r="AI293" t="s">
        <v>192</v>
      </c>
      <c r="AK293" s="32" t="s">
        <v>49</v>
      </c>
      <c r="AL293" t="s">
        <v>111</v>
      </c>
      <c r="AM293" t="s">
        <v>346</v>
      </c>
      <c r="AN293" t="s">
        <v>347</v>
      </c>
      <c r="AW293" t="s">
        <v>114</v>
      </c>
      <c r="AX293" s="54" t="s">
        <v>276</v>
      </c>
      <c r="AY293">
        <v>6</v>
      </c>
      <c r="AZ293" t="s">
        <v>115</v>
      </c>
      <c r="BA293" t="s">
        <v>380</v>
      </c>
      <c r="BB293" t="s">
        <v>117</v>
      </c>
      <c r="BC293" t="s">
        <v>118</v>
      </c>
      <c r="BD293" t="s">
        <v>119</v>
      </c>
      <c r="BE293" t="s">
        <v>117</v>
      </c>
      <c r="BF293" s="54" t="s">
        <v>276</v>
      </c>
      <c r="BG293" t="s">
        <v>114</v>
      </c>
      <c r="BH293" t="s">
        <v>381</v>
      </c>
    </row>
    <row r="294" spans="33:60" x14ac:dyDescent="0.25">
      <c r="AG294" t="s">
        <v>287</v>
      </c>
      <c r="AH294" t="s">
        <v>39</v>
      </c>
      <c r="AI294">
        <v>200</v>
      </c>
      <c r="AK294" s="32" t="s">
        <v>49</v>
      </c>
      <c r="AL294" t="s">
        <v>111</v>
      </c>
      <c r="AM294" t="s">
        <v>348</v>
      </c>
      <c r="AN294" t="s">
        <v>349</v>
      </c>
      <c r="AW294" t="s">
        <v>129</v>
      </c>
      <c r="AX294" s="54" t="s">
        <v>276</v>
      </c>
      <c r="AY294">
        <v>7</v>
      </c>
      <c r="AZ294" t="s">
        <v>130</v>
      </c>
      <c r="BA294" t="s">
        <v>382</v>
      </c>
      <c r="BB294" t="s">
        <v>132</v>
      </c>
      <c r="BC294" t="s">
        <v>133</v>
      </c>
      <c r="BD294" t="s">
        <v>134</v>
      </c>
      <c r="BE294" t="s">
        <v>132</v>
      </c>
      <c r="BF294" s="54" t="s">
        <v>276</v>
      </c>
      <c r="BG294" t="s">
        <v>129</v>
      </c>
      <c r="BH294" t="s">
        <v>383</v>
      </c>
    </row>
    <row r="295" spans="33:60" x14ac:dyDescent="0.25">
      <c r="AG295" t="s">
        <v>287</v>
      </c>
      <c r="AH295" s="49" t="s">
        <v>76</v>
      </c>
      <c r="AI295" s="49">
        <v>120</v>
      </c>
      <c r="AK295" s="32" t="s">
        <v>49</v>
      </c>
      <c r="AL295" t="s">
        <v>111</v>
      </c>
      <c r="AM295" t="s">
        <v>350</v>
      </c>
      <c r="AN295" t="s">
        <v>351</v>
      </c>
      <c r="AW295" t="s">
        <v>142</v>
      </c>
      <c r="AX295" s="54" t="s">
        <v>276</v>
      </c>
      <c r="AY295">
        <v>8</v>
      </c>
      <c r="AZ295" t="s">
        <v>143</v>
      </c>
      <c r="BA295" t="s">
        <v>384</v>
      </c>
      <c r="BB295" t="s">
        <v>145</v>
      </c>
      <c r="BC295" t="s">
        <v>146</v>
      </c>
      <c r="BD295" t="s">
        <v>147</v>
      </c>
      <c r="BE295" t="s">
        <v>145</v>
      </c>
      <c r="BF295" s="54" t="s">
        <v>276</v>
      </c>
      <c r="BG295" t="s">
        <v>142</v>
      </c>
      <c r="BH295" t="s">
        <v>385</v>
      </c>
    </row>
    <row r="296" spans="33:60" x14ac:dyDescent="0.25">
      <c r="AH296" s="49"/>
      <c r="AI296" s="49"/>
      <c r="AK296" s="32" t="s">
        <v>49</v>
      </c>
      <c r="AL296" t="s">
        <v>111</v>
      </c>
      <c r="AM296" t="s">
        <v>352</v>
      </c>
      <c r="AN296" t="s">
        <v>353</v>
      </c>
      <c r="AW296" t="s">
        <v>154</v>
      </c>
      <c r="AX296" s="54" t="s">
        <v>276</v>
      </c>
      <c r="AY296">
        <v>9</v>
      </c>
      <c r="AZ296" t="s">
        <v>155</v>
      </c>
      <c r="BA296" t="s">
        <v>387</v>
      </c>
      <c r="BB296" t="s">
        <v>157</v>
      </c>
      <c r="BC296" t="s">
        <v>158</v>
      </c>
      <c r="BD296" t="s">
        <v>159</v>
      </c>
      <c r="BE296" t="s">
        <v>157</v>
      </c>
      <c r="BF296" s="54" t="s">
        <v>276</v>
      </c>
      <c r="BG296" t="s">
        <v>154</v>
      </c>
      <c r="BH296" t="s">
        <v>388</v>
      </c>
    </row>
    <row r="297" spans="33:60" x14ac:dyDescent="0.25">
      <c r="AH297" s="49"/>
      <c r="AI297" s="49"/>
      <c r="AK297" s="32" t="s">
        <v>49</v>
      </c>
      <c r="AL297" t="s">
        <v>111</v>
      </c>
      <c r="AM297" t="s">
        <v>354</v>
      </c>
      <c r="AN297" t="s">
        <v>355</v>
      </c>
      <c r="AW297" t="s">
        <v>166</v>
      </c>
      <c r="AX297" s="54" t="s">
        <v>276</v>
      </c>
      <c r="AY297">
        <v>10</v>
      </c>
      <c r="AZ297" t="s">
        <v>167</v>
      </c>
      <c r="BA297" t="s">
        <v>389</v>
      </c>
      <c r="BB297" t="s">
        <v>169</v>
      </c>
      <c r="BC297" t="s">
        <v>170</v>
      </c>
      <c r="BD297" t="s">
        <v>171</v>
      </c>
      <c r="BE297" t="s">
        <v>169</v>
      </c>
      <c r="BF297" s="54" t="s">
        <v>276</v>
      </c>
      <c r="BG297" t="s">
        <v>166</v>
      </c>
      <c r="BH297" t="s">
        <v>390</v>
      </c>
    </row>
    <row r="298" spans="33:60" x14ac:dyDescent="0.25">
      <c r="AH298" s="49"/>
      <c r="AI298" s="49"/>
      <c r="AK298" s="32" t="s">
        <v>49</v>
      </c>
      <c r="AL298" t="s">
        <v>111</v>
      </c>
      <c r="AM298" t="s">
        <v>356</v>
      </c>
      <c r="AN298" t="s">
        <v>357</v>
      </c>
      <c r="AW298" t="s">
        <v>181</v>
      </c>
      <c r="AX298" s="54" t="s">
        <v>276</v>
      </c>
      <c r="AY298">
        <v>11</v>
      </c>
      <c r="AZ298" t="s">
        <v>182</v>
      </c>
      <c r="BA298" t="s">
        <v>391</v>
      </c>
      <c r="BB298" t="s">
        <v>184</v>
      </c>
      <c r="BC298" t="s">
        <v>185</v>
      </c>
      <c r="BD298" t="s">
        <v>186</v>
      </c>
      <c r="BE298" t="s">
        <v>184</v>
      </c>
      <c r="BF298" s="54" t="s">
        <v>276</v>
      </c>
      <c r="BG298" t="s">
        <v>181</v>
      </c>
      <c r="BH298" t="s">
        <v>392</v>
      </c>
    </row>
    <row r="299" spans="33:60" x14ac:dyDescent="0.25">
      <c r="AH299" s="49"/>
      <c r="AI299" s="49"/>
      <c r="AK299" s="32" t="s">
        <v>49</v>
      </c>
      <c r="AL299" t="s">
        <v>111</v>
      </c>
      <c r="AM299" t="s">
        <v>358</v>
      </c>
      <c r="AN299" t="s">
        <v>359</v>
      </c>
      <c r="AW299" t="s">
        <v>195</v>
      </c>
      <c r="AX299" s="54" t="s">
        <v>276</v>
      </c>
      <c r="AY299">
        <v>14</v>
      </c>
      <c r="AZ299" t="s">
        <v>196</v>
      </c>
      <c r="BA299" t="s">
        <v>393</v>
      </c>
      <c r="BB299" t="s">
        <v>198</v>
      </c>
      <c r="BC299" t="s">
        <v>199</v>
      </c>
      <c r="BD299" t="s">
        <v>200</v>
      </c>
      <c r="BE299" t="s">
        <v>198</v>
      </c>
      <c r="BF299" s="54" t="s">
        <v>276</v>
      </c>
      <c r="BG299" t="s">
        <v>195</v>
      </c>
      <c r="BH299" t="s">
        <v>394</v>
      </c>
    </row>
    <row r="300" spans="33:60" x14ac:dyDescent="0.25">
      <c r="AG300" t="s">
        <v>287</v>
      </c>
      <c r="AH300" t="s">
        <v>139</v>
      </c>
      <c r="AI300">
        <v>200</v>
      </c>
      <c r="AK300" s="32" t="s">
        <v>49</v>
      </c>
      <c r="AL300" t="s">
        <v>111</v>
      </c>
      <c r="AM300" t="s">
        <v>360</v>
      </c>
      <c r="AN300" t="s">
        <v>361</v>
      </c>
      <c r="AW300" t="s">
        <v>208</v>
      </c>
      <c r="AX300" s="54" t="s">
        <v>276</v>
      </c>
      <c r="AY300">
        <v>18</v>
      </c>
      <c r="AZ300" t="s">
        <v>209</v>
      </c>
      <c r="BA300" t="s">
        <v>395</v>
      </c>
      <c r="BB300" t="s">
        <v>211</v>
      </c>
      <c r="BC300" t="s">
        <v>212</v>
      </c>
      <c r="BD300" t="s">
        <v>213</v>
      </c>
      <c r="BE300" t="s">
        <v>211</v>
      </c>
      <c r="BF300" s="54" t="s">
        <v>276</v>
      </c>
      <c r="BG300" t="s">
        <v>208</v>
      </c>
      <c r="BH300" t="s">
        <v>396</v>
      </c>
    </row>
    <row r="301" spans="33:60" x14ac:dyDescent="0.25">
      <c r="AK301" s="32" t="s">
        <v>49</v>
      </c>
      <c r="AL301" t="s">
        <v>111</v>
      </c>
      <c r="AM301" t="s">
        <v>362</v>
      </c>
      <c r="AN301" t="s">
        <v>363</v>
      </c>
      <c r="AW301" t="s">
        <v>52</v>
      </c>
      <c r="AX301" t="s">
        <v>280</v>
      </c>
      <c r="AY301">
        <v>3</v>
      </c>
      <c r="AZ301" t="s">
        <v>54</v>
      </c>
      <c r="BA301" t="s">
        <v>374</v>
      </c>
      <c r="BB301" t="s">
        <v>56</v>
      </c>
      <c r="BC301" t="s">
        <v>57</v>
      </c>
      <c r="BD301" t="s">
        <v>58</v>
      </c>
      <c r="BE301" t="s">
        <v>56</v>
      </c>
      <c r="BF301" t="s">
        <v>280</v>
      </c>
      <c r="BG301" t="s">
        <v>52</v>
      </c>
      <c r="BH301" t="s">
        <v>375</v>
      </c>
    </row>
    <row r="302" spans="33:60" x14ac:dyDescent="0.25">
      <c r="AG302" t="s">
        <v>287</v>
      </c>
      <c r="AH302" t="s">
        <v>177</v>
      </c>
      <c r="AI302">
        <v>200</v>
      </c>
      <c r="AK302" s="32" t="s">
        <v>49</v>
      </c>
      <c r="AL302" t="s">
        <v>111</v>
      </c>
      <c r="AM302" t="s">
        <v>364</v>
      </c>
      <c r="AN302" t="s">
        <v>365</v>
      </c>
      <c r="AW302" t="s">
        <v>80</v>
      </c>
      <c r="AX302" t="s">
        <v>280</v>
      </c>
      <c r="AY302">
        <v>4</v>
      </c>
      <c r="AZ302" t="s">
        <v>81</v>
      </c>
      <c r="BA302" t="s">
        <v>376</v>
      </c>
      <c r="BB302" t="s">
        <v>83</v>
      </c>
      <c r="BC302" t="s">
        <v>84</v>
      </c>
      <c r="BD302" t="s">
        <v>85</v>
      </c>
      <c r="BE302" t="s">
        <v>83</v>
      </c>
      <c r="BF302" t="s">
        <v>280</v>
      </c>
      <c r="BG302" t="s">
        <v>80</v>
      </c>
      <c r="BH302" t="s">
        <v>377</v>
      </c>
    </row>
    <row r="303" spans="33:60" x14ac:dyDescent="0.25">
      <c r="AG303" t="s">
        <v>287</v>
      </c>
      <c r="AH303" t="s">
        <v>191</v>
      </c>
      <c r="AI303">
        <v>700</v>
      </c>
      <c r="AK303" s="32" t="s">
        <v>49</v>
      </c>
      <c r="AL303" t="s">
        <v>111</v>
      </c>
      <c r="AM303" t="s">
        <v>366</v>
      </c>
      <c r="AN303" t="s">
        <v>367</v>
      </c>
      <c r="AW303" t="s">
        <v>102</v>
      </c>
      <c r="AX303" t="s">
        <v>280</v>
      </c>
      <c r="AY303">
        <v>5</v>
      </c>
      <c r="AZ303" t="s">
        <v>103</v>
      </c>
      <c r="BA303" t="s">
        <v>378</v>
      </c>
      <c r="BB303" t="s">
        <v>105</v>
      </c>
      <c r="BC303" t="s">
        <v>106</v>
      </c>
      <c r="BD303" t="s">
        <v>107</v>
      </c>
      <c r="BE303" t="s">
        <v>105</v>
      </c>
      <c r="BF303" t="s">
        <v>280</v>
      </c>
      <c r="BG303" t="s">
        <v>102</v>
      </c>
      <c r="BH303" t="s">
        <v>379</v>
      </c>
    </row>
    <row r="304" spans="33:60" x14ac:dyDescent="0.25">
      <c r="AG304" t="s">
        <v>291</v>
      </c>
      <c r="AH304" t="s">
        <v>39</v>
      </c>
      <c r="AI304">
        <v>2429</v>
      </c>
      <c r="AK304" s="32" t="s">
        <v>49</v>
      </c>
      <c r="AL304" t="s">
        <v>111</v>
      </c>
      <c r="AM304" t="s">
        <v>368</v>
      </c>
      <c r="AN304" t="s">
        <v>369</v>
      </c>
      <c r="AW304" t="s">
        <v>114</v>
      </c>
      <c r="AX304" t="s">
        <v>280</v>
      </c>
      <c r="AY304">
        <v>6</v>
      </c>
      <c r="AZ304" t="s">
        <v>115</v>
      </c>
      <c r="BA304" t="s">
        <v>380</v>
      </c>
      <c r="BB304" t="s">
        <v>117</v>
      </c>
      <c r="BC304" t="s">
        <v>118</v>
      </c>
      <c r="BD304" t="s">
        <v>119</v>
      </c>
      <c r="BE304" t="s">
        <v>117</v>
      </c>
      <c r="BF304" t="s">
        <v>280</v>
      </c>
      <c r="BG304" t="s">
        <v>114</v>
      </c>
      <c r="BH304" t="s">
        <v>381</v>
      </c>
    </row>
    <row r="305" spans="33:60" x14ac:dyDescent="0.25">
      <c r="AG305" t="s">
        <v>291</v>
      </c>
      <c r="AH305" s="49" t="s">
        <v>76</v>
      </c>
      <c r="AI305" s="49" t="s">
        <v>77</v>
      </c>
      <c r="AK305" s="32" t="s">
        <v>49</v>
      </c>
      <c r="AL305" t="s">
        <v>111</v>
      </c>
      <c r="AM305" t="s">
        <v>370</v>
      </c>
      <c r="AN305" t="s">
        <v>371</v>
      </c>
      <c r="AW305" t="s">
        <v>129</v>
      </c>
      <c r="AX305" t="s">
        <v>280</v>
      </c>
      <c r="AY305">
        <v>7</v>
      </c>
      <c r="AZ305" t="s">
        <v>130</v>
      </c>
      <c r="BA305" t="s">
        <v>382</v>
      </c>
      <c r="BB305" t="s">
        <v>132</v>
      </c>
      <c r="BC305" t="s">
        <v>133</v>
      </c>
      <c r="BD305" t="s">
        <v>134</v>
      </c>
      <c r="BE305" t="s">
        <v>132</v>
      </c>
      <c r="BF305" t="s">
        <v>280</v>
      </c>
      <c r="BG305" t="s">
        <v>129</v>
      </c>
      <c r="BH305" t="s">
        <v>383</v>
      </c>
    </row>
    <row r="306" spans="33:60" x14ac:dyDescent="0.25">
      <c r="AH306" s="49"/>
      <c r="AI306" s="49"/>
      <c r="AW306" t="s">
        <v>142</v>
      </c>
      <c r="AX306" t="s">
        <v>280</v>
      </c>
      <c r="AY306">
        <v>8</v>
      </c>
      <c r="AZ306" t="s">
        <v>143</v>
      </c>
      <c r="BA306" t="s">
        <v>384</v>
      </c>
      <c r="BB306" t="s">
        <v>145</v>
      </c>
      <c r="BC306" t="s">
        <v>146</v>
      </c>
      <c r="BD306" t="s">
        <v>147</v>
      </c>
      <c r="BE306" t="s">
        <v>145</v>
      </c>
      <c r="BF306" t="s">
        <v>280</v>
      </c>
      <c r="BG306" t="s">
        <v>142</v>
      </c>
      <c r="BH306" t="s">
        <v>385</v>
      </c>
    </row>
    <row r="307" spans="33:60" x14ac:dyDescent="0.25">
      <c r="AH307" s="49"/>
      <c r="AI307" s="49"/>
      <c r="AK307" s="32" t="s">
        <v>49</v>
      </c>
      <c r="AL307" s="54" t="s">
        <v>126</v>
      </c>
      <c r="AM307" s="54" t="s">
        <v>50</v>
      </c>
      <c r="AN307" s="54" t="s">
        <v>51</v>
      </c>
      <c r="AW307" t="s">
        <v>154</v>
      </c>
      <c r="AX307" t="s">
        <v>280</v>
      </c>
      <c r="AY307">
        <v>9</v>
      </c>
      <c r="AZ307" t="s">
        <v>155</v>
      </c>
      <c r="BA307" t="s">
        <v>387</v>
      </c>
      <c r="BB307" t="s">
        <v>157</v>
      </c>
      <c r="BC307" t="s">
        <v>158</v>
      </c>
      <c r="BD307" t="s">
        <v>159</v>
      </c>
      <c r="BE307" t="s">
        <v>157</v>
      </c>
      <c r="BF307" t="s">
        <v>280</v>
      </c>
      <c r="BG307" t="s">
        <v>154</v>
      </c>
      <c r="BH307" t="s">
        <v>388</v>
      </c>
    </row>
    <row r="308" spans="33:60" x14ac:dyDescent="0.25">
      <c r="AH308" s="49"/>
      <c r="AI308" s="49"/>
      <c r="AK308" s="32" t="s">
        <v>49</v>
      </c>
      <c r="AL308" s="54" t="s">
        <v>126</v>
      </c>
      <c r="AM308" s="54" t="s">
        <v>78</v>
      </c>
      <c r="AN308" s="54" t="s">
        <v>79</v>
      </c>
      <c r="AW308" t="s">
        <v>166</v>
      </c>
      <c r="AX308" t="s">
        <v>280</v>
      </c>
      <c r="AY308">
        <v>10</v>
      </c>
      <c r="AZ308" t="s">
        <v>167</v>
      </c>
      <c r="BA308" t="s">
        <v>389</v>
      </c>
      <c r="BB308" t="s">
        <v>169</v>
      </c>
      <c r="BC308" t="s">
        <v>170</v>
      </c>
      <c r="BD308" t="s">
        <v>171</v>
      </c>
      <c r="BE308" t="s">
        <v>169</v>
      </c>
      <c r="BF308" t="s">
        <v>280</v>
      </c>
      <c r="BG308" t="s">
        <v>166</v>
      </c>
      <c r="BH308" t="s">
        <v>390</v>
      </c>
    </row>
    <row r="309" spans="33:60" x14ac:dyDescent="0.25">
      <c r="AG309" t="s">
        <v>291</v>
      </c>
      <c r="AH309" t="s">
        <v>139</v>
      </c>
      <c r="AI309">
        <v>2429</v>
      </c>
      <c r="AK309" s="32" t="s">
        <v>49</v>
      </c>
      <c r="AL309" s="54" t="s">
        <v>126</v>
      </c>
      <c r="AM309" s="54" t="s">
        <v>100</v>
      </c>
      <c r="AN309" s="54" t="s">
        <v>101</v>
      </c>
      <c r="AW309" t="s">
        <v>181</v>
      </c>
      <c r="AX309" t="s">
        <v>280</v>
      </c>
      <c r="AY309">
        <v>11</v>
      </c>
      <c r="AZ309" t="s">
        <v>182</v>
      </c>
      <c r="BA309" t="s">
        <v>391</v>
      </c>
      <c r="BB309" t="s">
        <v>184</v>
      </c>
      <c r="BC309" t="s">
        <v>185</v>
      </c>
      <c r="BD309" t="s">
        <v>186</v>
      </c>
      <c r="BE309" t="s">
        <v>184</v>
      </c>
      <c r="BF309" t="s">
        <v>280</v>
      </c>
      <c r="BG309" t="s">
        <v>181</v>
      </c>
      <c r="BH309" t="s">
        <v>392</v>
      </c>
    </row>
    <row r="310" spans="33:60" x14ac:dyDescent="0.25">
      <c r="AH310" s="49"/>
      <c r="AI310" s="49"/>
      <c r="AK310" s="32" t="s">
        <v>49</v>
      </c>
      <c r="AL310" s="54" t="s">
        <v>126</v>
      </c>
      <c r="AM310" s="54" t="s">
        <v>112</v>
      </c>
      <c r="AN310" s="54" t="s">
        <v>113</v>
      </c>
      <c r="AW310" t="s">
        <v>195</v>
      </c>
      <c r="AX310" t="s">
        <v>280</v>
      </c>
      <c r="AY310">
        <v>14</v>
      </c>
      <c r="AZ310" t="s">
        <v>196</v>
      </c>
      <c r="BA310" t="s">
        <v>393</v>
      </c>
      <c r="BB310" t="s">
        <v>198</v>
      </c>
      <c r="BC310" t="s">
        <v>199</v>
      </c>
      <c r="BD310" t="s">
        <v>200</v>
      </c>
      <c r="BE310" t="s">
        <v>198</v>
      </c>
      <c r="BF310" t="s">
        <v>280</v>
      </c>
      <c r="BG310" t="s">
        <v>195</v>
      </c>
      <c r="BH310" t="s">
        <v>394</v>
      </c>
    </row>
    <row r="311" spans="33:60" x14ac:dyDescent="0.25">
      <c r="AH311" s="49"/>
      <c r="AI311" s="49"/>
      <c r="AK311" s="32" t="s">
        <v>49</v>
      </c>
      <c r="AL311" s="54" t="s">
        <v>126</v>
      </c>
      <c r="AM311" s="54" t="s">
        <v>127</v>
      </c>
      <c r="AN311" s="54" t="s">
        <v>128</v>
      </c>
      <c r="AW311" t="s">
        <v>208</v>
      </c>
      <c r="AX311" t="s">
        <v>280</v>
      </c>
      <c r="AY311">
        <v>18</v>
      </c>
      <c r="AZ311" t="s">
        <v>209</v>
      </c>
      <c r="BA311" t="s">
        <v>395</v>
      </c>
      <c r="BB311" t="s">
        <v>211</v>
      </c>
      <c r="BC311" t="s">
        <v>212</v>
      </c>
      <c r="BD311" t="s">
        <v>213</v>
      </c>
      <c r="BE311" t="s">
        <v>211</v>
      </c>
      <c r="BF311" t="s">
        <v>280</v>
      </c>
      <c r="BG311" t="s">
        <v>208</v>
      </c>
      <c r="BH311" t="s">
        <v>396</v>
      </c>
    </row>
    <row r="312" spans="33:60" x14ac:dyDescent="0.25">
      <c r="AG312" t="s">
        <v>291</v>
      </c>
      <c r="AH312" t="s">
        <v>177</v>
      </c>
      <c r="AI312" t="s">
        <v>178</v>
      </c>
      <c r="AK312" s="32" t="s">
        <v>49</v>
      </c>
      <c r="AL312" s="54" t="s">
        <v>126</v>
      </c>
      <c r="AM312" s="54" t="s">
        <v>140</v>
      </c>
      <c r="AN312" s="54" t="s">
        <v>141</v>
      </c>
      <c r="AW312" t="s">
        <v>52</v>
      </c>
      <c r="AX312" s="54" t="s">
        <v>284</v>
      </c>
      <c r="AY312">
        <v>3</v>
      </c>
      <c r="AZ312" t="s">
        <v>54</v>
      </c>
      <c r="BA312" t="s">
        <v>374</v>
      </c>
      <c r="BB312" t="s">
        <v>56</v>
      </c>
      <c r="BC312" t="s">
        <v>57</v>
      </c>
      <c r="BD312" t="s">
        <v>58</v>
      </c>
      <c r="BE312" t="s">
        <v>56</v>
      </c>
      <c r="BF312" s="54" t="s">
        <v>284</v>
      </c>
      <c r="BG312" t="s">
        <v>52</v>
      </c>
      <c r="BH312" t="s">
        <v>375</v>
      </c>
    </row>
    <row r="313" spans="33:60" x14ac:dyDescent="0.25">
      <c r="AG313" t="s">
        <v>291</v>
      </c>
      <c r="AH313" t="s">
        <v>191</v>
      </c>
      <c r="AI313" t="s">
        <v>192</v>
      </c>
      <c r="AK313" s="32" t="s">
        <v>49</v>
      </c>
      <c r="AL313" s="54" t="s">
        <v>126</v>
      </c>
      <c r="AM313" s="54" t="s">
        <v>152</v>
      </c>
      <c r="AN313" s="54" t="s">
        <v>153</v>
      </c>
      <c r="AW313" t="s">
        <v>80</v>
      </c>
      <c r="AX313" s="54" t="s">
        <v>284</v>
      </c>
      <c r="AY313">
        <v>4</v>
      </c>
      <c r="AZ313" t="s">
        <v>81</v>
      </c>
      <c r="BA313" t="s">
        <v>376</v>
      </c>
      <c r="BB313" t="s">
        <v>83</v>
      </c>
      <c r="BC313" t="s">
        <v>84</v>
      </c>
      <c r="BD313" t="s">
        <v>85</v>
      </c>
      <c r="BE313" t="s">
        <v>83</v>
      </c>
      <c r="BF313" s="54" t="s">
        <v>284</v>
      </c>
      <c r="BG313" t="s">
        <v>80</v>
      </c>
      <c r="BH313" t="s">
        <v>377</v>
      </c>
    </row>
    <row r="314" spans="33:60" x14ac:dyDescent="0.25">
      <c r="AG314" t="s">
        <v>296</v>
      </c>
      <c r="AH314" t="s">
        <v>39</v>
      </c>
      <c r="AI314">
        <v>2429</v>
      </c>
      <c r="AK314" s="32" t="s">
        <v>49</v>
      </c>
      <c r="AL314" s="54" t="s">
        <v>126</v>
      </c>
      <c r="AM314" s="54" t="s">
        <v>164</v>
      </c>
      <c r="AN314" s="54" t="s">
        <v>165</v>
      </c>
      <c r="AW314" t="s">
        <v>102</v>
      </c>
      <c r="AX314" s="54" t="s">
        <v>284</v>
      </c>
      <c r="AY314">
        <v>5</v>
      </c>
      <c r="AZ314" t="s">
        <v>103</v>
      </c>
      <c r="BA314" t="s">
        <v>378</v>
      </c>
      <c r="BB314" t="s">
        <v>105</v>
      </c>
      <c r="BC314" t="s">
        <v>106</v>
      </c>
      <c r="BD314" t="s">
        <v>107</v>
      </c>
      <c r="BE314" t="s">
        <v>105</v>
      </c>
      <c r="BF314" s="54" t="s">
        <v>284</v>
      </c>
      <c r="BG314" t="s">
        <v>102</v>
      </c>
      <c r="BH314" t="s">
        <v>379</v>
      </c>
    </row>
    <row r="315" spans="33:60" x14ac:dyDescent="0.25">
      <c r="AG315" t="s">
        <v>296</v>
      </c>
      <c r="AH315" s="49" t="s">
        <v>76</v>
      </c>
      <c r="AI315" s="49" t="s">
        <v>77</v>
      </c>
      <c r="AK315" s="32" t="s">
        <v>49</v>
      </c>
      <c r="AL315" s="54" t="s">
        <v>126</v>
      </c>
      <c r="AM315" s="54" t="s">
        <v>179</v>
      </c>
      <c r="AN315" s="54" t="s">
        <v>180</v>
      </c>
      <c r="AW315" t="s">
        <v>114</v>
      </c>
      <c r="AX315" s="54" t="s">
        <v>284</v>
      </c>
      <c r="AY315">
        <v>6</v>
      </c>
      <c r="AZ315" t="s">
        <v>115</v>
      </c>
      <c r="BA315" t="s">
        <v>380</v>
      </c>
      <c r="BB315" t="s">
        <v>117</v>
      </c>
      <c r="BC315" t="s">
        <v>118</v>
      </c>
      <c r="BD315" t="s">
        <v>119</v>
      </c>
      <c r="BE315" t="s">
        <v>117</v>
      </c>
      <c r="BF315" s="54" t="s">
        <v>284</v>
      </c>
      <c r="BG315" t="s">
        <v>114</v>
      </c>
      <c r="BH315" t="s">
        <v>381</v>
      </c>
    </row>
    <row r="316" spans="33:60" x14ac:dyDescent="0.25">
      <c r="AH316" s="49"/>
      <c r="AI316" s="49"/>
      <c r="AK316" s="32" t="s">
        <v>49</v>
      </c>
      <c r="AL316" s="54" t="s">
        <v>126</v>
      </c>
      <c r="AM316" s="54" t="s">
        <v>193</v>
      </c>
      <c r="AN316" s="54" t="s">
        <v>194</v>
      </c>
      <c r="AW316" t="s">
        <v>129</v>
      </c>
      <c r="AX316" s="54" t="s">
        <v>284</v>
      </c>
      <c r="AY316">
        <v>7</v>
      </c>
      <c r="AZ316" t="s">
        <v>130</v>
      </c>
      <c r="BA316" t="s">
        <v>382</v>
      </c>
      <c r="BB316" t="s">
        <v>132</v>
      </c>
      <c r="BC316" t="s">
        <v>133</v>
      </c>
      <c r="BD316" t="s">
        <v>134</v>
      </c>
      <c r="BE316" t="s">
        <v>132</v>
      </c>
      <c r="BF316" s="54" t="s">
        <v>284</v>
      </c>
      <c r="BG316" t="s">
        <v>129</v>
      </c>
      <c r="BH316" t="s">
        <v>383</v>
      </c>
    </row>
    <row r="317" spans="33:60" x14ac:dyDescent="0.25">
      <c r="AH317" s="49"/>
      <c r="AI317" s="49"/>
      <c r="AK317" s="32" t="s">
        <v>49</v>
      </c>
      <c r="AL317" s="54" t="s">
        <v>126</v>
      </c>
      <c r="AM317" s="54" t="s">
        <v>206</v>
      </c>
      <c r="AN317" s="54" t="s">
        <v>207</v>
      </c>
      <c r="AW317" t="s">
        <v>142</v>
      </c>
      <c r="AX317" s="54" t="s">
        <v>284</v>
      </c>
      <c r="AY317">
        <v>8</v>
      </c>
      <c r="AZ317" t="s">
        <v>143</v>
      </c>
      <c r="BA317" t="s">
        <v>384</v>
      </c>
      <c r="BB317" t="s">
        <v>145</v>
      </c>
      <c r="BC317" t="s">
        <v>146</v>
      </c>
      <c r="BD317" t="s">
        <v>147</v>
      </c>
      <c r="BE317" t="s">
        <v>145</v>
      </c>
      <c r="BF317" s="54" t="s">
        <v>284</v>
      </c>
      <c r="BG317" t="s">
        <v>142</v>
      </c>
      <c r="BH317" t="s">
        <v>385</v>
      </c>
    </row>
    <row r="318" spans="33:60" x14ac:dyDescent="0.25">
      <c r="AH318" s="49"/>
      <c r="AI318" s="49"/>
      <c r="AK318" s="32" t="s">
        <v>49</v>
      </c>
      <c r="AL318" s="54" t="s">
        <v>126</v>
      </c>
      <c r="AM318" s="54" t="s">
        <v>218</v>
      </c>
      <c r="AN318" s="54" t="s">
        <v>219</v>
      </c>
      <c r="AW318" t="s">
        <v>154</v>
      </c>
      <c r="AX318" s="54" t="s">
        <v>284</v>
      </c>
      <c r="AY318">
        <v>9</v>
      </c>
      <c r="AZ318" t="s">
        <v>155</v>
      </c>
      <c r="BA318" t="s">
        <v>387</v>
      </c>
      <c r="BB318" t="s">
        <v>157</v>
      </c>
      <c r="BC318" t="s">
        <v>158</v>
      </c>
      <c r="BD318" t="s">
        <v>159</v>
      </c>
      <c r="BE318" t="s">
        <v>157</v>
      </c>
      <c r="BF318" s="54" t="s">
        <v>284</v>
      </c>
      <c r="BG318" t="s">
        <v>154</v>
      </c>
      <c r="BH318" t="s">
        <v>388</v>
      </c>
    </row>
    <row r="319" spans="33:60" x14ac:dyDescent="0.25">
      <c r="AG319" t="s">
        <v>296</v>
      </c>
      <c r="AH319" t="s">
        <v>139</v>
      </c>
      <c r="AI319">
        <v>2429</v>
      </c>
      <c r="AK319" s="32" t="s">
        <v>49</v>
      </c>
      <c r="AL319" s="54" t="s">
        <v>126</v>
      </c>
      <c r="AM319" s="54" t="s">
        <v>224</v>
      </c>
      <c r="AN319" s="54" t="s">
        <v>225</v>
      </c>
      <c r="AW319" t="s">
        <v>166</v>
      </c>
      <c r="AX319" s="54" t="s">
        <v>284</v>
      </c>
      <c r="AY319">
        <v>10</v>
      </c>
      <c r="AZ319" t="s">
        <v>167</v>
      </c>
      <c r="BA319" t="s">
        <v>389</v>
      </c>
      <c r="BB319" t="s">
        <v>169</v>
      </c>
      <c r="BC319" t="s">
        <v>170</v>
      </c>
      <c r="BD319" t="s">
        <v>171</v>
      </c>
      <c r="BE319" t="s">
        <v>169</v>
      </c>
      <c r="BF319" s="54" t="s">
        <v>284</v>
      </c>
      <c r="BG319" t="s">
        <v>166</v>
      </c>
      <c r="BH319" t="s">
        <v>390</v>
      </c>
    </row>
    <row r="320" spans="33:60" x14ac:dyDescent="0.25">
      <c r="AH320" s="49"/>
      <c r="AI320" s="49"/>
      <c r="AK320" s="32" t="s">
        <v>49</v>
      </c>
      <c r="AL320" s="54" t="s">
        <v>126</v>
      </c>
      <c r="AM320" s="54" t="s">
        <v>228</v>
      </c>
      <c r="AN320" s="54" t="s">
        <v>229</v>
      </c>
      <c r="AW320" t="s">
        <v>181</v>
      </c>
      <c r="AX320" s="54" t="s">
        <v>284</v>
      </c>
      <c r="AY320">
        <v>11</v>
      </c>
      <c r="AZ320" t="s">
        <v>182</v>
      </c>
      <c r="BA320" t="s">
        <v>391</v>
      </c>
      <c r="BB320" t="s">
        <v>184</v>
      </c>
      <c r="BC320" t="s">
        <v>185</v>
      </c>
      <c r="BD320" t="s">
        <v>186</v>
      </c>
      <c r="BE320" t="s">
        <v>184</v>
      </c>
      <c r="BF320" s="54" t="s">
        <v>284</v>
      </c>
      <c r="BG320" t="s">
        <v>181</v>
      </c>
      <c r="BH320" t="s">
        <v>392</v>
      </c>
    </row>
    <row r="321" spans="33:60" x14ac:dyDescent="0.25">
      <c r="AH321" s="49"/>
      <c r="AI321" s="49"/>
      <c r="AK321" s="32" t="s">
        <v>49</v>
      </c>
      <c r="AL321" s="54" t="s">
        <v>126</v>
      </c>
      <c r="AM321" s="54" t="s">
        <v>232</v>
      </c>
      <c r="AN321" s="54" t="s">
        <v>233</v>
      </c>
      <c r="AW321" t="s">
        <v>195</v>
      </c>
      <c r="AX321" s="54" t="s">
        <v>284</v>
      </c>
      <c r="AY321">
        <v>14</v>
      </c>
      <c r="AZ321" t="s">
        <v>196</v>
      </c>
      <c r="BA321" t="s">
        <v>393</v>
      </c>
      <c r="BB321" t="s">
        <v>198</v>
      </c>
      <c r="BC321" t="s">
        <v>199</v>
      </c>
      <c r="BD321" t="s">
        <v>200</v>
      </c>
      <c r="BE321" t="s">
        <v>198</v>
      </c>
      <c r="BF321" s="54" t="s">
        <v>284</v>
      </c>
      <c r="BG321" t="s">
        <v>195</v>
      </c>
      <c r="BH321" t="s">
        <v>394</v>
      </c>
    </row>
    <row r="322" spans="33:60" x14ac:dyDescent="0.25">
      <c r="AG322" t="s">
        <v>296</v>
      </c>
      <c r="AH322" t="s">
        <v>177</v>
      </c>
      <c r="AI322" t="s">
        <v>178</v>
      </c>
      <c r="AK322" s="32" t="s">
        <v>49</v>
      </c>
      <c r="AL322" s="54" t="s">
        <v>126</v>
      </c>
      <c r="AM322" s="54" t="s">
        <v>237</v>
      </c>
      <c r="AN322" s="54" t="s">
        <v>238</v>
      </c>
      <c r="AW322" t="s">
        <v>208</v>
      </c>
      <c r="AX322" s="54" t="s">
        <v>284</v>
      </c>
      <c r="AY322">
        <v>18</v>
      </c>
      <c r="AZ322" t="s">
        <v>209</v>
      </c>
      <c r="BA322" t="s">
        <v>395</v>
      </c>
      <c r="BB322" t="s">
        <v>211</v>
      </c>
      <c r="BC322" t="s">
        <v>212</v>
      </c>
      <c r="BD322" t="s">
        <v>213</v>
      </c>
      <c r="BE322" t="s">
        <v>211</v>
      </c>
      <c r="BF322" s="54" t="s">
        <v>284</v>
      </c>
      <c r="BG322" t="s">
        <v>208</v>
      </c>
      <c r="BH322" t="s">
        <v>396</v>
      </c>
    </row>
    <row r="323" spans="33:60" x14ac:dyDescent="0.25">
      <c r="AG323" t="s">
        <v>296</v>
      </c>
      <c r="AH323" t="s">
        <v>191</v>
      </c>
      <c r="AI323" t="s">
        <v>192</v>
      </c>
      <c r="AK323" s="32" t="s">
        <v>49</v>
      </c>
      <c r="AL323" s="54" t="s">
        <v>126</v>
      </c>
      <c r="AM323" s="54" t="s">
        <v>242</v>
      </c>
      <c r="AN323" s="54" t="s">
        <v>243</v>
      </c>
      <c r="AW323" t="s">
        <v>52</v>
      </c>
      <c r="AX323" t="s">
        <v>287</v>
      </c>
      <c r="AY323">
        <v>3</v>
      </c>
      <c r="AZ323" t="s">
        <v>54</v>
      </c>
      <c r="BA323" t="s">
        <v>55</v>
      </c>
      <c r="BB323" t="s">
        <v>56</v>
      </c>
      <c r="BC323" t="s">
        <v>57</v>
      </c>
      <c r="BD323" t="s">
        <v>58</v>
      </c>
      <c r="BE323" t="s">
        <v>56</v>
      </c>
      <c r="BF323" t="s">
        <v>287</v>
      </c>
      <c r="BG323" t="s">
        <v>52</v>
      </c>
      <c r="BH323" t="s">
        <v>59</v>
      </c>
    </row>
    <row r="324" spans="33:60" x14ac:dyDescent="0.25">
      <c r="AG324" t="s">
        <v>301</v>
      </c>
      <c r="AH324" t="s">
        <v>39</v>
      </c>
      <c r="AI324">
        <v>1083</v>
      </c>
      <c r="AK324" s="32" t="s">
        <v>49</v>
      </c>
      <c r="AL324" s="54" t="s">
        <v>126</v>
      </c>
      <c r="AM324" s="54" t="s">
        <v>247</v>
      </c>
      <c r="AN324" s="54" t="s">
        <v>248</v>
      </c>
      <c r="AW324" t="s">
        <v>80</v>
      </c>
      <c r="AX324" t="s">
        <v>287</v>
      </c>
      <c r="AY324">
        <v>4</v>
      </c>
      <c r="AZ324" t="s">
        <v>81</v>
      </c>
      <c r="BA324" t="s">
        <v>82</v>
      </c>
      <c r="BB324" t="s">
        <v>83</v>
      </c>
      <c r="BC324" t="s">
        <v>84</v>
      </c>
      <c r="BD324" t="s">
        <v>85</v>
      </c>
      <c r="BE324" t="s">
        <v>83</v>
      </c>
      <c r="BF324" t="s">
        <v>287</v>
      </c>
      <c r="BG324" t="s">
        <v>80</v>
      </c>
      <c r="BH324" t="s">
        <v>86</v>
      </c>
    </row>
    <row r="325" spans="33:60" x14ac:dyDescent="0.25">
      <c r="AG325" t="s">
        <v>301</v>
      </c>
      <c r="AH325" t="s">
        <v>76</v>
      </c>
      <c r="AI325">
        <v>1080</v>
      </c>
      <c r="AK325" s="32" t="s">
        <v>49</v>
      </c>
      <c r="AL325" s="54" t="s">
        <v>126</v>
      </c>
      <c r="AM325" s="54" t="s">
        <v>251</v>
      </c>
      <c r="AN325" s="54" t="s">
        <v>252</v>
      </c>
      <c r="AW325" t="s">
        <v>102</v>
      </c>
      <c r="AX325" t="s">
        <v>287</v>
      </c>
      <c r="AY325">
        <v>5</v>
      </c>
      <c r="AZ325" t="s">
        <v>103</v>
      </c>
      <c r="BA325" t="s">
        <v>104</v>
      </c>
      <c r="BB325" t="s">
        <v>105</v>
      </c>
      <c r="BC325" t="s">
        <v>106</v>
      </c>
      <c r="BD325" t="s">
        <v>107</v>
      </c>
      <c r="BE325" t="s">
        <v>105</v>
      </c>
      <c r="BF325" t="s">
        <v>287</v>
      </c>
      <c r="BG325" t="s">
        <v>102</v>
      </c>
      <c r="BH325" t="s">
        <v>64</v>
      </c>
    </row>
    <row r="326" spans="33:60" x14ac:dyDescent="0.25">
      <c r="AG326" t="s">
        <v>301</v>
      </c>
      <c r="AH326" t="s">
        <v>139</v>
      </c>
      <c r="AI326">
        <v>1080</v>
      </c>
      <c r="AK326" s="32" t="s">
        <v>49</v>
      </c>
      <c r="AL326" s="54" t="s">
        <v>126</v>
      </c>
      <c r="AM326" s="54" t="s">
        <v>255</v>
      </c>
      <c r="AN326" s="54" t="s">
        <v>256</v>
      </c>
      <c r="AW326" t="s">
        <v>114</v>
      </c>
      <c r="AX326" t="s">
        <v>287</v>
      </c>
      <c r="AY326">
        <v>6</v>
      </c>
      <c r="AZ326" t="s">
        <v>115</v>
      </c>
      <c r="BA326" t="s">
        <v>116</v>
      </c>
      <c r="BB326" t="s">
        <v>117</v>
      </c>
      <c r="BC326" t="s">
        <v>118</v>
      </c>
      <c r="BD326" t="s">
        <v>119</v>
      </c>
      <c r="BE326" t="s">
        <v>117</v>
      </c>
      <c r="BF326" t="s">
        <v>287</v>
      </c>
      <c r="BG326" t="s">
        <v>114</v>
      </c>
      <c r="BH326" t="s">
        <v>120</v>
      </c>
    </row>
    <row r="327" spans="33:60" x14ac:dyDescent="0.25">
      <c r="AK327" s="32" t="s">
        <v>49</v>
      </c>
      <c r="AL327" s="54" t="s">
        <v>126</v>
      </c>
      <c r="AM327" s="54" t="s">
        <v>259</v>
      </c>
      <c r="AN327" s="54" t="s">
        <v>260</v>
      </c>
      <c r="AW327" t="s">
        <v>129</v>
      </c>
      <c r="AX327" t="s">
        <v>287</v>
      </c>
      <c r="AY327">
        <v>7</v>
      </c>
      <c r="AZ327" t="s">
        <v>130</v>
      </c>
      <c r="BA327" t="s">
        <v>131</v>
      </c>
      <c r="BB327" t="s">
        <v>132</v>
      </c>
      <c r="BC327" t="s">
        <v>133</v>
      </c>
      <c r="BD327" t="s">
        <v>134</v>
      </c>
      <c r="BE327" t="s">
        <v>132</v>
      </c>
      <c r="BF327" t="s">
        <v>287</v>
      </c>
      <c r="BG327" t="s">
        <v>129</v>
      </c>
      <c r="BH327" t="s">
        <v>135</v>
      </c>
    </row>
    <row r="328" spans="33:60" x14ac:dyDescent="0.25">
      <c r="AG328" t="s">
        <v>301</v>
      </c>
      <c r="AH328" t="s">
        <v>177</v>
      </c>
      <c r="AI328">
        <v>1088</v>
      </c>
      <c r="AK328" s="32" t="s">
        <v>49</v>
      </c>
      <c r="AL328" s="54" t="s">
        <v>126</v>
      </c>
      <c r="AM328" s="54" t="s">
        <v>263</v>
      </c>
      <c r="AN328" s="54" t="s">
        <v>264</v>
      </c>
      <c r="AW328" t="s">
        <v>142</v>
      </c>
      <c r="AX328" t="s">
        <v>287</v>
      </c>
      <c r="AY328">
        <v>8</v>
      </c>
      <c r="AZ328" t="s">
        <v>143</v>
      </c>
      <c r="BA328" t="s">
        <v>144</v>
      </c>
      <c r="BB328" t="s">
        <v>145</v>
      </c>
      <c r="BC328" t="s">
        <v>146</v>
      </c>
      <c r="BD328" t="s">
        <v>147</v>
      </c>
      <c r="BE328" t="s">
        <v>145</v>
      </c>
      <c r="BF328" t="s">
        <v>287</v>
      </c>
      <c r="BG328" t="s">
        <v>142</v>
      </c>
      <c r="BH328" t="s">
        <v>148</v>
      </c>
    </row>
    <row r="329" spans="33:60" x14ac:dyDescent="0.25">
      <c r="AG329" t="s">
        <v>301</v>
      </c>
      <c r="AH329" t="s">
        <v>191</v>
      </c>
      <c r="AI329">
        <v>1190</v>
      </c>
      <c r="AK329" s="32" t="s">
        <v>49</v>
      </c>
      <c r="AL329" s="54" t="s">
        <v>126</v>
      </c>
      <c r="AM329" s="54" t="s">
        <v>267</v>
      </c>
      <c r="AN329" s="54" t="s">
        <v>268</v>
      </c>
      <c r="AW329" t="s">
        <v>154</v>
      </c>
      <c r="AX329" t="s">
        <v>287</v>
      </c>
      <c r="AY329">
        <v>9</v>
      </c>
      <c r="AZ329" t="s">
        <v>155</v>
      </c>
      <c r="BA329" t="s">
        <v>156</v>
      </c>
      <c r="BB329" t="s">
        <v>157</v>
      </c>
      <c r="BC329" t="s">
        <v>158</v>
      </c>
      <c r="BD329" t="s">
        <v>159</v>
      </c>
      <c r="BE329" t="s">
        <v>157</v>
      </c>
      <c r="BF329" t="s">
        <v>287</v>
      </c>
      <c r="BG329" t="s">
        <v>154</v>
      </c>
      <c r="BH329" t="s">
        <v>89</v>
      </c>
    </row>
    <row r="330" spans="33:60" x14ac:dyDescent="0.25">
      <c r="AG330" t="s">
        <v>305</v>
      </c>
      <c r="AH330" t="s">
        <v>39</v>
      </c>
      <c r="AI330">
        <v>15</v>
      </c>
      <c r="AK330" s="32" t="s">
        <v>49</v>
      </c>
      <c r="AL330" s="54" t="s">
        <v>126</v>
      </c>
      <c r="AM330" s="54" t="s">
        <v>271</v>
      </c>
      <c r="AN330" s="54" t="s">
        <v>272</v>
      </c>
      <c r="AW330" t="s">
        <v>166</v>
      </c>
      <c r="AX330" t="s">
        <v>287</v>
      </c>
      <c r="AY330">
        <v>10</v>
      </c>
      <c r="AZ330" t="s">
        <v>167</v>
      </c>
      <c r="BA330" t="s">
        <v>168</v>
      </c>
      <c r="BB330" t="s">
        <v>169</v>
      </c>
      <c r="BC330" t="s">
        <v>170</v>
      </c>
      <c r="BD330" t="s">
        <v>171</v>
      </c>
      <c r="BE330" t="s">
        <v>169</v>
      </c>
      <c r="BF330" t="s">
        <v>287</v>
      </c>
      <c r="BG330" t="s">
        <v>166</v>
      </c>
      <c r="BH330" t="s">
        <v>172</v>
      </c>
    </row>
    <row r="331" spans="33:60" x14ac:dyDescent="0.25">
      <c r="AG331" t="s">
        <v>305</v>
      </c>
      <c r="AH331" s="49" t="s">
        <v>76</v>
      </c>
      <c r="AI331" s="49" t="s">
        <v>398</v>
      </c>
      <c r="AK331" s="32" t="s">
        <v>49</v>
      </c>
      <c r="AL331" s="54" t="s">
        <v>126</v>
      </c>
      <c r="AM331" s="54" t="s">
        <v>274</v>
      </c>
      <c r="AN331" s="54" t="s">
        <v>275</v>
      </c>
      <c r="AW331" t="s">
        <v>181</v>
      </c>
      <c r="AX331" t="s">
        <v>287</v>
      </c>
      <c r="AY331">
        <v>11</v>
      </c>
      <c r="AZ331" t="s">
        <v>182</v>
      </c>
      <c r="BA331" t="s">
        <v>183</v>
      </c>
      <c r="BB331" t="s">
        <v>184</v>
      </c>
      <c r="BC331" t="s">
        <v>185</v>
      </c>
      <c r="BD331" t="s">
        <v>186</v>
      </c>
      <c r="BE331" t="s">
        <v>184</v>
      </c>
      <c r="BF331" t="s">
        <v>287</v>
      </c>
      <c r="BG331" t="s">
        <v>181</v>
      </c>
      <c r="BH331" t="s">
        <v>187</v>
      </c>
    </row>
    <row r="332" spans="33:60" x14ac:dyDescent="0.25">
      <c r="AH332" s="49"/>
      <c r="AI332" s="49"/>
      <c r="AK332" s="32" t="s">
        <v>49</v>
      </c>
      <c r="AL332" s="54" t="s">
        <v>126</v>
      </c>
      <c r="AM332" s="54" t="s">
        <v>277</v>
      </c>
      <c r="AN332" s="54" t="s">
        <v>278</v>
      </c>
      <c r="AW332" t="s">
        <v>195</v>
      </c>
      <c r="AX332" t="s">
        <v>287</v>
      </c>
      <c r="AY332">
        <v>14</v>
      </c>
      <c r="AZ332" t="s">
        <v>196</v>
      </c>
      <c r="BA332" t="s">
        <v>197</v>
      </c>
      <c r="BB332" t="s">
        <v>198</v>
      </c>
      <c r="BC332" t="s">
        <v>199</v>
      </c>
      <c r="BD332" t="s">
        <v>200</v>
      </c>
      <c r="BE332" t="s">
        <v>198</v>
      </c>
      <c r="BF332" t="s">
        <v>287</v>
      </c>
      <c r="BG332" t="s">
        <v>195</v>
      </c>
      <c r="BH332" t="s">
        <v>201</v>
      </c>
    </row>
    <row r="333" spans="33:60" x14ac:dyDescent="0.25">
      <c r="AH333" s="49"/>
      <c r="AI333" s="49"/>
      <c r="AK333" s="32" t="s">
        <v>49</v>
      </c>
      <c r="AL333" s="54" t="s">
        <v>126</v>
      </c>
      <c r="AM333" s="54" t="s">
        <v>281</v>
      </c>
      <c r="AN333" s="54" t="s">
        <v>282</v>
      </c>
      <c r="AW333" t="s">
        <v>208</v>
      </c>
      <c r="AX333" t="s">
        <v>287</v>
      </c>
      <c r="AY333">
        <v>18</v>
      </c>
      <c r="AZ333" t="s">
        <v>209</v>
      </c>
      <c r="BA333" t="s">
        <v>210</v>
      </c>
      <c r="BB333" t="s">
        <v>211</v>
      </c>
      <c r="BC333" t="s">
        <v>212</v>
      </c>
      <c r="BD333" t="s">
        <v>213</v>
      </c>
      <c r="BE333" t="s">
        <v>211</v>
      </c>
      <c r="BF333" t="s">
        <v>287</v>
      </c>
      <c r="BG333" t="s">
        <v>208</v>
      </c>
      <c r="BH333" t="s">
        <v>214</v>
      </c>
    </row>
    <row r="334" spans="33:60" x14ac:dyDescent="0.25">
      <c r="AH334" s="49"/>
      <c r="AI334" s="49"/>
      <c r="AK334" s="32" t="s">
        <v>49</v>
      </c>
      <c r="AL334" s="54" t="s">
        <v>126</v>
      </c>
      <c r="AM334" s="54" t="s">
        <v>285</v>
      </c>
      <c r="AN334" s="54" t="s">
        <v>286</v>
      </c>
      <c r="AW334" t="s">
        <v>52</v>
      </c>
      <c r="AX334" s="54" t="s">
        <v>291</v>
      </c>
      <c r="AY334">
        <v>3</v>
      </c>
      <c r="AZ334" t="s">
        <v>54</v>
      </c>
      <c r="BA334" t="s">
        <v>55</v>
      </c>
      <c r="BB334" t="s">
        <v>56</v>
      </c>
      <c r="BC334" t="s">
        <v>57</v>
      </c>
      <c r="BD334" t="s">
        <v>58</v>
      </c>
      <c r="BE334" t="s">
        <v>56</v>
      </c>
      <c r="BF334" s="54" t="s">
        <v>291</v>
      </c>
      <c r="BG334" t="s">
        <v>52</v>
      </c>
      <c r="BH334" t="s">
        <v>59</v>
      </c>
    </row>
    <row r="335" spans="33:60" x14ac:dyDescent="0.25">
      <c r="AH335" s="49"/>
      <c r="AI335" s="49"/>
      <c r="AK335" s="32" t="s">
        <v>49</v>
      </c>
      <c r="AL335" s="54" t="s">
        <v>126</v>
      </c>
      <c r="AM335" s="54" t="s">
        <v>288</v>
      </c>
      <c r="AN335" s="54" t="s">
        <v>289</v>
      </c>
      <c r="AW335" t="s">
        <v>80</v>
      </c>
      <c r="AX335" s="54" t="s">
        <v>291</v>
      </c>
      <c r="AY335">
        <v>4</v>
      </c>
      <c r="AZ335" t="s">
        <v>81</v>
      </c>
      <c r="BA335" t="s">
        <v>82</v>
      </c>
      <c r="BB335" t="s">
        <v>83</v>
      </c>
      <c r="BC335" t="s">
        <v>84</v>
      </c>
      <c r="BD335" t="s">
        <v>85</v>
      </c>
      <c r="BE335" t="s">
        <v>83</v>
      </c>
      <c r="BF335" s="54" t="s">
        <v>291</v>
      </c>
      <c r="BG335" t="s">
        <v>80</v>
      </c>
      <c r="BH335" t="s">
        <v>86</v>
      </c>
    </row>
    <row r="336" spans="33:60" x14ac:dyDescent="0.25">
      <c r="AG336" t="s">
        <v>305</v>
      </c>
      <c r="AH336" t="s">
        <v>139</v>
      </c>
      <c r="AI336">
        <v>15</v>
      </c>
      <c r="AK336" s="32" t="s">
        <v>49</v>
      </c>
      <c r="AL336" s="54" t="s">
        <v>126</v>
      </c>
      <c r="AM336" s="54" t="s">
        <v>292</v>
      </c>
      <c r="AN336" s="54" t="s">
        <v>293</v>
      </c>
      <c r="AW336" t="s">
        <v>102</v>
      </c>
      <c r="AX336" s="54" t="s">
        <v>291</v>
      </c>
      <c r="AY336">
        <v>5</v>
      </c>
      <c r="AZ336" t="s">
        <v>103</v>
      </c>
      <c r="BA336" t="s">
        <v>104</v>
      </c>
      <c r="BB336" t="s">
        <v>105</v>
      </c>
      <c r="BC336" t="s">
        <v>106</v>
      </c>
      <c r="BD336" t="s">
        <v>107</v>
      </c>
      <c r="BE336" t="s">
        <v>105</v>
      </c>
      <c r="BF336" s="54" t="s">
        <v>291</v>
      </c>
      <c r="BG336" t="s">
        <v>102</v>
      </c>
      <c r="BH336" t="s">
        <v>64</v>
      </c>
    </row>
    <row r="337" spans="33:60" x14ac:dyDescent="0.25">
      <c r="AK337" s="32" t="s">
        <v>49</v>
      </c>
      <c r="AL337" s="54" t="s">
        <v>126</v>
      </c>
      <c r="AM337" s="54" t="s">
        <v>297</v>
      </c>
      <c r="AN337" s="54" t="s">
        <v>298</v>
      </c>
      <c r="AW337" t="s">
        <v>114</v>
      </c>
      <c r="AX337" s="54" t="s">
        <v>291</v>
      </c>
      <c r="AY337">
        <v>6</v>
      </c>
      <c r="AZ337" t="s">
        <v>115</v>
      </c>
      <c r="BA337" t="s">
        <v>116</v>
      </c>
      <c r="BB337" t="s">
        <v>117</v>
      </c>
      <c r="BC337" t="s">
        <v>118</v>
      </c>
      <c r="BD337" t="s">
        <v>119</v>
      </c>
      <c r="BE337" t="s">
        <v>117</v>
      </c>
      <c r="BF337" s="54" t="s">
        <v>291</v>
      </c>
      <c r="BG337" t="s">
        <v>114</v>
      </c>
      <c r="BH337" t="s">
        <v>120</v>
      </c>
    </row>
    <row r="338" spans="33:60" x14ac:dyDescent="0.25">
      <c r="AG338" t="s">
        <v>305</v>
      </c>
      <c r="AH338" t="s">
        <v>177</v>
      </c>
      <c r="AI338">
        <v>13</v>
      </c>
      <c r="AK338" s="32" t="s">
        <v>49</v>
      </c>
      <c r="AL338" s="54" t="s">
        <v>126</v>
      </c>
      <c r="AM338" s="54" t="s">
        <v>302</v>
      </c>
      <c r="AN338" s="54" t="s">
        <v>303</v>
      </c>
      <c r="AW338" t="s">
        <v>129</v>
      </c>
      <c r="AX338" s="54" t="s">
        <v>291</v>
      </c>
      <c r="AY338">
        <v>7</v>
      </c>
      <c r="AZ338" t="s">
        <v>130</v>
      </c>
      <c r="BA338" t="s">
        <v>131</v>
      </c>
      <c r="BB338" t="s">
        <v>132</v>
      </c>
      <c r="BC338" t="s">
        <v>133</v>
      </c>
      <c r="BD338" t="s">
        <v>134</v>
      </c>
      <c r="BE338" t="s">
        <v>132</v>
      </c>
      <c r="BF338" s="54" t="s">
        <v>291</v>
      </c>
      <c r="BG338" t="s">
        <v>129</v>
      </c>
      <c r="BH338" t="s">
        <v>135</v>
      </c>
    </row>
    <row r="339" spans="33:60" x14ac:dyDescent="0.25">
      <c r="AG339" t="s">
        <v>305</v>
      </c>
      <c r="AH339" t="s">
        <v>191</v>
      </c>
      <c r="AI339">
        <v>15</v>
      </c>
      <c r="AK339" s="32" t="s">
        <v>49</v>
      </c>
      <c r="AL339" s="54" t="s">
        <v>126</v>
      </c>
      <c r="AM339" s="54" t="s">
        <v>306</v>
      </c>
      <c r="AN339" s="54" t="s">
        <v>307</v>
      </c>
      <c r="AW339" t="s">
        <v>142</v>
      </c>
      <c r="AX339" s="54" t="s">
        <v>291</v>
      </c>
      <c r="AY339">
        <v>8</v>
      </c>
      <c r="AZ339" t="s">
        <v>143</v>
      </c>
      <c r="BA339" t="s">
        <v>144</v>
      </c>
      <c r="BB339" t="s">
        <v>145</v>
      </c>
      <c r="BC339" t="s">
        <v>146</v>
      </c>
      <c r="BD339" t="s">
        <v>147</v>
      </c>
      <c r="BE339" t="s">
        <v>145</v>
      </c>
      <c r="BF339" s="54" t="s">
        <v>291</v>
      </c>
      <c r="BG339" t="s">
        <v>142</v>
      </c>
      <c r="BH339" t="s">
        <v>148</v>
      </c>
    </row>
    <row r="340" spans="33:60" x14ac:dyDescent="0.25">
      <c r="AG340" t="s">
        <v>309</v>
      </c>
      <c r="AH340" t="s">
        <v>39</v>
      </c>
      <c r="AI340">
        <v>2429</v>
      </c>
      <c r="AK340" s="32" t="s">
        <v>49</v>
      </c>
      <c r="AL340" s="54" t="s">
        <v>126</v>
      </c>
      <c r="AM340" s="54" t="s">
        <v>310</v>
      </c>
      <c r="AN340" s="54" t="s">
        <v>311</v>
      </c>
      <c r="AW340" t="s">
        <v>154</v>
      </c>
      <c r="AX340" s="54" t="s">
        <v>291</v>
      </c>
      <c r="AY340">
        <v>9</v>
      </c>
      <c r="AZ340" t="s">
        <v>155</v>
      </c>
      <c r="BA340" t="s">
        <v>156</v>
      </c>
      <c r="BB340" t="s">
        <v>157</v>
      </c>
      <c r="BC340" t="s">
        <v>158</v>
      </c>
      <c r="BD340" t="s">
        <v>159</v>
      </c>
      <c r="BE340" t="s">
        <v>157</v>
      </c>
      <c r="BF340" s="54" t="s">
        <v>291</v>
      </c>
      <c r="BG340" t="s">
        <v>154</v>
      </c>
      <c r="BH340" t="s">
        <v>89</v>
      </c>
    </row>
    <row r="341" spans="33:60" x14ac:dyDescent="0.25">
      <c r="AG341" t="s">
        <v>309</v>
      </c>
      <c r="AH341" s="49" t="s">
        <v>76</v>
      </c>
      <c r="AI341" s="49" t="s">
        <v>77</v>
      </c>
      <c r="AK341" s="32" t="s">
        <v>49</v>
      </c>
      <c r="AL341" s="54" t="s">
        <v>126</v>
      </c>
      <c r="AM341" s="54" t="s">
        <v>314</v>
      </c>
      <c r="AN341" s="54" t="s">
        <v>315</v>
      </c>
      <c r="AW341" t="s">
        <v>166</v>
      </c>
      <c r="AX341" s="54" t="s">
        <v>291</v>
      </c>
      <c r="AY341">
        <v>10</v>
      </c>
      <c r="AZ341" t="s">
        <v>167</v>
      </c>
      <c r="BA341" t="s">
        <v>168</v>
      </c>
      <c r="BB341" t="s">
        <v>169</v>
      </c>
      <c r="BC341" t="s">
        <v>170</v>
      </c>
      <c r="BD341" t="s">
        <v>171</v>
      </c>
      <c r="BE341" t="s">
        <v>169</v>
      </c>
      <c r="BF341" s="54" t="s">
        <v>291</v>
      </c>
      <c r="BG341" t="s">
        <v>166</v>
      </c>
      <c r="BH341" t="s">
        <v>172</v>
      </c>
    </row>
    <row r="342" spans="33:60" x14ac:dyDescent="0.25">
      <c r="AH342" s="49"/>
      <c r="AI342" s="49"/>
      <c r="AK342" s="32" t="s">
        <v>49</v>
      </c>
      <c r="AL342" s="54" t="s">
        <v>126</v>
      </c>
      <c r="AM342" s="54" t="s">
        <v>318</v>
      </c>
      <c r="AN342" s="54" t="s">
        <v>319</v>
      </c>
      <c r="AW342" t="s">
        <v>181</v>
      </c>
      <c r="AX342" s="54" t="s">
        <v>291</v>
      </c>
      <c r="AY342">
        <v>11</v>
      </c>
      <c r="AZ342" t="s">
        <v>182</v>
      </c>
      <c r="BA342" t="s">
        <v>183</v>
      </c>
      <c r="BB342" t="s">
        <v>184</v>
      </c>
      <c r="BC342" t="s">
        <v>185</v>
      </c>
      <c r="BD342" t="s">
        <v>186</v>
      </c>
      <c r="BE342" t="s">
        <v>184</v>
      </c>
      <c r="BF342" s="54" t="s">
        <v>291</v>
      </c>
      <c r="BG342" t="s">
        <v>181</v>
      </c>
      <c r="BH342" t="s">
        <v>187</v>
      </c>
    </row>
    <row r="343" spans="33:60" x14ac:dyDescent="0.25">
      <c r="AH343" s="49"/>
      <c r="AI343" s="49"/>
      <c r="AK343" s="32" t="s">
        <v>49</v>
      </c>
      <c r="AL343" s="54" t="s">
        <v>126</v>
      </c>
      <c r="AM343" s="54" t="s">
        <v>321</v>
      </c>
      <c r="AN343" s="54" t="s">
        <v>322</v>
      </c>
      <c r="AW343" t="s">
        <v>195</v>
      </c>
      <c r="AX343" s="54" t="s">
        <v>291</v>
      </c>
      <c r="AY343">
        <v>14</v>
      </c>
      <c r="AZ343" t="s">
        <v>196</v>
      </c>
      <c r="BA343" t="s">
        <v>197</v>
      </c>
      <c r="BB343" t="s">
        <v>198</v>
      </c>
      <c r="BC343" t="s">
        <v>199</v>
      </c>
      <c r="BD343" t="s">
        <v>200</v>
      </c>
      <c r="BE343" t="s">
        <v>198</v>
      </c>
      <c r="BF343" s="54" t="s">
        <v>291</v>
      </c>
      <c r="BG343" t="s">
        <v>195</v>
      </c>
      <c r="BH343" t="s">
        <v>201</v>
      </c>
    </row>
    <row r="344" spans="33:60" x14ac:dyDescent="0.25">
      <c r="AH344" s="49"/>
      <c r="AI344" s="49"/>
      <c r="AK344" s="32" t="s">
        <v>49</v>
      </c>
      <c r="AL344" s="54" t="s">
        <v>126</v>
      </c>
      <c r="AM344" t="s">
        <v>325</v>
      </c>
      <c r="AN344" t="s">
        <v>326</v>
      </c>
      <c r="AW344" t="s">
        <v>208</v>
      </c>
      <c r="AX344" s="54" t="s">
        <v>291</v>
      </c>
      <c r="AY344">
        <v>18</v>
      </c>
      <c r="AZ344" t="s">
        <v>209</v>
      </c>
      <c r="BA344" t="s">
        <v>210</v>
      </c>
      <c r="BB344" t="s">
        <v>211</v>
      </c>
      <c r="BC344" t="s">
        <v>212</v>
      </c>
      <c r="BD344" t="s">
        <v>213</v>
      </c>
      <c r="BE344" t="s">
        <v>211</v>
      </c>
      <c r="BF344" s="54" t="s">
        <v>291</v>
      </c>
      <c r="BG344" t="s">
        <v>208</v>
      </c>
      <c r="BH344" t="s">
        <v>214</v>
      </c>
    </row>
    <row r="345" spans="33:60" x14ac:dyDescent="0.25">
      <c r="AG345" t="s">
        <v>309</v>
      </c>
      <c r="AH345" t="s">
        <v>139</v>
      </c>
      <c r="AI345">
        <v>2429</v>
      </c>
      <c r="AK345" s="32" t="s">
        <v>49</v>
      </c>
      <c r="AL345" s="54" t="s">
        <v>126</v>
      </c>
      <c r="AM345" t="s">
        <v>327</v>
      </c>
      <c r="AN345" t="s">
        <v>328</v>
      </c>
      <c r="AW345" t="s">
        <v>52</v>
      </c>
      <c r="AX345" t="s">
        <v>296</v>
      </c>
      <c r="AY345">
        <v>3</v>
      </c>
      <c r="AZ345" t="s">
        <v>54</v>
      </c>
      <c r="BA345" t="s">
        <v>374</v>
      </c>
      <c r="BB345" t="s">
        <v>56</v>
      </c>
      <c r="BC345" t="s">
        <v>57</v>
      </c>
      <c r="BD345" t="s">
        <v>58</v>
      </c>
      <c r="BE345" t="s">
        <v>56</v>
      </c>
      <c r="BF345" t="s">
        <v>296</v>
      </c>
      <c r="BG345" t="s">
        <v>52</v>
      </c>
      <c r="BH345" t="s">
        <v>375</v>
      </c>
    </row>
    <row r="346" spans="33:60" x14ac:dyDescent="0.25">
      <c r="AH346" s="49"/>
      <c r="AI346" s="49"/>
      <c r="AK346" s="32" t="s">
        <v>49</v>
      </c>
      <c r="AL346" s="54" t="s">
        <v>126</v>
      </c>
      <c r="AM346" t="s">
        <v>329</v>
      </c>
      <c r="AN346" t="s">
        <v>330</v>
      </c>
      <c r="AW346" t="s">
        <v>80</v>
      </c>
      <c r="AX346" t="s">
        <v>296</v>
      </c>
      <c r="AY346">
        <v>4</v>
      </c>
      <c r="AZ346" t="s">
        <v>81</v>
      </c>
      <c r="BA346" t="s">
        <v>376</v>
      </c>
      <c r="BB346" t="s">
        <v>83</v>
      </c>
      <c r="BC346" t="s">
        <v>84</v>
      </c>
      <c r="BD346" t="s">
        <v>85</v>
      </c>
      <c r="BE346" t="s">
        <v>83</v>
      </c>
      <c r="BF346" t="s">
        <v>296</v>
      </c>
      <c r="BG346" t="s">
        <v>80</v>
      </c>
      <c r="BH346" t="s">
        <v>377</v>
      </c>
    </row>
    <row r="347" spans="33:60" x14ac:dyDescent="0.25">
      <c r="AH347" s="49"/>
      <c r="AI347" s="49"/>
      <c r="AK347" s="32" t="s">
        <v>49</v>
      </c>
      <c r="AL347" s="54" t="s">
        <v>126</v>
      </c>
      <c r="AM347" t="s">
        <v>331</v>
      </c>
      <c r="AN347" t="s">
        <v>332</v>
      </c>
      <c r="AW347" t="s">
        <v>102</v>
      </c>
      <c r="AX347" t="s">
        <v>296</v>
      </c>
      <c r="AY347">
        <v>5</v>
      </c>
      <c r="AZ347" t="s">
        <v>103</v>
      </c>
      <c r="BA347" t="s">
        <v>378</v>
      </c>
      <c r="BB347" t="s">
        <v>105</v>
      </c>
      <c r="BC347" t="s">
        <v>106</v>
      </c>
      <c r="BD347" t="s">
        <v>107</v>
      </c>
      <c r="BE347" t="s">
        <v>105</v>
      </c>
      <c r="BF347" t="s">
        <v>296</v>
      </c>
      <c r="BG347" t="s">
        <v>102</v>
      </c>
      <c r="BH347" t="s">
        <v>379</v>
      </c>
    </row>
    <row r="348" spans="33:60" x14ac:dyDescent="0.25">
      <c r="AG348" t="s">
        <v>309</v>
      </c>
      <c r="AH348" t="s">
        <v>177</v>
      </c>
      <c r="AI348" t="s">
        <v>178</v>
      </c>
      <c r="AK348" s="32" t="s">
        <v>49</v>
      </c>
      <c r="AL348" s="54" t="s">
        <v>126</v>
      </c>
      <c r="AM348" t="s">
        <v>333</v>
      </c>
      <c r="AN348" t="s">
        <v>334</v>
      </c>
      <c r="AW348" t="s">
        <v>114</v>
      </c>
      <c r="AX348" t="s">
        <v>296</v>
      </c>
      <c r="AY348">
        <v>6</v>
      </c>
      <c r="AZ348" t="s">
        <v>115</v>
      </c>
      <c r="BA348" t="s">
        <v>380</v>
      </c>
      <c r="BB348" t="s">
        <v>117</v>
      </c>
      <c r="BC348" t="s">
        <v>118</v>
      </c>
      <c r="BD348" t="s">
        <v>119</v>
      </c>
      <c r="BE348" t="s">
        <v>117</v>
      </c>
      <c r="BF348" t="s">
        <v>296</v>
      </c>
      <c r="BG348" t="s">
        <v>114</v>
      </c>
      <c r="BH348" t="s">
        <v>381</v>
      </c>
    </row>
    <row r="349" spans="33:60" x14ac:dyDescent="0.25">
      <c r="AG349" t="s">
        <v>309</v>
      </c>
      <c r="AH349" t="s">
        <v>191</v>
      </c>
      <c r="AI349" t="s">
        <v>192</v>
      </c>
      <c r="AK349" s="32" t="s">
        <v>49</v>
      </c>
      <c r="AL349" s="54" t="s">
        <v>126</v>
      </c>
      <c r="AM349" t="s">
        <v>335</v>
      </c>
      <c r="AN349" t="s">
        <v>336</v>
      </c>
      <c r="AW349" t="s">
        <v>129</v>
      </c>
      <c r="AX349" t="s">
        <v>296</v>
      </c>
      <c r="AY349">
        <v>7</v>
      </c>
      <c r="AZ349" t="s">
        <v>130</v>
      </c>
      <c r="BA349" t="s">
        <v>382</v>
      </c>
      <c r="BB349" t="s">
        <v>132</v>
      </c>
      <c r="BC349" t="s">
        <v>133</v>
      </c>
      <c r="BD349" t="s">
        <v>134</v>
      </c>
      <c r="BE349" t="s">
        <v>132</v>
      </c>
      <c r="BF349" t="s">
        <v>296</v>
      </c>
      <c r="BG349" t="s">
        <v>129</v>
      </c>
      <c r="BH349" t="s">
        <v>383</v>
      </c>
    </row>
    <row r="350" spans="33:60" x14ac:dyDescent="0.25">
      <c r="AG350" t="s">
        <v>313</v>
      </c>
      <c r="AH350" s="18" t="s">
        <v>39</v>
      </c>
      <c r="AI350">
        <v>130</v>
      </c>
      <c r="AK350" s="32" t="s">
        <v>49</v>
      </c>
      <c r="AL350" s="54" t="s">
        <v>126</v>
      </c>
      <c r="AM350" t="s">
        <v>337</v>
      </c>
      <c r="AN350" t="s">
        <v>338</v>
      </c>
      <c r="AW350" t="s">
        <v>142</v>
      </c>
      <c r="AX350" t="s">
        <v>296</v>
      </c>
      <c r="AY350">
        <v>8</v>
      </c>
      <c r="AZ350" t="s">
        <v>143</v>
      </c>
      <c r="BA350" t="s">
        <v>384</v>
      </c>
      <c r="BB350" t="s">
        <v>145</v>
      </c>
      <c r="BC350" t="s">
        <v>146</v>
      </c>
      <c r="BD350" t="s">
        <v>147</v>
      </c>
      <c r="BE350" t="s">
        <v>145</v>
      </c>
      <c r="BF350" t="s">
        <v>296</v>
      </c>
      <c r="BG350" t="s">
        <v>142</v>
      </c>
      <c r="BH350" t="s">
        <v>385</v>
      </c>
    </row>
    <row r="351" spans="33:60" x14ac:dyDescent="0.25">
      <c r="AH351" s="18"/>
      <c r="AK351" s="32" t="s">
        <v>49</v>
      </c>
      <c r="AL351" s="54" t="s">
        <v>126</v>
      </c>
      <c r="AM351" t="s">
        <v>340</v>
      </c>
      <c r="AN351" t="s">
        <v>341</v>
      </c>
      <c r="AW351" t="s">
        <v>154</v>
      </c>
      <c r="AX351" t="s">
        <v>296</v>
      </c>
      <c r="AY351">
        <v>9</v>
      </c>
      <c r="AZ351" t="s">
        <v>155</v>
      </c>
      <c r="BA351" t="s">
        <v>387</v>
      </c>
      <c r="BB351" t="s">
        <v>157</v>
      </c>
      <c r="BC351" t="s">
        <v>158</v>
      </c>
      <c r="BD351" t="s">
        <v>159</v>
      </c>
      <c r="BE351" t="s">
        <v>157</v>
      </c>
      <c r="BF351" t="s">
        <v>296</v>
      </c>
      <c r="BG351" t="s">
        <v>154</v>
      </c>
      <c r="BH351" t="s">
        <v>388</v>
      </c>
    </row>
    <row r="352" spans="33:60" x14ac:dyDescent="0.25">
      <c r="AG352" t="s">
        <v>313</v>
      </c>
      <c r="AH352" t="s">
        <v>76</v>
      </c>
      <c r="AI352">
        <v>114</v>
      </c>
      <c r="AK352" s="32" t="s">
        <v>49</v>
      </c>
      <c r="AL352" s="54" t="s">
        <v>126</v>
      </c>
      <c r="AM352" t="s">
        <v>342</v>
      </c>
      <c r="AN352" t="s">
        <v>343</v>
      </c>
      <c r="AW352" t="s">
        <v>166</v>
      </c>
      <c r="AX352" t="s">
        <v>296</v>
      </c>
      <c r="AY352">
        <v>10</v>
      </c>
      <c r="AZ352" t="s">
        <v>167</v>
      </c>
      <c r="BA352" t="s">
        <v>389</v>
      </c>
      <c r="BB352" t="s">
        <v>169</v>
      </c>
      <c r="BC352" t="s">
        <v>170</v>
      </c>
      <c r="BD352" t="s">
        <v>171</v>
      </c>
      <c r="BE352" t="s">
        <v>169</v>
      </c>
      <c r="BF352" t="s">
        <v>296</v>
      </c>
      <c r="BG352" t="s">
        <v>166</v>
      </c>
      <c r="BH352" t="s">
        <v>390</v>
      </c>
    </row>
    <row r="353" spans="33:60" x14ac:dyDescent="0.25">
      <c r="AG353" t="s">
        <v>313</v>
      </c>
      <c r="AH353" s="18" t="s">
        <v>139</v>
      </c>
      <c r="AI353">
        <v>130</v>
      </c>
      <c r="AK353" s="32" t="s">
        <v>49</v>
      </c>
      <c r="AL353" s="54" t="s">
        <v>126</v>
      </c>
      <c r="AM353" t="s">
        <v>344</v>
      </c>
      <c r="AN353" t="s">
        <v>345</v>
      </c>
      <c r="AW353" t="s">
        <v>181</v>
      </c>
      <c r="AX353" t="s">
        <v>296</v>
      </c>
      <c r="AY353">
        <v>11</v>
      </c>
      <c r="AZ353" t="s">
        <v>182</v>
      </c>
      <c r="BA353" t="s">
        <v>391</v>
      </c>
      <c r="BB353" t="s">
        <v>184</v>
      </c>
      <c r="BC353" t="s">
        <v>185</v>
      </c>
      <c r="BD353" t="s">
        <v>186</v>
      </c>
      <c r="BE353" t="s">
        <v>184</v>
      </c>
      <c r="BF353" t="s">
        <v>296</v>
      </c>
      <c r="BG353" t="s">
        <v>181</v>
      </c>
      <c r="BH353" t="s">
        <v>392</v>
      </c>
    </row>
    <row r="354" spans="33:60" x14ac:dyDescent="0.25">
      <c r="AH354" s="18"/>
      <c r="AK354" s="32" t="s">
        <v>49</v>
      </c>
      <c r="AL354" s="54" t="s">
        <v>126</v>
      </c>
      <c r="AM354" t="s">
        <v>346</v>
      </c>
      <c r="AN354" t="s">
        <v>347</v>
      </c>
      <c r="AW354" t="s">
        <v>195</v>
      </c>
      <c r="AX354" t="s">
        <v>296</v>
      </c>
      <c r="AY354">
        <v>14</v>
      </c>
      <c r="AZ354" t="s">
        <v>196</v>
      </c>
      <c r="BA354" t="s">
        <v>393</v>
      </c>
      <c r="BB354" t="s">
        <v>198</v>
      </c>
      <c r="BC354" t="s">
        <v>199</v>
      </c>
      <c r="BD354" t="s">
        <v>200</v>
      </c>
      <c r="BE354" t="s">
        <v>198</v>
      </c>
      <c r="BF354" t="s">
        <v>296</v>
      </c>
      <c r="BG354" t="s">
        <v>195</v>
      </c>
      <c r="BH354" t="s">
        <v>394</v>
      </c>
    </row>
    <row r="355" spans="33:60" x14ac:dyDescent="0.25">
      <c r="AH355" s="18"/>
      <c r="AK355" s="32" t="s">
        <v>49</v>
      </c>
      <c r="AL355" s="54" t="s">
        <v>126</v>
      </c>
      <c r="AM355" t="s">
        <v>348</v>
      </c>
      <c r="AN355" t="s">
        <v>349</v>
      </c>
      <c r="AW355" t="s">
        <v>208</v>
      </c>
      <c r="AX355" t="s">
        <v>296</v>
      </c>
      <c r="AY355">
        <v>18</v>
      </c>
      <c r="AZ355" t="s">
        <v>209</v>
      </c>
      <c r="BA355" t="s">
        <v>395</v>
      </c>
      <c r="BB355" t="s">
        <v>211</v>
      </c>
      <c r="BC355" t="s">
        <v>212</v>
      </c>
      <c r="BD355" t="s">
        <v>213</v>
      </c>
      <c r="BE355" t="s">
        <v>211</v>
      </c>
      <c r="BF355" t="s">
        <v>296</v>
      </c>
      <c r="BG355" t="s">
        <v>208</v>
      </c>
      <c r="BH355" t="s">
        <v>396</v>
      </c>
    </row>
    <row r="356" spans="33:60" x14ac:dyDescent="0.25">
      <c r="AH356" s="18"/>
      <c r="AK356" s="32" t="s">
        <v>49</v>
      </c>
      <c r="AL356" s="54" t="s">
        <v>126</v>
      </c>
      <c r="AM356" t="s">
        <v>350</v>
      </c>
      <c r="AN356" t="s">
        <v>351</v>
      </c>
      <c r="AW356" t="s">
        <v>52</v>
      </c>
      <c r="AX356" t="s">
        <v>301</v>
      </c>
      <c r="AY356" s="54">
        <v>3</v>
      </c>
      <c r="AZ356" s="54" t="s">
        <v>55</v>
      </c>
      <c r="BA356" s="54" t="s">
        <v>399</v>
      </c>
      <c r="BB356" s="56"/>
      <c r="BC356" s="54" t="s">
        <v>57</v>
      </c>
      <c r="BD356" s="54" t="s">
        <v>400</v>
      </c>
      <c r="BE356" s="56"/>
      <c r="BF356" t="s">
        <v>301</v>
      </c>
      <c r="BG356" t="s">
        <v>52</v>
      </c>
      <c r="BH356" s="18"/>
    </row>
    <row r="357" spans="33:60" x14ac:dyDescent="0.25">
      <c r="AG357" t="s">
        <v>313</v>
      </c>
      <c r="AH357" s="18" t="s">
        <v>177</v>
      </c>
      <c r="AI357">
        <v>130</v>
      </c>
      <c r="AK357" s="32" t="s">
        <v>49</v>
      </c>
      <c r="AL357" s="54" t="s">
        <v>126</v>
      </c>
      <c r="AM357" t="s">
        <v>352</v>
      </c>
      <c r="AN357" t="s">
        <v>353</v>
      </c>
      <c r="AW357" t="s">
        <v>80</v>
      </c>
      <c r="AX357" t="s">
        <v>301</v>
      </c>
      <c r="AY357" s="54">
        <v>4</v>
      </c>
      <c r="AZ357" s="54" t="s">
        <v>82</v>
      </c>
      <c r="BA357" s="54" t="s">
        <v>401</v>
      </c>
      <c r="BB357" s="56"/>
      <c r="BC357" s="54" t="s">
        <v>84</v>
      </c>
      <c r="BD357" s="54" t="s">
        <v>402</v>
      </c>
      <c r="BE357" s="56"/>
      <c r="BF357" t="s">
        <v>301</v>
      </c>
      <c r="BG357" t="s">
        <v>80</v>
      </c>
      <c r="BH357" t="s">
        <v>403</v>
      </c>
    </row>
    <row r="358" spans="33:60" x14ac:dyDescent="0.25">
      <c r="AH358" s="18"/>
      <c r="AK358" s="32" t="s">
        <v>49</v>
      </c>
      <c r="AL358" s="54" t="s">
        <v>126</v>
      </c>
      <c r="AM358" t="s">
        <v>354</v>
      </c>
      <c r="AN358" t="s">
        <v>355</v>
      </c>
      <c r="AW358" t="s">
        <v>102</v>
      </c>
      <c r="AX358" t="s">
        <v>301</v>
      </c>
      <c r="AY358" s="54">
        <v>5</v>
      </c>
      <c r="AZ358" s="54" t="s">
        <v>104</v>
      </c>
      <c r="BA358" s="54" t="s">
        <v>404</v>
      </c>
      <c r="BB358" s="56"/>
      <c r="BC358" s="54" t="s">
        <v>106</v>
      </c>
      <c r="BD358" s="54" t="s">
        <v>405</v>
      </c>
      <c r="BE358" s="56"/>
      <c r="BF358" t="s">
        <v>301</v>
      </c>
      <c r="BG358" t="s">
        <v>102</v>
      </c>
      <c r="BH358" t="s">
        <v>406</v>
      </c>
    </row>
    <row r="359" spans="33:60" x14ac:dyDescent="0.25">
      <c r="AG359" t="s">
        <v>313</v>
      </c>
      <c r="AH359" t="s">
        <v>191</v>
      </c>
      <c r="AI359">
        <v>170</v>
      </c>
      <c r="AK359" s="32" t="s">
        <v>49</v>
      </c>
      <c r="AL359" s="54" t="s">
        <v>126</v>
      </c>
      <c r="AM359" t="s">
        <v>356</v>
      </c>
      <c r="AN359" t="s">
        <v>357</v>
      </c>
      <c r="AW359" t="s">
        <v>114</v>
      </c>
      <c r="AX359" t="s">
        <v>301</v>
      </c>
      <c r="AY359" s="54">
        <v>6</v>
      </c>
      <c r="AZ359" s="54" t="s">
        <v>116</v>
      </c>
      <c r="BA359" s="54" t="s">
        <v>407</v>
      </c>
      <c r="BB359" s="56"/>
      <c r="BC359" s="54" t="s">
        <v>118</v>
      </c>
      <c r="BD359" s="54" t="s">
        <v>408</v>
      </c>
      <c r="BE359" s="56"/>
      <c r="BF359" t="s">
        <v>301</v>
      </c>
      <c r="BG359" t="s">
        <v>114</v>
      </c>
      <c r="BH359" t="s">
        <v>409</v>
      </c>
    </row>
    <row r="360" spans="33:60" x14ac:dyDescent="0.25">
      <c r="AG360" t="s">
        <v>317</v>
      </c>
      <c r="AH360" s="51" t="s">
        <v>39</v>
      </c>
      <c r="AI360" s="51">
        <v>2429</v>
      </c>
      <c r="AK360" s="32" t="s">
        <v>49</v>
      </c>
      <c r="AL360" s="54" t="s">
        <v>126</v>
      </c>
      <c r="AM360" t="s">
        <v>358</v>
      </c>
      <c r="AN360" t="s">
        <v>359</v>
      </c>
      <c r="AW360" t="s">
        <v>129</v>
      </c>
      <c r="AX360" t="s">
        <v>301</v>
      </c>
      <c r="AY360" s="54">
        <v>7</v>
      </c>
      <c r="AZ360" s="54" t="s">
        <v>131</v>
      </c>
      <c r="BA360" s="54" t="s">
        <v>410</v>
      </c>
      <c r="BB360" s="56"/>
      <c r="BC360" s="54" t="s">
        <v>133</v>
      </c>
      <c r="BD360" s="54" t="s">
        <v>411</v>
      </c>
      <c r="BE360" s="56"/>
      <c r="BF360" t="s">
        <v>301</v>
      </c>
      <c r="BG360" t="s">
        <v>129</v>
      </c>
      <c r="BH360" t="s">
        <v>412</v>
      </c>
    </row>
    <row r="361" spans="33:60" x14ac:dyDescent="0.25">
      <c r="AG361" t="s">
        <v>317</v>
      </c>
      <c r="AH361" s="51" t="s">
        <v>76</v>
      </c>
      <c r="AI361" s="50" t="s">
        <v>77</v>
      </c>
      <c r="AK361" s="32" t="s">
        <v>49</v>
      </c>
      <c r="AL361" s="54" t="s">
        <v>126</v>
      </c>
      <c r="AM361" t="s">
        <v>360</v>
      </c>
      <c r="AN361" t="s">
        <v>361</v>
      </c>
      <c r="AW361" t="s">
        <v>142</v>
      </c>
      <c r="AX361" t="s">
        <v>301</v>
      </c>
      <c r="AY361" s="54">
        <v>8</v>
      </c>
      <c r="AZ361" s="54" t="s">
        <v>144</v>
      </c>
      <c r="BA361" s="54" t="s">
        <v>413</v>
      </c>
      <c r="BB361" s="56"/>
      <c r="BC361" s="54" t="s">
        <v>146</v>
      </c>
      <c r="BD361" s="54" t="s">
        <v>414</v>
      </c>
      <c r="BE361" s="56"/>
      <c r="BF361" t="s">
        <v>301</v>
      </c>
      <c r="BG361" t="s">
        <v>142</v>
      </c>
      <c r="BH361" t="s">
        <v>415</v>
      </c>
    </row>
    <row r="362" spans="33:60" x14ac:dyDescent="0.25">
      <c r="AH362" s="51"/>
      <c r="AI362" s="50"/>
      <c r="AK362" s="32" t="s">
        <v>49</v>
      </c>
      <c r="AL362" s="54" t="s">
        <v>126</v>
      </c>
      <c r="AM362" t="s">
        <v>362</v>
      </c>
      <c r="AN362" t="s">
        <v>363</v>
      </c>
      <c r="AW362" t="s">
        <v>154</v>
      </c>
      <c r="AX362" t="s">
        <v>301</v>
      </c>
      <c r="AY362" s="54">
        <v>9</v>
      </c>
      <c r="AZ362" s="54" t="s">
        <v>156</v>
      </c>
      <c r="BA362" s="54" t="s">
        <v>416</v>
      </c>
      <c r="BB362" s="56"/>
      <c r="BC362" s="54" t="s">
        <v>158</v>
      </c>
      <c r="BD362" s="54" t="s">
        <v>417</v>
      </c>
      <c r="BE362" s="56"/>
      <c r="BF362" t="s">
        <v>301</v>
      </c>
      <c r="BG362" t="s">
        <v>154</v>
      </c>
      <c r="BH362" t="s">
        <v>418</v>
      </c>
    </row>
    <row r="363" spans="33:60" x14ac:dyDescent="0.25">
      <c r="AH363" s="51"/>
      <c r="AI363" s="50"/>
      <c r="AK363" s="32" t="s">
        <v>49</v>
      </c>
      <c r="AL363" s="54" t="s">
        <v>126</v>
      </c>
      <c r="AM363" t="s">
        <v>364</v>
      </c>
      <c r="AN363" t="s">
        <v>365</v>
      </c>
      <c r="AW363" t="s">
        <v>166</v>
      </c>
      <c r="AX363" t="s">
        <v>301</v>
      </c>
      <c r="AY363" s="54">
        <v>10</v>
      </c>
      <c r="AZ363" s="54" t="s">
        <v>168</v>
      </c>
      <c r="BA363" s="54" t="s">
        <v>419</v>
      </c>
      <c r="BB363" s="56"/>
      <c r="BC363" s="54" t="s">
        <v>170</v>
      </c>
      <c r="BD363" s="54" t="s">
        <v>420</v>
      </c>
      <c r="BE363" s="56"/>
      <c r="BF363" t="s">
        <v>301</v>
      </c>
      <c r="BG363" t="s">
        <v>166</v>
      </c>
      <c r="BH363" t="s">
        <v>421</v>
      </c>
    </row>
    <row r="364" spans="33:60" x14ac:dyDescent="0.25">
      <c r="AH364" s="51"/>
      <c r="AI364" s="50"/>
      <c r="AK364" s="32" t="s">
        <v>49</v>
      </c>
      <c r="AL364" s="54" t="s">
        <v>126</v>
      </c>
      <c r="AM364" t="s">
        <v>366</v>
      </c>
      <c r="AN364" t="s">
        <v>367</v>
      </c>
      <c r="AW364" t="s">
        <v>181</v>
      </c>
      <c r="AX364" t="s">
        <v>301</v>
      </c>
      <c r="AY364" s="54">
        <v>11</v>
      </c>
      <c r="AZ364" s="54" t="s">
        <v>183</v>
      </c>
      <c r="BA364" s="54" t="s">
        <v>422</v>
      </c>
      <c r="BB364" s="56"/>
      <c r="BC364" s="54" t="s">
        <v>185</v>
      </c>
      <c r="BD364" s="54" t="s">
        <v>423</v>
      </c>
      <c r="BE364" s="56"/>
      <c r="BF364" t="s">
        <v>301</v>
      </c>
      <c r="BG364" t="s">
        <v>181</v>
      </c>
      <c r="BH364" t="s">
        <v>424</v>
      </c>
    </row>
    <row r="365" spans="33:60" x14ac:dyDescent="0.25">
      <c r="AG365" t="s">
        <v>317</v>
      </c>
      <c r="AH365" s="51" t="s">
        <v>139</v>
      </c>
      <c r="AI365" s="51">
        <v>2429</v>
      </c>
      <c r="AK365" s="32" t="s">
        <v>49</v>
      </c>
      <c r="AL365" s="54" t="s">
        <v>126</v>
      </c>
      <c r="AM365" t="s">
        <v>368</v>
      </c>
      <c r="AN365" t="s">
        <v>369</v>
      </c>
      <c r="AW365" t="s">
        <v>195</v>
      </c>
      <c r="AX365" t="s">
        <v>301</v>
      </c>
      <c r="AY365" s="54">
        <v>14</v>
      </c>
      <c r="AZ365" s="54" t="s">
        <v>197</v>
      </c>
      <c r="BA365" s="54" t="s">
        <v>425</v>
      </c>
      <c r="BB365" s="56"/>
      <c r="BC365" s="54" t="s">
        <v>199</v>
      </c>
      <c r="BD365" s="54" t="s">
        <v>426</v>
      </c>
      <c r="BE365" s="56"/>
      <c r="BF365" t="s">
        <v>301</v>
      </c>
      <c r="BG365" t="s">
        <v>195</v>
      </c>
      <c r="BH365" t="s">
        <v>427</v>
      </c>
    </row>
    <row r="366" spans="33:60" x14ac:dyDescent="0.25">
      <c r="AH366" s="51"/>
      <c r="AI366" s="50"/>
      <c r="AK366" s="32" t="s">
        <v>49</v>
      </c>
      <c r="AL366" s="54" t="s">
        <v>126</v>
      </c>
      <c r="AM366" t="s">
        <v>370</v>
      </c>
      <c r="AN366" t="s">
        <v>371</v>
      </c>
      <c r="AW366" t="s">
        <v>208</v>
      </c>
      <c r="AX366" t="s">
        <v>301</v>
      </c>
      <c r="AY366" s="54">
        <v>18</v>
      </c>
      <c r="AZ366" s="54" t="s">
        <v>210</v>
      </c>
      <c r="BA366" s="54" t="s">
        <v>428</v>
      </c>
      <c r="BB366" s="56"/>
      <c r="BC366" s="54" t="s">
        <v>212</v>
      </c>
      <c r="BD366" s="54" t="s">
        <v>429</v>
      </c>
      <c r="BE366" s="56"/>
      <c r="BF366" t="s">
        <v>301</v>
      </c>
      <c r="BG366" t="s">
        <v>208</v>
      </c>
      <c r="BH366" t="s">
        <v>430</v>
      </c>
    </row>
    <row r="367" spans="33:60" x14ac:dyDescent="0.25">
      <c r="AH367" s="51"/>
      <c r="AI367" s="50"/>
      <c r="AW367" t="s">
        <v>52</v>
      </c>
      <c r="AX367" t="s">
        <v>305</v>
      </c>
      <c r="AY367">
        <v>3</v>
      </c>
      <c r="AZ367" t="s">
        <v>54</v>
      </c>
      <c r="BA367" t="s">
        <v>55</v>
      </c>
      <c r="BB367" t="s">
        <v>56</v>
      </c>
      <c r="BC367" t="s">
        <v>57</v>
      </c>
      <c r="BD367" t="s">
        <v>58</v>
      </c>
      <c r="BE367" t="s">
        <v>56</v>
      </c>
      <c r="BF367" t="s">
        <v>305</v>
      </c>
      <c r="BG367" t="s">
        <v>52</v>
      </c>
      <c r="BH367" t="s">
        <v>59</v>
      </c>
    </row>
    <row r="368" spans="33:60" x14ac:dyDescent="0.25">
      <c r="AG368" t="s">
        <v>317</v>
      </c>
      <c r="AH368" s="51" t="s">
        <v>177</v>
      </c>
      <c r="AI368" s="51" t="s">
        <v>178</v>
      </c>
      <c r="AK368" s="32" t="s">
        <v>49</v>
      </c>
      <c r="AL368" t="s">
        <v>138</v>
      </c>
      <c r="AM368" t="s">
        <v>50</v>
      </c>
      <c r="AN368" t="s">
        <v>51</v>
      </c>
      <c r="AW368" t="s">
        <v>80</v>
      </c>
      <c r="AX368" t="s">
        <v>305</v>
      </c>
      <c r="AY368">
        <v>4</v>
      </c>
      <c r="AZ368" t="s">
        <v>81</v>
      </c>
      <c r="BA368" t="s">
        <v>82</v>
      </c>
      <c r="BB368" t="s">
        <v>83</v>
      </c>
      <c r="BC368" t="s">
        <v>84</v>
      </c>
      <c r="BD368" t="s">
        <v>85</v>
      </c>
      <c r="BE368" t="s">
        <v>83</v>
      </c>
      <c r="BF368" t="s">
        <v>305</v>
      </c>
      <c r="BG368" t="s">
        <v>80</v>
      </c>
      <c r="BH368" t="s">
        <v>86</v>
      </c>
    </row>
    <row r="369" spans="33:60" x14ac:dyDescent="0.25">
      <c r="AG369" t="s">
        <v>317</v>
      </c>
      <c r="AH369" s="51" t="s">
        <v>191</v>
      </c>
      <c r="AI369" s="51" t="s">
        <v>192</v>
      </c>
      <c r="AK369" s="32" t="s">
        <v>49</v>
      </c>
      <c r="AL369" t="s">
        <v>138</v>
      </c>
      <c r="AM369" t="s">
        <v>78</v>
      </c>
      <c r="AN369" t="s">
        <v>79</v>
      </c>
      <c r="AW369" t="s">
        <v>102</v>
      </c>
      <c r="AX369" t="s">
        <v>305</v>
      </c>
      <c r="AY369">
        <v>5</v>
      </c>
      <c r="AZ369" t="s">
        <v>103</v>
      </c>
      <c r="BA369" t="s">
        <v>104</v>
      </c>
      <c r="BB369" t="s">
        <v>105</v>
      </c>
      <c r="BC369" t="s">
        <v>106</v>
      </c>
      <c r="BD369" t="s">
        <v>107</v>
      </c>
      <c r="BE369" t="s">
        <v>105</v>
      </c>
      <c r="BF369" t="s">
        <v>305</v>
      </c>
      <c r="BG369" t="s">
        <v>102</v>
      </c>
      <c r="BH369" t="s">
        <v>64</v>
      </c>
    </row>
    <row r="370" spans="33:60" x14ac:dyDescent="0.25">
      <c r="AG370" t="s">
        <v>320</v>
      </c>
      <c r="AH370" t="s">
        <v>39</v>
      </c>
      <c r="AI370">
        <v>15</v>
      </c>
      <c r="AK370" s="32" t="s">
        <v>49</v>
      </c>
      <c r="AL370" t="s">
        <v>138</v>
      </c>
      <c r="AM370" t="s">
        <v>100</v>
      </c>
      <c r="AN370" t="s">
        <v>101</v>
      </c>
      <c r="AW370" t="s">
        <v>114</v>
      </c>
      <c r="AX370" t="s">
        <v>305</v>
      </c>
      <c r="AY370">
        <v>6</v>
      </c>
      <c r="AZ370" t="s">
        <v>115</v>
      </c>
      <c r="BA370" t="s">
        <v>116</v>
      </c>
      <c r="BB370" t="s">
        <v>117</v>
      </c>
      <c r="BC370" t="s">
        <v>118</v>
      </c>
      <c r="BD370" t="s">
        <v>119</v>
      </c>
      <c r="BE370" t="s">
        <v>117</v>
      </c>
      <c r="BF370" t="s">
        <v>305</v>
      </c>
      <c r="BG370" t="s">
        <v>114</v>
      </c>
      <c r="BH370" t="s">
        <v>120</v>
      </c>
    </row>
    <row r="371" spans="33:60" x14ac:dyDescent="0.25">
      <c r="AG371" t="s">
        <v>320</v>
      </c>
      <c r="AH371" s="49" t="s">
        <v>76</v>
      </c>
      <c r="AI371" s="49" t="s">
        <v>398</v>
      </c>
      <c r="AK371" s="32" t="s">
        <v>49</v>
      </c>
      <c r="AL371" t="s">
        <v>138</v>
      </c>
      <c r="AM371" t="s">
        <v>112</v>
      </c>
      <c r="AN371" t="s">
        <v>113</v>
      </c>
      <c r="AW371" t="s">
        <v>129</v>
      </c>
      <c r="AX371" t="s">
        <v>305</v>
      </c>
      <c r="AY371">
        <v>7</v>
      </c>
      <c r="AZ371" t="s">
        <v>130</v>
      </c>
      <c r="BA371" t="s">
        <v>131</v>
      </c>
      <c r="BB371" t="s">
        <v>132</v>
      </c>
      <c r="BC371" t="s">
        <v>133</v>
      </c>
      <c r="BD371" t="s">
        <v>134</v>
      </c>
      <c r="BE371" t="s">
        <v>132</v>
      </c>
      <c r="BF371" t="s">
        <v>305</v>
      </c>
      <c r="BG371" t="s">
        <v>129</v>
      </c>
      <c r="BH371" t="s">
        <v>135</v>
      </c>
    </row>
    <row r="372" spans="33:60" x14ac:dyDescent="0.25">
      <c r="AH372" s="49"/>
      <c r="AI372" s="49"/>
      <c r="AK372" s="32" t="s">
        <v>49</v>
      </c>
      <c r="AL372" t="s">
        <v>138</v>
      </c>
      <c r="AM372" t="s">
        <v>127</v>
      </c>
      <c r="AN372" t="s">
        <v>128</v>
      </c>
      <c r="AW372" t="s">
        <v>142</v>
      </c>
      <c r="AX372" t="s">
        <v>305</v>
      </c>
      <c r="AY372">
        <v>8</v>
      </c>
      <c r="AZ372" t="s">
        <v>143</v>
      </c>
      <c r="BA372" t="s">
        <v>144</v>
      </c>
      <c r="BB372" t="s">
        <v>145</v>
      </c>
      <c r="BC372" t="s">
        <v>146</v>
      </c>
      <c r="BD372" t="s">
        <v>147</v>
      </c>
      <c r="BE372" t="s">
        <v>145</v>
      </c>
      <c r="BF372" t="s">
        <v>305</v>
      </c>
      <c r="BG372" t="s">
        <v>142</v>
      </c>
      <c r="BH372" t="s">
        <v>148</v>
      </c>
    </row>
    <row r="373" spans="33:60" x14ac:dyDescent="0.25">
      <c r="AH373" s="49"/>
      <c r="AI373" s="49"/>
      <c r="AK373" s="32" t="s">
        <v>49</v>
      </c>
      <c r="AL373" t="s">
        <v>138</v>
      </c>
      <c r="AM373" t="s">
        <v>140</v>
      </c>
      <c r="AN373" t="s">
        <v>141</v>
      </c>
      <c r="AW373" t="s">
        <v>154</v>
      </c>
      <c r="AX373" t="s">
        <v>305</v>
      </c>
      <c r="AY373">
        <v>9</v>
      </c>
      <c r="AZ373" t="s">
        <v>155</v>
      </c>
      <c r="BA373" t="s">
        <v>156</v>
      </c>
      <c r="BB373" t="s">
        <v>157</v>
      </c>
      <c r="BC373" t="s">
        <v>158</v>
      </c>
      <c r="BD373" t="s">
        <v>159</v>
      </c>
      <c r="BE373" t="s">
        <v>157</v>
      </c>
      <c r="BF373" t="s">
        <v>305</v>
      </c>
      <c r="BG373" t="s">
        <v>154</v>
      </c>
      <c r="BH373" t="s">
        <v>89</v>
      </c>
    </row>
    <row r="374" spans="33:60" x14ac:dyDescent="0.25">
      <c r="AH374" s="49"/>
      <c r="AI374" s="49"/>
      <c r="AK374" s="32" t="s">
        <v>49</v>
      </c>
      <c r="AL374" t="s">
        <v>138</v>
      </c>
      <c r="AM374" t="s">
        <v>152</v>
      </c>
      <c r="AN374" t="s">
        <v>153</v>
      </c>
      <c r="AW374" t="s">
        <v>166</v>
      </c>
      <c r="AX374" t="s">
        <v>305</v>
      </c>
      <c r="AY374">
        <v>10</v>
      </c>
      <c r="AZ374" t="s">
        <v>167</v>
      </c>
      <c r="BA374" t="s">
        <v>168</v>
      </c>
      <c r="BB374" t="s">
        <v>169</v>
      </c>
      <c r="BC374" t="s">
        <v>170</v>
      </c>
      <c r="BD374" t="s">
        <v>171</v>
      </c>
      <c r="BE374" t="s">
        <v>169</v>
      </c>
      <c r="BF374" t="s">
        <v>305</v>
      </c>
      <c r="BG374" t="s">
        <v>166</v>
      </c>
      <c r="BH374" t="s">
        <v>172</v>
      </c>
    </row>
    <row r="375" spans="33:60" x14ac:dyDescent="0.25">
      <c r="AH375" s="49"/>
      <c r="AI375" s="49"/>
      <c r="AK375" s="32" t="s">
        <v>49</v>
      </c>
      <c r="AL375" t="s">
        <v>138</v>
      </c>
      <c r="AM375" t="s">
        <v>164</v>
      </c>
      <c r="AN375" t="s">
        <v>165</v>
      </c>
      <c r="AW375" t="s">
        <v>181</v>
      </c>
      <c r="AX375" t="s">
        <v>305</v>
      </c>
      <c r="AY375">
        <v>11</v>
      </c>
      <c r="AZ375" t="s">
        <v>182</v>
      </c>
      <c r="BA375" t="s">
        <v>183</v>
      </c>
      <c r="BB375" t="s">
        <v>184</v>
      </c>
      <c r="BC375" t="s">
        <v>185</v>
      </c>
      <c r="BD375" t="s">
        <v>186</v>
      </c>
      <c r="BE375" t="s">
        <v>184</v>
      </c>
      <c r="BF375" t="s">
        <v>305</v>
      </c>
      <c r="BG375" t="s">
        <v>181</v>
      </c>
      <c r="BH375" t="s">
        <v>187</v>
      </c>
    </row>
    <row r="376" spans="33:60" x14ac:dyDescent="0.25">
      <c r="AG376" t="s">
        <v>320</v>
      </c>
      <c r="AH376" t="s">
        <v>139</v>
      </c>
      <c r="AI376">
        <v>15</v>
      </c>
      <c r="AK376" s="32" t="s">
        <v>49</v>
      </c>
      <c r="AL376" t="s">
        <v>138</v>
      </c>
      <c r="AM376" t="s">
        <v>179</v>
      </c>
      <c r="AN376" t="s">
        <v>180</v>
      </c>
      <c r="AW376" t="s">
        <v>195</v>
      </c>
      <c r="AX376" t="s">
        <v>305</v>
      </c>
      <c r="AY376">
        <v>14</v>
      </c>
      <c r="AZ376" t="s">
        <v>196</v>
      </c>
      <c r="BA376" t="s">
        <v>197</v>
      </c>
      <c r="BB376" t="s">
        <v>198</v>
      </c>
      <c r="BC376" t="s">
        <v>199</v>
      </c>
      <c r="BD376" t="s">
        <v>200</v>
      </c>
      <c r="BE376" t="s">
        <v>198</v>
      </c>
      <c r="BF376" t="s">
        <v>305</v>
      </c>
      <c r="BG376" t="s">
        <v>195</v>
      </c>
      <c r="BH376" t="s">
        <v>201</v>
      </c>
    </row>
    <row r="377" spans="33:60" x14ac:dyDescent="0.25">
      <c r="AK377" s="32" t="s">
        <v>49</v>
      </c>
      <c r="AL377" t="s">
        <v>138</v>
      </c>
      <c r="AM377" t="s">
        <v>193</v>
      </c>
      <c r="AN377" t="s">
        <v>194</v>
      </c>
      <c r="AW377" t="s">
        <v>208</v>
      </c>
      <c r="AX377" t="s">
        <v>305</v>
      </c>
      <c r="AY377">
        <v>18</v>
      </c>
      <c r="AZ377" t="s">
        <v>209</v>
      </c>
      <c r="BA377" t="s">
        <v>210</v>
      </c>
      <c r="BB377" t="s">
        <v>211</v>
      </c>
      <c r="BC377" t="s">
        <v>212</v>
      </c>
      <c r="BD377" t="s">
        <v>213</v>
      </c>
      <c r="BE377" t="s">
        <v>211</v>
      </c>
      <c r="BF377" t="s">
        <v>305</v>
      </c>
      <c r="BG377" t="s">
        <v>208</v>
      </c>
      <c r="BH377" t="s">
        <v>214</v>
      </c>
    </row>
    <row r="378" spans="33:60" x14ac:dyDescent="0.25">
      <c r="AG378" t="s">
        <v>320</v>
      </c>
      <c r="AH378" t="s">
        <v>177</v>
      </c>
      <c r="AI378">
        <v>13</v>
      </c>
      <c r="AK378" s="32" t="s">
        <v>49</v>
      </c>
      <c r="AL378" t="s">
        <v>138</v>
      </c>
      <c r="AM378" t="s">
        <v>206</v>
      </c>
      <c r="AN378" t="s">
        <v>207</v>
      </c>
      <c r="AW378" t="s">
        <v>52</v>
      </c>
      <c r="AX378" t="s">
        <v>309</v>
      </c>
      <c r="AY378">
        <v>3</v>
      </c>
      <c r="AZ378" t="s">
        <v>54</v>
      </c>
      <c r="BA378" t="s">
        <v>374</v>
      </c>
      <c r="BB378" t="s">
        <v>56</v>
      </c>
      <c r="BC378" t="s">
        <v>57</v>
      </c>
      <c r="BD378" t="s">
        <v>58</v>
      </c>
      <c r="BE378" t="s">
        <v>56</v>
      </c>
      <c r="BF378" t="s">
        <v>309</v>
      </c>
      <c r="BG378" t="s">
        <v>52</v>
      </c>
      <c r="BH378" t="s">
        <v>375</v>
      </c>
    </row>
    <row r="379" spans="33:60" x14ac:dyDescent="0.25">
      <c r="AG379" t="s">
        <v>320</v>
      </c>
      <c r="AH379" t="s">
        <v>191</v>
      </c>
      <c r="AI379">
        <v>15</v>
      </c>
      <c r="AK379" s="32" t="s">
        <v>49</v>
      </c>
      <c r="AL379" t="s">
        <v>138</v>
      </c>
      <c r="AM379" t="s">
        <v>218</v>
      </c>
      <c r="AN379" t="s">
        <v>219</v>
      </c>
      <c r="AW379" t="s">
        <v>80</v>
      </c>
      <c r="AX379" t="s">
        <v>309</v>
      </c>
      <c r="AY379">
        <v>4</v>
      </c>
      <c r="AZ379" t="s">
        <v>81</v>
      </c>
      <c r="BA379" t="s">
        <v>376</v>
      </c>
      <c r="BB379" t="s">
        <v>83</v>
      </c>
      <c r="BC379" t="s">
        <v>84</v>
      </c>
      <c r="BD379" t="s">
        <v>85</v>
      </c>
      <c r="BE379" t="s">
        <v>83</v>
      </c>
      <c r="BF379" t="s">
        <v>309</v>
      </c>
      <c r="BG379" t="s">
        <v>80</v>
      </c>
      <c r="BH379" t="s">
        <v>377</v>
      </c>
    </row>
    <row r="380" spans="33:60" x14ac:dyDescent="0.25">
      <c r="AG380" t="s">
        <v>324</v>
      </c>
      <c r="AH380" s="51" t="s">
        <v>39</v>
      </c>
      <c r="AI380" s="51">
        <v>2429</v>
      </c>
      <c r="AK380" s="32" t="s">
        <v>49</v>
      </c>
      <c r="AL380" t="s">
        <v>138</v>
      </c>
      <c r="AM380" t="s">
        <v>224</v>
      </c>
      <c r="AN380" t="s">
        <v>225</v>
      </c>
      <c r="AW380" t="s">
        <v>102</v>
      </c>
      <c r="AX380" t="s">
        <v>309</v>
      </c>
      <c r="AY380">
        <v>5</v>
      </c>
      <c r="AZ380" t="s">
        <v>103</v>
      </c>
      <c r="BA380" t="s">
        <v>378</v>
      </c>
      <c r="BB380" t="s">
        <v>105</v>
      </c>
      <c r="BC380" t="s">
        <v>106</v>
      </c>
      <c r="BD380" t="s">
        <v>107</v>
      </c>
      <c r="BE380" t="s">
        <v>105</v>
      </c>
      <c r="BF380" t="s">
        <v>309</v>
      </c>
      <c r="BG380" t="s">
        <v>102</v>
      </c>
      <c r="BH380" t="s">
        <v>379</v>
      </c>
    </row>
    <row r="381" spans="33:60" x14ac:dyDescent="0.25">
      <c r="AG381" t="s">
        <v>324</v>
      </c>
      <c r="AH381" s="51" t="s">
        <v>76</v>
      </c>
      <c r="AI381" s="50" t="s">
        <v>77</v>
      </c>
      <c r="AK381" s="32" t="s">
        <v>49</v>
      </c>
      <c r="AL381" t="s">
        <v>138</v>
      </c>
      <c r="AM381" t="s">
        <v>228</v>
      </c>
      <c r="AN381" t="s">
        <v>229</v>
      </c>
      <c r="AW381" t="s">
        <v>114</v>
      </c>
      <c r="AX381" t="s">
        <v>309</v>
      </c>
      <c r="AY381">
        <v>6</v>
      </c>
      <c r="AZ381" t="s">
        <v>115</v>
      </c>
      <c r="BA381" t="s">
        <v>380</v>
      </c>
      <c r="BB381" t="s">
        <v>117</v>
      </c>
      <c r="BC381" t="s">
        <v>118</v>
      </c>
      <c r="BD381" t="s">
        <v>119</v>
      </c>
      <c r="BE381" t="s">
        <v>117</v>
      </c>
      <c r="BF381" t="s">
        <v>309</v>
      </c>
      <c r="BG381" t="s">
        <v>114</v>
      </c>
      <c r="BH381" t="s">
        <v>381</v>
      </c>
    </row>
    <row r="382" spans="33:60" x14ac:dyDescent="0.25">
      <c r="AH382" s="51"/>
      <c r="AI382" s="50"/>
      <c r="AK382" s="32" t="s">
        <v>49</v>
      </c>
      <c r="AL382" t="s">
        <v>138</v>
      </c>
      <c r="AM382" t="s">
        <v>232</v>
      </c>
      <c r="AN382" t="s">
        <v>233</v>
      </c>
      <c r="AW382" t="s">
        <v>129</v>
      </c>
      <c r="AX382" t="s">
        <v>309</v>
      </c>
      <c r="AY382">
        <v>7</v>
      </c>
      <c r="AZ382" t="s">
        <v>130</v>
      </c>
      <c r="BA382" t="s">
        <v>382</v>
      </c>
      <c r="BB382" t="s">
        <v>132</v>
      </c>
      <c r="BC382" t="s">
        <v>133</v>
      </c>
      <c r="BD382" t="s">
        <v>134</v>
      </c>
      <c r="BE382" t="s">
        <v>132</v>
      </c>
      <c r="BF382" t="s">
        <v>309</v>
      </c>
      <c r="BG382" t="s">
        <v>129</v>
      </c>
      <c r="BH382" t="s">
        <v>383</v>
      </c>
    </row>
    <row r="383" spans="33:60" x14ac:dyDescent="0.25">
      <c r="AH383" s="51"/>
      <c r="AI383" s="50"/>
      <c r="AK383" s="32" t="s">
        <v>49</v>
      </c>
      <c r="AL383" t="s">
        <v>138</v>
      </c>
      <c r="AM383" t="s">
        <v>237</v>
      </c>
      <c r="AN383" t="s">
        <v>238</v>
      </c>
      <c r="AW383" t="s">
        <v>142</v>
      </c>
      <c r="AX383" t="s">
        <v>309</v>
      </c>
      <c r="AY383">
        <v>8</v>
      </c>
      <c r="AZ383" t="s">
        <v>143</v>
      </c>
      <c r="BA383" t="s">
        <v>384</v>
      </c>
      <c r="BB383" t="s">
        <v>145</v>
      </c>
      <c r="BC383" t="s">
        <v>146</v>
      </c>
      <c r="BD383" t="s">
        <v>147</v>
      </c>
      <c r="BE383" t="s">
        <v>145</v>
      </c>
      <c r="BF383" t="s">
        <v>309</v>
      </c>
      <c r="BG383" t="s">
        <v>142</v>
      </c>
      <c r="BH383" t="s">
        <v>385</v>
      </c>
    </row>
    <row r="384" spans="33:60" x14ac:dyDescent="0.25">
      <c r="AH384" s="51"/>
      <c r="AI384" s="50"/>
      <c r="AK384" s="32" t="s">
        <v>49</v>
      </c>
      <c r="AL384" t="s">
        <v>138</v>
      </c>
      <c r="AM384" t="s">
        <v>242</v>
      </c>
      <c r="AN384" t="s">
        <v>243</v>
      </c>
      <c r="AW384" t="s">
        <v>154</v>
      </c>
      <c r="AX384" t="s">
        <v>309</v>
      </c>
      <c r="AY384">
        <v>9</v>
      </c>
      <c r="AZ384" t="s">
        <v>155</v>
      </c>
      <c r="BA384" t="s">
        <v>387</v>
      </c>
      <c r="BB384" t="s">
        <v>157</v>
      </c>
      <c r="BC384" t="s">
        <v>158</v>
      </c>
      <c r="BD384" t="s">
        <v>159</v>
      </c>
      <c r="BE384" t="s">
        <v>157</v>
      </c>
      <c r="BF384" t="s">
        <v>309</v>
      </c>
      <c r="BG384" t="s">
        <v>154</v>
      </c>
      <c r="BH384" t="s">
        <v>388</v>
      </c>
    </row>
    <row r="385" spans="33:60" x14ac:dyDescent="0.25">
      <c r="AG385" t="s">
        <v>324</v>
      </c>
      <c r="AH385" s="51" t="s">
        <v>139</v>
      </c>
      <c r="AI385" s="51">
        <v>2429</v>
      </c>
      <c r="AK385" s="32" t="s">
        <v>49</v>
      </c>
      <c r="AL385" t="s">
        <v>138</v>
      </c>
      <c r="AM385" t="s">
        <v>247</v>
      </c>
      <c r="AN385" t="s">
        <v>248</v>
      </c>
      <c r="AW385" t="s">
        <v>166</v>
      </c>
      <c r="AX385" t="s">
        <v>309</v>
      </c>
      <c r="AY385">
        <v>10</v>
      </c>
      <c r="AZ385" t="s">
        <v>167</v>
      </c>
      <c r="BA385" t="s">
        <v>389</v>
      </c>
      <c r="BB385" t="s">
        <v>169</v>
      </c>
      <c r="BC385" t="s">
        <v>170</v>
      </c>
      <c r="BD385" t="s">
        <v>171</v>
      </c>
      <c r="BE385" t="s">
        <v>169</v>
      </c>
      <c r="BF385" t="s">
        <v>309</v>
      </c>
      <c r="BG385" t="s">
        <v>166</v>
      </c>
      <c r="BH385" t="s">
        <v>390</v>
      </c>
    </row>
    <row r="386" spans="33:60" x14ac:dyDescent="0.25">
      <c r="AH386" s="51"/>
      <c r="AI386" s="50"/>
      <c r="AK386" s="32" t="s">
        <v>49</v>
      </c>
      <c r="AL386" t="s">
        <v>138</v>
      </c>
      <c r="AM386" t="s">
        <v>251</v>
      </c>
      <c r="AN386" t="s">
        <v>252</v>
      </c>
      <c r="AW386" t="s">
        <v>181</v>
      </c>
      <c r="AX386" t="s">
        <v>309</v>
      </c>
      <c r="AY386">
        <v>11</v>
      </c>
      <c r="AZ386" t="s">
        <v>182</v>
      </c>
      <c r="BA386" t="s">
        <v>391</v>
      </c>
      <c r="BB386" t="s">
        <v>184</v>
      </c>
      <c r="BC386" t="s">
        <v>185</v>
      </c>
      <c r="BD386" t="s">
        <v>186</v>
      </c>
      <c r="BE386" t="s">
        <v>184</v>
      </c>
      <c r="BF386" t="s">
        <v>309</v>
      </c>
      <c r="BG386" t="s">
        <v>181</v>
      </c>
      <c r="BH386" t="s">
        <v>392</v>
      </c>
    </row>
    <row r="387" spans="33:60" x14ac:dyDescent="0.25">
      <c r="AH387" s="51"/>
      <c r="AI387" s="50"/>
      <c r="AK387" s="32" t="s">
        <v>49</v>
      </c>
      <c r="AL387" t="s">
        <v>138</v>
      </c>
      <c r="AM387" t="s">
        <v>255</v>
      </c>
      <c r="AN387" t="s">
        <v>256</v>
      </c>
      <c r="AW387" t="s">
        <v>195</v>
      </c>
      <c r="AX387" t="s">
        <v>309</v>
      </c>
      <c r="AY387">
        <v>14</v>
      </c>
      <c r="AZ387" t="s">
        <v>196</v>
      </c>
      <c r="BA387" t="s">
        <v>393</v>
      </c>
      <c r="BB387" t="s">
        <v>198</v>
      </c>
      <c r="BC387" t="s">
        <v>199</v>
      </c>
      <c r="BD387" t="s">
        <v>200</v>
      </c>
      <c r="BE387" t="s">
        <v>198</v>
      </c>
      <c r="BF387" t="s">
        <v>309</v>
      </c>
      <c r="BG387" t="s">
        <v>195</v>
      </c>
      <c r="BH387" t="s">
        <v>394</v>
      </c>
    </row>
    <row r="388" spans="33:60" x14ac:dyDescent="0.25">
      <c r="AG388" t="s">
        <v>324</v>
      </c>
      <c r="AH388" s="51" t="s">
        <v>177</v>
      </c>
      <c r="AI388" s="51" t="s">
        <v>178</v>
      </c>
      <c r="AK388" s="32" t="s">
        <v>49</v>
      </c>
      <c r="AL388" t="s">
        <v>138</v>
      </c>
      <c r="AM388" t="s">
        <v>259</v>
      </c>
      <c r="AN388" t="s">
        <v>260</v>
      </c>
      <c r="AW388" t="s">
        <v>208</v>
      </c>
      <c r="AX388" t="s">
        <v>309</v>
      </c>
      <c r="AY388">
        <v>18</v>
      </c>
      <c r="AZ388" t="s">
        <v>209</v>
      </c>
      <c r="BA388" t="s">
        <v>395</v>
      </c>
      <c r="BB388" t="s">
        <v>211</v>
      </c>
      <c r="BC388" t="s">
        <v>212</v>
      </c>
      <c r="BD388" t="s">
        <v>213</v>
      </c>
      <c r="BE388" t="s">
        <v>211</v>
      </c>
      <c r="BF388" t="s">
        <v>309</v>
      </c>
      <c r="BG388" t="s">
        <v>208</v>
      </c>
      <c r="BH388" t="s">
        <v>396</v>
      </c>
    </row>
    <row r="389" spans="33:60" x14ac:dyDescent="0.25">
      <c r="AG389" t="s">
        <v>324</v>
      </c>
      <c r="AH389" s="51" t="s">
        <v>191</v>
      </c>
      <c r="AI389" s="51" t="s">
        <v>192</v>
      </c>
      <c r="AK389" s="32" t="s">
        <v>49</v>
      </c>
      <c r="AL389" t="s">
        <v>138</v>
      </c>
      <c r="AM389" t="s">
        <v>263</v>
      </c>
      <c r="AN389" t="s">
        <v>264</v>
      </c>
      <c r="AW389" t="s">
        <v>52</v>
      </c>
      <c r="AX389" t="s">
        <v>313</v>
      </c>
      <c r="AY389">
        <v>3</v>
      </c>
      <c r="AZ389" t="s">
        <v>54</v>
      </c>
      <c r="BA389" t="s">
        <v>55</v>
      </c>
      <c r="BB389" t="s">
        <v>56</v>
      </c>
      <c r="BC389" t="s">
        <v>57</v>
      </c>
      <c r="BD389" t="s">
        <v>58</v>
      </c>
      <c r="BE389" t="s">
        <v>56</v>
      </c>
      <c r="BF389" t="s">
        <v>313</v>
      </c>
      <c r="BG389" t="s">
        <v>52</v>
      </c>
      <c r="BH389" t="s">
        <v>59</v>
      </c>
    </row>
    <row r="390" spans="33:60" x14ac:dyDescent="0.25">
      <c r="AG390" s="18"/>
      <c r="AH390" s="18"/>
      <c r="AI390" s="18"/>
      <c r="AK390" s="32" t="s">
        <v>49</v>
      </c>
      <c r="AL390" t="s">
        <v>138</v>
      </c>
      <c r="AM390" t="s">
        <v>267</v>
      </c>
      <c r="AN390" t="s">
        <v>268</v>
      </c>
      <c r="AW390" t="s">
        <v>80</v>
      </c>
      <c r="AX390" t="s">
        <v>313</v>
      </c>
      <c r="AY390">
        <v>4</v>
      </c>
      <c r="AZ390" t="s">
        <v>81</v>
      </c>
      <c r="BA390" t="s">
        <v>82</v>
      </c>
      <c r="BB390" t="s">
        <v>83</v>
      </c>
      <c r="BC390" t="s">
        <v>84</v>
      </c>
      <c r="BD390" t="s">
        <v>85</v>
      </c>
      <c r="BE390" t="s">
        <v>83</v>
      </c>
      <c r="BF390" t="s">
        <v>313</v>
      </c>
      <c r="BG390" t="s">
        <v>80</v>
      </c>
      <c r="BH390" t="s">
        <v>86</v>
      </c>
    </row>
    <row r="391" spans="33:60" x14ac:dyDescent="0.25">
      <c r="AG391" s="18"/>
      <c r="AH391" s="18"/>
      <c r="AI391" s="18"/>
      <c r="AK391" s="32" t="s">
        <v>49</v>
      </c>
      <c r="AL391" t="s">
        <v>138</v>
      </c>
      <c r="AM391" t="s">
        <v>271</v>
      </c>
      <c r="AN391" t="s">
        <v>272</v>
      </c>
      <c r="AW391" t="s">
        <v>102</v>
      </c>
      <c r="AX391" t="s">
        <v>313</v>
      </c>
      <c r="AY391">
        <v>5</v>
      </c>
      <c r="AZ391" t="s">
        <v>103</v>
      </c>
      <c r="BA391" t="s">
        <v>104</v>
      </c>
      <c r="BB391" t="s">
        <v>105</v>
      </c>
      <c r="BC391" t="s">
        <v>106</v>
      </c>
      <c r="BD391" t="s">
        <v>107</v>
      </c>
      <c r="BE391" t="s">
        <v>105</v>
      </c>
      <c r="BF391" t="s">
        <v>313</v>
      </c>
      <c r="BG391" t="s">
        <v>102</v>
      </c>
      <c r="BH391" t="s">
        <v>64</v>
      </c>
    </row>
    <row r="392" spans="33:60" x14ac:dyDescent="0.25">
      <c r="AG392" s="18"/>
      <c r="AH392" s="18"/>
      <c r="AI392" s="18"/>
      <c r="AK392" s="32" t="s">
        <v>49</v>
      </c>
      <c r="AL392" t="s">
        <v>138</v>
      </c>
      <c r="AM392" t="s">
        <v>274</v>
      </c>
      <c r="AN392" t="s">
        <v>275</v>
      </c>
      <c r="AW392" t="s">
        <v>114</v>
      </c>
      <c r="AX392" t="s">
        <v>313</v>
      </c>
      <c r="AY392">
        <v>6</v>
      </c>
      <c r="AZ392" t="s">
        <v>115</v>
      </c>
      <c r="BA392" t="s">
        <v>116</v>
      </c>
      <c r="BB392" t="s">
        <v>117</v>
      </c>
      <c r="BC392" t="s">
        <v>118</v>
      </c>
      <c r="BD392" t="s">
        <v>119</v>
      </c>
      <c r="BE392" t="s">
        <v>117</v>
      </c>
      <c r="BF392" t="s">
        <v>313</v>
      </c>
      <c r="BG392" t="s">
        <v>114</v>
      </c>
      <c r="BH392" t="s">
        <v>120</v>
      </c>
    </row>
    <row r="393" spans="33:60" x14ac:dyDescent="0.25">
      <c r="AG393" s="18"/>
      <c r="AH393" s="18"/>
      <c r="AI393" s="18"/>
      <c r="AK393" s="32" t="s">
        <v>49</v>
      </c>
      <c r="AL393" t="s">
        <v>138</v>
      </c>
      <c r="AM393" t="s">
        <v>277</v>
      </c>
      <c r="AN393" t="s">
        <v>278</v>
      </c>
      <c r="AW393" t="s">
        <v>129</v>
      </c>
      <c r="AX393" t="s">
        <v>313</v>
      </c>
      <c r="AY393">
        <v>7</v>
      </c>
      <c r="AZ393" t="s">
        <v>130</v>
      </c>
      <c r="BA393" t="s">
        <v>131</v>
      </c>
      <c r="BB393" t="s">
        <v>132</v>
      </c>
      <c r="BC393" t="s">
        <v>133</v>
      </c>
      <c r="BD393" t="s">
        <v>134</v>
      </c>
      <c r="BE393" t="s">
        <v>132</v>
      </c>
      <c r="BF393" t="s">
        <v>313</v>
      </c>
      <c r="BG393" t="s">
        <v>129</v>
      </c>
      <c r="BH393" t="s">
        <v>135</v>
      </c>
    </row>
    <row r="394" spans="33:60" x14ac:dyDescent="0.25">
      <c r="AG394" s="18"/>
      <c r="AH394" s="18"/>
      <c r="AI394" s="18"/>
      <c r="AK394" s="32" t="s">
        <v>49</v>
      </c>
      <c r="AL394" t="s">
        <v>138</v>
      </c>
      <c r="AM394" t="s">
        <v>281</v>
      </c>
      <c r="AN394" t="s">
        <v>282</v>
      </c>
      <c r="AW394" t="s">
        <v>142</v>
      </c>
      <c r="AX394" t="s">
        <v>313</v>
      </c>
      <c r="AY394">
        <v>8</v>
      </c>
      <c r="AZ394" t="s">
        <v>143</v>
      </c>
      <c r="BA394" t="s">
        <v>144</v>
      </c>
      <c r="BB394" t="s">
        <v>145</v>
      </c>
      <c r="BC394" t="s">
        <v>146</v>
      </c>
      <c r="BD394" t="s">
        <v>147</v>
      </c>
      <c r="BE394" t="s">
        <v>145</v>
      </c>
      <c r="BF394" t="s">
        <v>313</v>
      </c>
      <c r="BG394" t="s">
        <v>142</v>
      </c>
      <c r="BH394" t="s">
        <v>148</v>
      </c>
    </row>
    <row r="395" spans="33:60" x14ac:dyDescent="0.25">
      <c r="AG395" s="18"/>
      <c r="AH395" s="18"/>
      <c r="AI395" s="18"/>
      <c r="AK395" s="32" t="s">
        <v>49</v>
      </c>
      <c r="AL395" t="s">
        <v>138</v>
      </c>
      <c r="AM395" t="s">
        <v>285</v>
      </c>
      <c r="AN395" t="s">
        <v>286</v>
      </c>
      <c r="AW395" t="s">
        <v>154</v>
      </c>
      <c r="AX395" t="s">
        <v>313</v>
      </c>
      <c r="AY395">
        <v>9</v>
      </c>
      <c r="AZ395" t="s">
        <v>155</v>
      </c>
      <c r="BA395" t="s">
        <v>156</v>
      </c>
      <c r="BB395" t="s">
        <v>157</v>
      </c>
      <c r="BC395" t="s">
        <v>158</v>
      </c>
      <c r="BD395" t="s">
        <v>159</v>
      </c>
      <c r="BE395" t="s">
        <v>157</v>
      </c>
      <c r="BF395" t="s">
        <v>313</v>
      </c>
      <c r="BG395" t="s">
        <v>154</v>
      </c>
      <c r="BH395" t="s">
        <v>89</v>
      </c>
    </row>
    <row r="396" spans="33:60" x14ac:dyDescent="0.25">
      <c r="AG396" s="18"/>
      <c r="AH396" s="18"/>
      <c r="AI396" s="18"/>
      <c r="AK396" s="32" t="s">
        <v>49</v>
      </c>
      <c r="AL396" t="s">
        <v>138</v>
      </c>
      <c r="AM396" t="s">
        <v>288</v>
      </c>
      <c r="AN396" t="s">
        <v>289</v>
      </c>
      <c r="AW396" t="s">
        <v>166</v>
      </c>
      <c r="AX396" t="s">
        <v>313</v>
      </c>
      <c r="AY396">
        <v>10</v>
      </c>
      <c r="AZ396" t="s">
        <v>167</v>
      </c>
      <c r="BA396" t="s">
        <v>168</v>
      </c>
      <c r="BB396" t="s">
        <v>169</v>
      </c>
      <c r="BC396" t="s">
        <v>170</v>
      </c>
      <c r="BD396" t="s">
        <v>171</v>
      </c>
      <c r="BE396" t="s">
        <v>169</v>
      </c>
      <c r="BF396" t="s">
        <v>313</v>
      </c>
      <c r="BG396" t="s">
        <v>166</v>
      </c>
      <c r="BH396" t="s">
        <v>172</v>
      </c>
    </row>
    <row r="397" spans="33:60" x14ac:dyDescent="0.25">
      <c r="AG397" s="18"/>
      <c r="AH397" s="18"/>
      <c r="AI397" s="18"/>
      <c r="AK397" s="32" t="s">
        <v>49</v>
      </c>
      <c r="AL397" t="s">
        <v>138</v>
      </c>
      <c r="AM397" t="s">
        <v>292</v>
      </c>
      <c r="AN397" t="s">
        <v>293</v>
      </c>
      <c r="AW397" t="s">
        <v>181</v>
      </c>
      <c r="AX397" t="s">
        <v>313</v>
      </c>
      <c r="AY397">
        <v>11</v>
      </c>
      <c r="AZ397" t="s">
        <v>182</v>
      </c>
      <c r="BA397" t="s">
        <v>183</v>
      </c>
      <c r="BB397" t="s">
        <v>184</v>
      </c>
      <c r="BC397" t="s">
        <v>185</v>
      </c>
      <c r="BD397" t="s">
        <v>186</v>
      </c>
      <c r="BE397" t="s">
        <v>184</v>
      </c>
      <c r="BF397" t="s">
        <v>313</v>
      </c>
      <c r="BG397" t="s">
        <v>181</v>
      </c>
      <c r="BH397" t="s">
        <v>187</v>
      </c>
    </row>
    <row r="398" spans="33:60" x14ac:dyDescent="0.25">
      <c r="AG398" s="18"/>
      <c r="AH398" s="18"/>
      <c r="AI398" s="18"/>
      <c r="AK398" s="32" t="s">
        <v>49</v>
      </c>
      <c r="AL398" t="s">
        <v>138</v>
      </c>
      <c r="AM398" t="s">
        <v>297</v>
      </c>
      <c r="AN398" t="s">
        <v>298</v>
      </c>
      <c r="AW398" t="s">
        <v>195</v>
      </c>
      <c r="AX398" t="s">
        <v>313</v>
      </c>
      <c r="AY398">
        <v>14</v>
      </c>
      <c r="AZ398" t="s">
        <v>196</v>
      </c>
      <c r="BA398" t="s">
        <v>197</v>
      </c>
      <c r="BB398" t="s">
        <v>198</v>
      </c>
      <c r="BC398" t="s">
        <v>199</v>
      </c>
      <c r="BD398" t="s">
        <v>200</v>
      </c>
      <c r="BE398" t="s">
        <v>198</v>
      </c>
      <c r="BF398" t="s">
        <v>313</v>
      </c>
      <c r="BG398" t="s">
        <v>195</v>
      </c>
      <c r="BH398" t="s">
        <v>201</v>
      </c>
    </row>
    <row r="399" spans="33:60" x14ac:dyDescent="0.25">
      <c r="AG399" s="18"/>
      <c r="AH399" s="18"/>
      <c r="AI399" s="18"/>
      <c r="AK399" s="32" t="s">
        <v>49</v>
      </c>
      <c r="AL399" t="s">
        <v>138</v>
      </c>
      <c r="AM399" t="s">
        <v>302</v>
      </c>
      <c r="AN399" t="s">
        <v>303</v>
      </c>
      <c r="AW399" t="s">
        <v>208</v>
      </c>
      <c r="AX399" t="s">
        <v>313</v>
      </c>
      <c r="AY399">
        <v>18</v>
      </c>
      <c r="AZ399" t="s">
        <v>209</v>
      </c>
      <c r="BA399" t="s">
        <v>210</v>
      </c>
      <c r="BB399" t="s">
        <v>211</v>
      </c>
      <c r="BC399" t="s">
        <v>212</v>
      </c>
      <c r="BD399" t="s">
        <v>213</v>
      </c>
      <c r="BE399" t="s">
        <v>211</v>
      </c>
      <c r="BF399" t="s">
        <v>313</v>
      </c>
      <c r="BG399" t="s">
        <v>208</v>
      </c>
      <c r="BH399" t="s">
        <v>214</v>
      </c>
    </row>
    <row r="400" spans="33:60" x14ac:dyDescent="0.25">
      <c r="AG400" s="18"/>
      <c r="AH400" s="18"/>
      <c r="AI400" s="43"/>
      <c r="AK400" s="32" t="s">
        <v>49</v>
      </c>
      <c r="AL400" t="s">
        <v>138</v>
      </c>
      <c r="AM400" t="s">
        <v>306</v>
      </c>
      <c r="AN400" t="s">
        <v>307</v>
      </c>
      <c r="AW400" t="s">
        <v>52</v>
      </c>
      <c r="AX400" t="s">
        <v>317</v>
      </c>
      <c r="AY400">
        <v>3</v>
      </c>
      <c r="AZ400" t="s">
        <v>54</v>
      </c>
      <c r="BA400" t="s">
        <v>55</v>
      </c>
      <c r="BB400" t="s">
        <v>56</v>
      </c>
      <c r="BC400" t="s">
        <v>57</v>
      </c>
      <c r="BD400" t="s">
        <v>58</v>
      </c>
      <c r="BE400" t="s">
        <v>56</v>
      </c>
      <c r="BF400" t="s">
        <v>317</v>
      </c>
      <c r="BG400" t="s">
        <v>52</v>
      </c>
      <c r="BH400" t="s">
        <v>59</v>
      </c>
    </row>
    <row r="401" spans="33:60" x14ac:dyDescent="0.25">
      <c r="AG401" s="18"/>
      <c r="AH401" s="18"/>
      <c r="AI401" s="18"/>
      <c r="AK401" s="32" t="s">
        <v>49</v>
      </c>
      <c r="AL401" t="s">
        <v>138</v>
      </c>
      <c r="AM401" t="s">
        <v>310</v>
      </c>
      <c r="AN401" t="s">
        <v>311</v>
      </c>
      <c r="AW401" t="s">
        <v>80</v>
      </c>
      <c r="AX401" t="s">
        <v>317</v>
      </c>
      <c r="AY401">
        <v>4</v>
      </c>
      <c r="AZ401" t="s">
        <v>81</v>
      </c>
      <c r="BA401" t="s">
        <v>82</v>
      </c>
      <c r="BB401" t="s">
        <v>83</v>
      </c>
      <c r="BC401" t="s">
        <v>84</v>
      </c>
      <c r="BD401" t="s">
        <v>85</v>
      </c>
      <c r="BE401" t="s">
        <v>83</v>
      </c>
      <c r="BF401" t="s">
        <v>317</v>
      </c>
      <c r="BG401" t="s">
        <v>80</v>
      </c>
      <c r="BH401" t="s">
        <v>86</v>
      </c>
    </row>
    <row r="402" spans="33:60" x14ac:dyDescent="0.25">
      <c r="AG402" s="18"/>
      <c r="AH402" s="18"/>
      <c r="AI402" s="18"/>
      <c r="AK402" s="32" t="s">
        <v>49</v>
      </c>
      <c r="AL402" t="s">
        <v>138</v>
      </c>
      <c r="AM402" t="s">
        <v>314</v>
      </c>
      <c r="AN402" t="s">
        <v>315</v>
      </c>
      <c r="AW402" t="s">
        <v>102</v>
      </c>
      <c r="AX402" t="s">
        <v>317</v>
      </c>
      <c r="AY402">
        <v>5</v>
      </c>
      <c r="AZ402" t="s">
        <v>103</v>
      </c>
      <c r="BA402" t="s">
        <v>104</v>
      </c>
      <c r="BB402" t="s">
        <v>105</v>
      </c>
      <c r="BC402" t="s">
        <v>106</v>
      </c>
      <c r="BD402" t="s">
        <v>107</v>
      </c>
      <c r="BE402" t="s">
        <v>105</v>
      </c>
      <c r="BF402" t="s">
        <v>317</v>
      </c>
      <c r="BG402" t="s">
        <v>102</v>
      </c>
      <c r="BH402" t="s">
        <v>64</v>
      </c>
    </row>
    <row r="403" spans="33:60" x14ac:dyDescent="0.25">
      <c r="AG403" s="18"/>
      <c r="AH403" s="18"/>
      <c r="AI403" s="18"/>
      <c r="AK403" s="32" t="s">
        <v>49</v>
      </c>
      <c r="AL403" t="s">
        <v>138</v>
      </c>
      <c r="AM403" t="s">
        <v>318</v>
      </c>
      <c r="AN403" t="s">
        <v>319</v>
      </c>
      <c r="AW403" t="s">
        <v>114</v>
      </c>
      <c r="AX403" t="s">
        <v>317</v>
      </c>
      <c r="AY403">
        <v>6</v>
      </c>
      <c r="AZ403" t="s">
        <v>115</v>
      </c>
      <c r="BA403" t="s">
        <v>116</v>
      </c>
      <c r="BB403" t="s">
        <v>117</v>
      </c>
      <c r="BC403" t="s">
        <v>118</v>
      </c>
      <c r="BD403" t="s">
        <v>119</v>
      </c>
      <c r="BE403" t="s">
        <v>117</v>
      </c>
      <c r="BF403" t="s">
        <v>317</v>
      </c>
      <c r="BG403" t="s">
        <v>114</v>
      </c>
      <c r="BH403" t="s">
        <v>120</v>
      </c>
    </row>
    <row r="404" spans="33:60" x14ac:dyDescent="0.25">
      <c r="AG404" s="18"/>
      <c r="AH404" s="18"/>
      <c r="AI404" s="18"/>
      <c r="AK404" s="32" t="s">
        <v>49</v>
      </c>
      <c r="AL404" t="s">
        <v>138</v>
      </c>
      <c r="AM404" t="s">
        <v>321</v>
      </c>
      <c r="AN404" t="s">
        <v>322</v>
      </c>
      <c r="AW404" t="s">
        <v>129</v>
      </c>
      <c r="AX404" t="s">
        <v>317</v>
      </c>
      <c r="AY404">
        <v>7</v>
      </c>
      <c r="AZ404" t="s">
        <v>130</v>
      </c>
      <c r="BA404" t="s">
        <v>131</v>
      </c>
      <c r="BB404" t="s">
        <v>132</v>
      </c>
      <c r="BC404" t="s">
        <v>133</v>
      </c>
      <c r="BD404" t="s">
        <v>134</v>
      </c>
      <c r="BE404" t="s">
        <v>132</v>
      </c>
      <c r="BF404" t="s">
        <v>317</v>
      </c>
      <c r="BG404" t="s">
        <v>129</v>
      </c>
      <c r="BH404" t="s">
        <v>135</v>
      </c>
    </row>
    <row r="405" spans="33:60" x14ac:dyDescent="0.25">
      <c r="AG405" s="18"/>
      <c r="AH405" s="18"/>
      <c r="AI405" s="18"/>
      <c r="AK405" s="32" t="s">
        <v>49</v>
      </c>
      <c r="AL405" t="s">
        <v>138</v>
      </c>
      <c r="AM405" t="s">
        <v>325</v>
      </c>
      <c r="AN405" t="s">
        <v>326</v>
      </c>
      <c r="AW405" t="s">
        <v>142</v>
      </c>
      <c r="AX405" t="s">
        <v>317</v>
      </c>
      <c r="AY405">
        <v>8</v>
      </c>
      <c r="AZ405" t="s">
        <v>143</v>
      </c>
      <c r="BA405" t="s">
        <v>144</v>
      </c>
      <c r="BB405" t="s">
        <v>145</v>
      </c>
      <c r="BC405" t="s">
        <v>146</v>
      </c>
      <c r="BD405" t="s">
        <v>147</v>
      </c>
      <c r="BE405" t="s">
        <v>145</v>
      </c>
      <c r="BF405" t="s">
        <v>317</v>
      </c>
      <c r="BG405" t="s">
        <v>142</v>
      </c>
      <c r="BH405" t="s">
        <v>148</v>
      </c>
    </row>
    <row r="406" spans="33:60" x14ac:dyDescent="0.25">
      <c r="AG406" s="18"/>
      <c r="AH406" s="18"/>
      <c r="AI406" s="18"/>
      <c r="AK406" s="32" t="s">
        <v>49</v>
      </c>
      <c r="AL406" t="s">
        <v>138</v>
      </c>
      <c r="AM406" t="s">
        <v>327</v>
      </c>
      <c r="AN406" t="s">
        <v>328</v>
      </c>
      <c r="AW406" t="s">
        <v>154</v>
      </c>
      <c r="AX406" t="s">
        <v>317</v>
      </c>
      <c r="AY406">
        <v>9</v>
      </c>
      <c r="AZ406" t="s">
        <v>155</v>
      </c>
      <c r="BA406" t="s">
        <v>156</v>
      </c>
      <c r="BB406" t="s">
        <v>157</v>
      </c>
      <c r="BC406" t="s">
        <v>158</v>
      </c>
      <c r="BD406" t="s">
        <v>159</v>
      </c>
      <c r="BE406" t="s">
        <v>157</v>
      </c>
      <c r="BF406" t="s">
        <v>317</v>
      </c>
      <c r="BG406" t="s">
        <v>154</v>
      </c>
      <c r="BH406" t="s">
        <v>89</v>
      </c>
    </row>
    <row r="407" spans="33:60" x14ac:dyDescent="0.25">
      <c r="AG407" s="18"/>
      <c r="AH407" s="18"/>
      <c r="AI407" s="18"/>
      <c r="AK407" s="32" t="s">
        <v>49</v>
      </c>
      <c r="AL407" t="s">
        <v>138</v>
      </c>
      <c r="AM407" t="s">
        <v>329</v>
      </c>
      <c r="AN407" t="s">
        <v>330</v>
      </c>
      <c r="AW407" t="s">
        <v>166</v>
      </c>
      <c r="AX407" t="s">
        <v>317</v>
      </c>
      <c r="AY407">
        <v>10</v>
      </c>
      <c r="AZ407" t="s">
        <v>167</v>
      </c>
      <c r="BA407" t="s">
        <v>168</v>
      </c>
      <c r="BB407" t="s">
        <v>169</v>
      </c>
      <c r="BC407" t="s">
        <v>170</v>
      </c>
      <c r="BD407" t="s">
        <v>171</v>
      </c>
      <c r="BE407" t="s">
        <v>169</v>
      </c>
      <c r="BF407" t="s">
        <v>317</v>
      </c>
      <c r="BG407" t="s">
        <v>166</v>
      </c>
      <c r="BH407" t="s">
        <v>172</v>
      </c>
    </row>
    <row r="408" spans="33:60" x14ac:dyDescent="0.25">
      <c r="AG408" s="18"/>
      <c r="AH408" s="18"/>
      <c r="AI408" s="18"/>
      <c r="AK408" s="32" t="s">
        <v>49</v>
      </c>
      <c r="AL408" t="s">
        <v>138</v>
      </c>
      <c r="AM408" t="s">
        <v>331</v>
      </c>
      <c r="AN408" t="s">
        <v>332</v>
      </c>
      <c r="AW408" t="s">
        <v>181</v>
      </c>
      <c r="AX408" t="s">
        <v>317</v>
      </c>
      <c r="AY408">
        <v>11</v>
      </c>
      <c r="AZ408" t="s">
        <v>182</v>
      </c>
      <c r="BA408" t="s">
        <v>183</v>
      </c>
      <c r="BB408" t="s">
        <v>184</v>
      </c>
      <c r="BC408" t="s">
        <v>185</v>
      </c>
      <c r="BD408" t="s">
        <v>186</v>
      </c>
      <c r="BE408" t="s">
        <v>184</v>
      </c>
      <c r="BF408" t="s">
        <v>317</v>
      </c>
      <c r="BG408" t="s">
        <v>181</v>
      </c>
      <c r="BH408" t="s">
        <v>187</v>
      </c>
    </row>
    <row r="409" spans="33:60" x14ac:dyDescent="0.25">
      <c r="AG409" s="18"/>
      <c r="AH409" s="18"/>
      <c r="AI409" s="18"/>
      <c r="AK409" s="32" t="s">
        <v>49</v>
      </c>
      <c r="AL409" t="s">
        <v>138</v>
      </c>
      <c r="AM409" t="s">
        <v>333</v>
      </c>
      <c r="AN409" t="s">
        <v>334</v>
      </c>
      <c r="AW409" t="s">
        <v>195</v>
      </c>
      <c r="AX409" t="s">
        <v>317</v>
      </c>
      <c r="AY409">
        <v>14</v>
      </c>
      <c r="AZ409" t="s">
        <v>196</v>
      </c>
      <c r="BA409" t="s">
        <v>197</v>
      </c>
      <c r="BB409" t="s">
        <v>198</v>
      </c>
      <c r="BC409" t="s">
        <v>199</v>
      </c>
      <c r="BD409" t="s">
        <v>200</v>
      </c>
      <c r="BE409" t="s">
        <v>198</v>
      </c>
      <c r="BF409" t="s">
        <v>317</v>
      </c>
      <c r="BG409" t="s">
        <v>195</v>
      </c>
      <c r="BH409" t="s">
        <v>201</v>
      </c>
    </row>
    <row r="410" spans="33:60" x14ac:dyDescent="0.25">
      <c r="AG410" s="18"/>
      <c r="AH410" s="18"/>
      <c r="AI410" s="18"/>
      <c r="AK410" s="32" t="s">
        <v>49</v>
      </c>
      <c r="AL410" t="s">
        <v>138</v>
      </c>
      <c r="AM410" t="s">
        <v>335</v>
      </c>
      <c r="AN410" t="s">
        <v>336</v>
      </c>
      <c r="AW410" t="s">
        <v>208</v>
      </c>
      <c r="AX410" t="s">
        <v>317</v>
      </c>
      <c r="AY410">
        <v>18</v>
      </c>
      <c r="AZ410" t="s">
        <v>209</v>
      </c>
      <c r="BA410" t="s">
        <v>210</v>
      </c>
      <c r="BB410" t="s">
        <v>211</v>
      </c>
      <c r="BC410" t="s">
        <v>212</v>
      </c>
      <c r="BD410" t="s">
        <v>213</v>
      </c>
      <c r="BE410" t="s">
        <v>211</v>
      </c>
      <c r="BF410" t="s">
        <v>317</v>
      </c>
      <c r="BG410" t="s">
        <v>208</v>
      </c>
      <c r="BH410" t="s">
        <v>214</v>
      </c>
    </row>
    <row r="411" spans="33:60" x14ac:dyDescent="0.25">
      <c r="AG411" s="18"/>
      <c r="AH411" s="18"/>
      <c r="AI411" s="18"/>
      <c r="AK411" s="32" t="s">
        <v>49</v>
      </c>
      <c r="AL411" t="s">
        <v>138</v>
      </c>
      <c r="AM411" t="s">
        <v>337</v>
      </c>
      <c r="AN411" t="s">
        <v>338</v>
      </c>
      <c r="AW411" t="s">
        <v>52</v>
      </c>
      <c r="AX411" t="s">
        <v>320</v>
      </c>
      <c r="AY411">
        <v>3</v>
      </c>
      <c r="AZ411" t="s">
        <v>54</v>
      </c>
      <c r="BA411" t="s">
        <v>55</v>
      </c>
      <c r="BB411" t="s">
        <v>56</v>
      </c>
      <c r="BC411" t="s">
        <v>57</v>
      </c>
      <c r="BD411" t="s">
        <v>58</v>
      </c>
      <c r="BE411" t="s">
        <v>56</v>
      </c>
      <c r="BF411" t="s">
        <v>320</v>
      </c>
      <c r="BG411" t="s">
        <v>52</v>
      </c>
      <c r="BH411" t="s">
        <v>59</v>
      </c>
    </row>
    <row r="412" spans="33:60" x14ac:dyDescent="0.25">
      <c r="AG412" s="18"/>
      <c r="AH412" s="18"/>
      <c r="AI412" s="18"/>
      <c r="AK412" s="32" t="s">
        <v>49</v>
      </c>
      <c r="AL412" t="s">
        <v>138</v>
      </c>
      <c r="AM412" t="s">
        <v>340</v>
      </c>
      <c r="AN412" t="s">
        <v>341</v>
      </c>
      <c r="AW412" t="s">
        <v>80</v>
      </c>
      <c r="AX412" t="s">
        <v>320</v>
      </c>
      <c r="AY412">
        <v>4</v>
      </c>
      <c r="AZ412" t="s">
        <v>81</v>
      </c>
      <c r="BA412" t="s">
        <v>82</v>
      </c>
      <c r="BB412" t="s">
        <v>83</v>
      </c>
      <c r="BC412" t="s">
        <v>84</v>
      </c>
      <c r="BD412" t="s">
        <v>85</v>
      </c>
      <c r="BE412" t="s">
        <v>83</v>
      </c>
      <c r="BF412" t="s">
        <v>320</v>
      </c>
      <c r="BG412" t="s">
        <v>80</v>
      </c>
      <c r="BH412" t="s">
        <v>86</v>
      </c>
    </row>
    <row r="413" spans="33:60" x14ac:dyDescent="0.25">
      <c r="AG413" s="18"/>
      <c r="AH413" s="18"/>
      <c r="AI413" s="18"/>
      <c r="AK413" s="32" t="s">
        <v>49</v>
      </c>
      <c r="AL413" t="s">
        <v>138</v>
      </c>
      <c r="AM413" t="s">
        <v>342</v>
      </c>
      <c r="AN413" t="s">
        <v>343</v>
      </c>
      <c r="AW413" t="s">
        <v>102</v>
      </c>
      <c r="AX413" t="s">
        <v>320</v>
      </c>
      <c r="AY413">
        <v>5</v>
      </c>
      <c r="AZ413" t="s">
        <v>103</v>
      </c>
      <c r="BA413" t="s">
        <v>104</v>
      </c>
      <c r="BB413" t="s">
        <v>105</v>
      </c>
      <c r="BC413" t="s">
        <v>106</v>
      </c>
      <c r="BD413" t="s">
        <v>107</v>
      </c>
      <c r="BE413" t="s">
        <v>105</v>
      </c>
      <c r="BF413" t="s">
        <v>320</v>
      </c>
      <c r="BG413" t="s">
        <v>102</v>
      </c>
      <c r="BH413" t="s">
        <v>64</v>
      </c>
    </row>
    <row r="414" spans="33:60" x14ac:dyDescent="0.25">
      <c r="AG414" s="18"/>
      <c r="AH414" s="18"/>
      <c r="AI414" s="18"/>
      <c r="AK414" s="32" t="s">
        <v>49</v>
      </c>
      <c r="AL414" t="s">
        <v>138</v>
      </c>
      <c r="AM414" t="s">
        <v>344</v>
      </c>
      <c r="AN414" t="s">
        <v>345</v>
      </c>
      <c r="AW414" t="s">
        <v>114</v>
      </c>
      <c r="AX414" t="s">
        <v>320</v>
      </c>
      <c r="AY414">
        <v>6</v>
      </c>
      <c r="AZ414" t="s">
        <v>115</v>
      </c>
      <c r="BA414" t="s">
        <v>116</v>
      </c>
      <c r="BB414" t="s">
        <v>117</v>
      </c>
      <c r="BC414" t="s">
        <v>118</v>
      </c>
      <c r="BD414" t="s">
        <v>119</v>
      </c>
      <c r="BE414" t="s">
        <v>117</v>
      </c>
      <c r="BF414" t="s">
        <v>320</v>
      </c>
      <c r="BG414" t="s">
        <v>114</v>
      </c>
      <c r="BH414" t="s">
        <v>120</v>
      </c>
    </row>
    <row r="415" spans="33:60" x14ac:dyDescent="0.25">
      <c r="AK415" s="32" t="s">
        <v>49</v>
      </c>
      <c r="AL415" t="s">
        <v>138</v>
      </c>
      <c r="AM415" t="s">
        <v>346</v>
      </c>
      <c r="AN415" t="s">
        <v>347</v>
      </c>
      <c r="AW415" t="s">
        <v>129</v>
      </c>
      <c r="AX415" t="s">
        <v>320</v>
      </c>
      <c r="AY415">
        <v>7</v>
      </c>
      <c r="AZ415" t="s">
        <v>130</v>
      </c>
      <c r="BA415" t="s">
        <v>131</v>
      </c>
      <c r="BB415" t="s">
        <v>132</v>
      </c>
      <c r="BC415" t="s">
        <v>133</v>
      </c>
      <c r="BD415" t="s">
        <v>134</v>
      </c>
      <c r="BE415" t="s">
        <v>132</v>
      </c>
      <c r="BF415" t="s">
        <v>320</v>
      </c>
      <c r="BG415" t="s">
        <v>129</v>
      </c>
      <c r="BH415" t="s">
        <v>135</v>
      </c>
    </row>
    <row r="416" spans="33:60" x14ac:dyDescent="0.25">
      <c r="AK416" s="32" t="s">
        <v>49</v>
      </c>
      <c r="AL416" t="s">
        <v>138</v>
      </c>
      <c r="AM416" t="s">
        <v>348</v>
      </c>
      <c r="AN416" t="s">
        <v>349</v>
      </c>
      <c r="AW416" t="s">
        <v>142</v>
      </c>
      <c r="AX416" t="s">
        <v>320</v>
      </c>
      <c r="AY416">
        <v>8</v>
      </c>
      <c r="AZ416" t="s">
        <v>143</v>
      </c>
      <c r="BA416" t="s">
        <v>144</v>
      </c>
      <c r="BB416" t="s">
        <v>145</v>
      </c>
      <c r="BC416" t="s">
        <v>146</v>
      </c>
      <c r="BD416" t="s">
        <v>147</v>
      </c>
      <c r="BE416" t="s">
        <v>145</v>
      </c>
      <c r="BF416" t="s">
        <v>320</v>
      </c>
      <c r="BG416" t="s">
        <v>142</v>
      </c>
      <c r="BH416" t="s">
        <v>148</v>
      </c>
    </row>
    <row r="417" spans="37:60" x14ac:dyDescent="0.25">
      <c r="AK417" s="32" t="s">
        <v>49</v>
      </c>
      <c r="AL417" t="s">
        <v>138</v>
      </c>
      <c r="AM417" t="s">
        <v>350</v>
      </c>
      <c r="AN417" t="s">
        <v>351</v>
      </c>
      <c r="AW417" t="s">
        <v>154</v>
      </c>
      <c r="AX417" t="s">
        <v>320</v>
      </c>
      <c r="AY417">
        <v>9</v>
      </c>
      <c r="AZ417" t="s">
        <v>155</v>
      </c>
      <c r="BA417" t="s">
        <v>156</v>
      </c>
      <c r="BB417" t="s">
        <v>157</v>
      </c>
      <c r="BC417" t="s">
        <v>158</v>
      </c>
      <c r="BD417" t="s">
        <v>159</v>
      </c>
      <c r="BE417" t="s">
        <v>157</v>
      </c>
      <c r="BF417" t="s">
        <v>320</v>
      </c>
      <c r="BG417" t="s">
        <v>154</v>
      </c>
      <c r="BH417" t="s">
        <v>89</v>
      </c>
    </row>
    <row r="418" spans="37:60" x14ac:dyDescent="0.25">
      <c r="AK418" s="32" t="s">
        <v>49</v>
      </c>
      <c r="AL418" t="s">
        <v>138</v>
      </c>
      <c r="AM418" t="s">
        <v>352</v>
      </c>
      <c r="AN418" t="s">
        <v>353</v>
      </c>
      <c r="AW418" t="s">
        <v>166</v>
      </c>
      <c r="AX418" t="s">
        <v>320</v>
      </c>
      <c r="AY418">
        <v>10</v>
      </c>
      <c r="AZ418" t="s">
        <v>167</v>
      </c>
      <c r="BA418" t="s">
        <v>168</v>
      </c>
      <c r="BB418" t="s">
        <v>169</v>
      </c>
      <c r="BC418" t="s">
        <v>170</v>
      </c>
      <c r="BD418" t="s">
        <v>171</v>
      </c>
      <c r="BE418" t="s">
        <v>169</v>
      </c>
      <c r="BF418" t="s">
        <v>320</v>
      </c>
      <c r="BG418" t="s">
        <v>166</v>
      </c>
      <c r="BH418" t="s">
        <v>172</v>
      </c>
    </row>
    <row r="419" spans="37:60" x14ac:dyDescent="0.25">
      <c r="AK419" s="32" t="s">
        <v>49</v>
      </c>
      <c r="AL419" t="s">
        <v>138</v>
      </c>
      <c r="AM419" t="s">
        <v>354</v>
      </c>
      <c r="AN419" t="s">
        <v>355</v>
      </c>
      <c r="AW419" t="s">
        <v>181</v>
      </c>
      <c r="AX419" t="s">
        <v>320</v>
      </c>
      <c r="AY419">
        <v>11</v>
      </c>
      <c r="AZ419" t="s">
        <v>182</v>
      </c>
      <c r="BA419" t="s">
        <v>183</v>
      </c>
      <c r="BB419" t="s">
        <v>184</v>
      </c>
      <c r="BC419" t="s">
        <v>185</v>
      </c>
      <c r="BD419" t="s">
        <v>186</v>
      </c>
      <c r="BE419" t="s">
        <v>184</v>
      </c>
      <c r="BF419" t="s">
        <v>320</v>
      </c>
      <c r="BG419" t="s">
        <v>181</v>
      </c>
      <c r="BH419" t="s">
        <v>187</v>
      </c>
    </row>
    <row r="420" spans="37:60" x14ac:dyDescent="0.25">
      <c r="AK420" s="32" t="s">
        <v>49</v>
      </c>
      <c r="AL420" t="s">
        <v>138</v>
      </c>
      <c r="AM420" t="s">
        <v>356</v>
      </c>
      <c r="AN420" t="s">
        <v>357</v>
      </c>
      <c r="AW420" t="s">
        <v>195</v>
      </c>
      <c r="AX420" t="s">
        <v>320</v>
      </c>
      <c r="AY420">
        <v>14</v>
      </c>
      <c r="AZ420" t="s">
        <v>196</v>
      </c>
      <c r="BA420" t="s">
        <v>197</v>
      </c>
      <c r="BB420" t="s">
        <v>198</v>
      </c>
      <c r="BC420" t="s">
        <v>199</v>
      </c>
      <c r="BD420" t="s">
        <v>200</v>
      </c>
      <c r="BE420" t="s">
        <v>198</v>
      </c>
      <c r="BF420" t="s">
        <v>320</v>
      </c>
      <c r="BG420" t="s">
        <v>195</v>
      </c>
      <c r="BH420" t="s">
        <v>201</v>
      </c>
    </row>
    <row r="421" spans="37:60" x14ac:dyDescent="0.25">
      <c r="AK421" s="32" t="s">
        <v>49</v>
      </c>
      <c r="AL421" t="s">
        <v>138</v>
      </c>
      <c r="AM421" t="s">
        <v>358</v>
      </c>
      <c r="AN421" t="s">
        <v>359</v>
      </c>
      <c r="AW421" t="s">
        <v>208</v>
      </c>
      <c r="AX421" t="s">
        <v>320</v>
      </c>
      <c r="AY421">
        <v>18</v>
      </c>
      <c r="AZ421" t="s">
        <v>209</v>
      </c>
      <c r="BA421" t="s">
        <v>210</v>
      </c>
      <c r="BB421" t="s">
        <v>211</v>
      </c>
      <c r="BC421" t="s">
        <v>212</v>
      </c>
      <c r="BD421" t="s">
        <v>213</v>
      </c>
      <c r="BE421" t="s">
        <v>211</v>
      </c>
      <c r="BF421" t="s">
        <v>320</v>
      </c>
      <c r="BG421" t="s">
        <v>208</v>
      </c>
      <c r="BH421" t="s">
        <v>214</v>
      </c>
    </row>
    <row r="422" spans="37:60" x14ac:dyDescent="0.25">
      <c r="AK422" s="32" t="s">
        <v>49</v>
      </c>
      <c r="AL422" t="s">
        <v>138</v>
      </c>
      <c r="AM422" t="s">
        <v>360</v>
      </c>
      <c r="AN422" t="s">
        <v>361</v>
      </c>
      <c r="AW422" s="18"/>
      <c r="AX422" t="s">
        <v>324</v>
      </c>
      <c r="AY422">
        <v>3</v>
      </c>
      <c r="AZ422" t="s">
        <v>54</v>
      </c>
      <c r="BA422" t="s">
        <v>55</v>
      </c>
      <c r="BB422" t="s">
        <v>56</v>
      </c>
      <c r="BC422" t="s">
        <v>57</v>
      </c>
      <c r="BD422" t="s">
        <v>58</v>
      </c>
      <c r="BE422" t="s">
        <v>56</v>
      </c>
      <c r="BF422" t="s">
        <v>324</v>
      </c>
      <c r="BG422" t="s">
        <v>52</v>
      </c>
      <c r="BH422" t="s">
        <v>59</v>
      </c>
    </row>
    <row r="423" spans="37:60" x14ac:dyDescent="0.25">
      <c r="AK423" s="32" t="s">
        <v>49</v>
      </c>
      <c r="AL423" t="s">
        <v>138</v>
      </c>
      <c r="AM423" t="s">
        <v>362</v>
      </c>
      <c r="AN423" t="s">
        <v>363</v>
      </c>
      <c r="AW423" s="18"/>
      <c r="AX423" t="s">
        <v>324</v>
      </c>
      <c r="AY423">
        <v>4</v>
      </c>
      <c r="AZ423" t="s">
        <v>81</v>
      </c>
      <c r="BA423" t="s">
        <v>82</v>
      </c>
      <c r="BB423" t="s">
        <v>83</v>
      </c>
      <c r="BC423" t="s">
        <v>84</v>
      </c>
      <c r="BD423" t="s">
        <v>85</v>
      </c>
      <c r="BE423" t="s">
        <v>83</v>
      </c>
      <c r="BF423" t="s">
        <v>324</v>
      </c>
      <c r="BG423" t="s">
        <v>80</v>
      </c>
      <c r="BH423" t="s">
        <v>86</v>
      </c>
    </row>
    <row r="424" spans="37:60" x14ac:dyDescent="0.25">
      <c r="AK424" s="32" t="s">
        <v>49</v>
      </c>
      <c r="AL424" t="s">
        <v>138</v>
      </c>
      <c r="AM424" t="s">
        <v>364</v>
      </c>
      <c r="AN424" t="s">
        <v>365</v>
      </c>
      <c r="AW424" s="18"/>
      <c r="AX424" t="s">
        <v>324</v>
      </c>
      <c r="AY424">
        <v>5</v>
      </c>
      <c r="AZ424" t="s">
        <v>103</v>
      </c>
      <c r="BA424" t="s">
        <v>104</v>
      </c>
      <c r="BB424" t="s">
        <v>105</v>
      </c>
      <c r="BC424" t="s">
        <v>106</v>
      </c>
      <c r="BD424" t="s">
        <v>107</v>
      </c>
      <c r="BE424" t="s">
        <v>105</v>
      </c>
      <c r="BF424" t="s">
        <v>324</v>
      </c>
      <c r="BG424" t="s">
        <v>102</v>
      </c>
      <c r="BH424" t="s">
        <v>64</v>
      </c>
    </row>
    <row r="425" spans="37:60" x14ac:dyDescent="0.25">
      <c r="AK425" s="32" t="s">
        <v>49</v>
      </c>
      <c r="AL425" t="s">
        <v>138</v>
      </c>
      <c r="AM425" t="s">
        <v>366</v>
      </c>
      <c r="AN425" t="s">
        <v>367</v>
      </c>
      <c r="AW425" s="18"/>
      <c r="AX425" t="s">
        <v>324</v>
      </c>
      <c r="AY425">
        <v>6</v>
      </c>
      <c r="AZ425" t="s">
        <v>115</v>
      </c>
      <c r="BA425" t="s">
        <v>116</v>
      </c>
      <c r="BB425" t="s">
        <v>117</v>
      </c>
      <c r="BC425" t="s">
        <v>118</v>
      </c>
      <c r="BD425" t="s">
        <v>119</v>
      </c>
      <c r="BE425" t="s">
        <v>117</v>
      </c>
      <c r="BF425" t="s">
        <v>324</v>
      </c>
      <c r="BG425" t="s">
        <v>114</v>
      </c>
      <c r="BH425" t="s">
        <v>120</v>
      </c>
    </row>
    <row r="426" spans="37:60" x14ac:dyDescent="0.25">
      <c r="AK426" s="32" t="s">
        <v>49</v>
      </c>
      <c r="AL426" t="s">
        <v>138</v>
      </c>
      <c r="AM426" t="s">
        <v>368</v>
      </c>
      <c r="AN426" t="s">
        <v>369</v>
      </c>
      <c r="AW426" s="18"/>
      <c r="AX426" t="s">
        <v>324</v>
      </c>
      <c r="AY426">
        <v>7</v>
      </c>
      <c r="AZ426" t="s">
        <v>130</v>
      </c>
      <c r="BA426" t="s">
        <v>131</v>
      </c>
      <c r="BB426" t="s">
        <v>132</v>
      </c>
      <c r="BC426" t="s">
        <v>133</v>
      </c>
      <c r="BD426" t="s">
        <v>134</v>
      </c>
      <c r="BE426" t="s">
        <v>132</v>
      </c>
      <c r="BF426" t="s">
        <v>324</v>
      </c>
      <c r="BG426" t="s">
        <v>129</v>
      </c>
      <c r="BH426" t="s">
        <v>135</v>
      </c>
    </row>
    <row r="427" spans="37:60" x14ac:dyDescent="0.25">
      <c r="AK427" s="32" t="s">
        <v>49</v>
      </c>
      <c r="AL427" t="s">
        <v>138</v>
      </c>
      <c r="AM427" t="s">
        <v>370</v>
      </c>
      <c r="AN427" t="s">
        <v>371</v>
      </c>
      <c r="AW427" s="18"/>
      <c r="AX427" t="s">
        <v>324</v>
      </c>
      <c r="AY427">
        <v>8</v>
      </c>
      <c r="AZ427" t="s">
        <v>143</v>
      </c>
      <c r="BA427" t="s">
        <v>144</v>
      </c>
      <c r="BB427" t="s">
        <v>145</v>
      </c>
      <c r="BC427" t="s">
        <v>146</v>
      </c>
      <c r="BD427" t="s">
        <v>147</v>
      </c>
      <c r="BE427" t="s">
        <v>145</v>
      </c>
      <c r="BF427" t="s">
        <v>324</v>
      </c>
      <c r="BG427" t="s">
        <v>142</v>
      </c>
      <c r="BH427" t="s">
        <v>148</v>
      </c>
    </row>
    <row r="428" spans="37:60" x14ac:dyDescent="0.25">
      <c r="AW428" s="18"/>
      <c r="AX428" t="s">
        <v>324</v>
      </c>
      <c r="AY428">
        <v>9</v>
      </c>
      <c r="AZ428" t="s">
        <v>155</v>
      </c>
      <c r="BA428" t="s">
        <v>156</v>
      </c>
      <c r="BB428" t="s">
        <v>157</v>
      </c>
      <c r="BC428" t="s">
        <v>158</v>
      </c>
      <c r="BD428" t="s">
        <v>159</v>
      </c>
      <c r="BE428" t="s">
        <v>157</v>
      </c>
      <c r="BF428" t="s">
        <v>324</v>
      </c>
      <c r="BG428" t="s">
        <v>154</v>
      </c>
      <c r="BH428" t="s">
        <v>89</v>
      </c>
    </row>
    <row r="429" spans="37:60" x14ac:dyDescent="0.25">
      <c r="AK429" s="32" t="s">
        <v>49</v>
      </c>
      <c r="AL429" t="s">
        <v>150</v>
      </c>
      <c r="AM429" t="s">
        <v>50</v>
      </c>
      <c r="AN429" t="s">
        <v>51</v>
      </c>
      <c r="AW429" s="18"/>
      <c r="AX429" t="s">
        <v>324</v>
      </c>
      <c r="AY429">
        <v>10</v>
      </c>
      <c r="AZ429" t="s">
        <v>167</v>
      </c>
      <c r="BA429" t="s">
        <v>168</v>
      </c>
      <c r="BB429" t="s">
        <v>169</v>
      </c>
      <c r="BC429" t="s">
        <v>170</v>
      </c>
      <c r="BD429" t="s">
        <v>171</v>
      </c>
      <c r="BE429" t="s">
        <v>169</v>
      </c>
      <c r="BF429" t="s">
        <v>324</v>
      </c>
      <c r="BG429" t="s">
        <v>166</v>
      </c>
      <c r="BH429" t="s">
        <v>172</v>
      </c>
    </row>
    <row r="430" spans="37:60" x14ac:dyDescent="0.25">
      <c r="AK430" s="32" t="s">
        <v>49</v>
      </c>
      <c r="AL430" t="s">
        <v>150</v>
      </c>
      <c r="AM430" t="s">
        <v>78</v>
      </c>
      <c r="AN430" t="s">
        <v>79</v>
      </c>
      <c r="AW430" s="18"/>
      <c r="AX430" t="s">
        <v>324</v>
      </c>
      <c r="AY430">
        <v>11</v>
      </c>
      <c r="AZ430" t="s">
        <v>182</v>
      </c>
      <c r="BA430" t="s">
        <v>183</v>
      </c>
      <c r="BB430" t="s">
        <v>184</v>
      </c>
      <c r="BC430" t="s">
        <v>185</v>
      </c>
      <c r="BD430" t="s">
        <v>186</v>
      </c>
      <c r="BE430" t="s">
        <v>184</v>
      </c>
      <c r="BF430" t="s">
        <v>324</v>
      </c>
      <c r="BG430" t="s">
        <v>181</v>
      </c>
      <c r="BH430" t="s">
        <v>187</v>
      </c>
    </row>
    <row r="431" spans="37:60" x14ac:dyDescent="0.25">
      <c r="AK431" s="32" t="s">
        <v>49</v>
      </c>
      <c r="AL431" t="s">
        <v>150</v>
      </c>
      <c r="AM431" t="s">
        <v>100</v>
      </c>
      <c r="AN431" t="s">
        <v>101</v>
      </c>
      <c r="AW431" s="18"/>
      <c r="AX431" t="s">
        <v>324</v>
      </c>
      <c r="AY431">
        <v>14</v>
      </c>
      <c r="AZ431" t="s">
        <v>196</v>
      </c>
      <c r="BA431" t="s">
        <v>197</v>
      </c>
      <c r="BB431" t="s">
        <v>198</v>
      </c>
      <c r="BC431" t="s">
        <v>199</v>
      </c>
      <c r="BD431" t="s">
        <v>200</v>
      </c>
      <c r="BE431" t="s">
        <v>198</v>
      </c>
      <c r="BF431" t="s">
        <v>324</v>
      </c>
      <c r="BG431" t="s">
        <v>195</v>
      </c>
      <c r="BH431" t="s">
        <v>201</v>
      </c>
    </row>
    <row r="432" spans="37:60" x14ac:dyDescent="0.25">
      <c r="AK432" s="32" t="s">
        <v>49</v>
      </c>
      <c r="AL432" t="s">
        <v>150</v>
      </c>
      <c r="AM432" t="s">
        <v>112</v>
      </c>
      <c r="AN432" t="s">
        <v>113</v>
      </c>
      <c r="AW432" s="18"/>
      <c r="AX432" t="s">
        <v>324</v>
      </c>
      <c r="AY432">
        <v>18</v>
      </c>
      <c r="AZ432" t="s">
        <v>209</v>
      </c>
      <c r="BA432" t="s">
        <v>210</v>
      </c>
      <c r="BB432" t="s">
        <v>211</v>
      </c>
      <c r="BC432" t="s">
        <v>212</v>
      </c>
      <c r="BD432" t="s">
        <v>213</v>
      </c>
      <c r="BE432" t="s">
        <v>211</v>
      </c>
      <c r="BF432" t="s">
        <v>324</v>
      </c>
      <c r="BG432" t="s">
        <v>208</v>
      </c>
      <c r="BH432" t="s">
        <v>214</v>
      </c>
    </row>
    <row r="433" spans="37:60" x14ac:dyDescent="0.25">
      <c r="AK433" s="32" t="s">
        <v>49</v>
      </c>
      <c r="AL433" t="s">
        <v>150</v>
      </c>
      <c r="AM433" t="s">
        <v>127</v>
      </c>
      <c r="AN433" t="s">
        <v>128</v>
      </c>
      <c r="AW433" s="18"/>
      <c r="AX433" s="18"/>
      <c r="AY433" s="18"/>
      <c r="AZ433" s="18"/>
      <c r="BA433" s="18"/>
      <c r="BB433" s="18"/>
      <c r="BC433" s="18"/>
      <c r="BD433" s="18"/>
      <c r="BF433" s="18"/>
      <c r="BG433" s="18"/>
      <c r="BH433" s="18"/>
    </row>
    <row r="434" spans="37:60" x14ac:dyDescent="0.25">
      <c r="AK434" s="32" t="s">
        <v>49</v>
      </c>
      <c r="AL434" t="s">
        <v>150</v>
      </c>
      <c r="AM434" t="s">
        <v>140</v>
      </c>
      <c r="AN434" t="s">
        <v>141</v>
      </c>
      <c r="AW434" s="18"/>
      <c r="AX434" s="18"/>
      <c r="AY434" s="18"/>
      <c r="AZ434" s="18"/>
      <c r="BA434" s="18"/>
      <c r="BB434" s="18"/>
      <c r="BC434" s="18"/>
      <c r="BD434" s="18"/>
      <c r="BF434" s="18"/>
      <c r="BG434" s="18"/>
      <c r="BH434" s="18"/>
    </row>
    <row r="435" spans="37:60" x14ac:dyDescent="0.25">
      <c r="AK435" s="32" t="s">
        <v>49</v>
      </c>
      <c r="AL435" t="s">
        <v>150</v>
      </c>
      <c r="AM435" t="s">
        <v>152</v>
      </c>
      <c r="AN435" t="s">
        <v>153</v>
      </c>
      <c r="AW435" s="18"/>
      <c r="AX435" s="18"/>
      <c r="AY435" s="18"/>
      <c r="AZ435" s="18"/>
      <c r="BA435" s="18"/>
      <c r="BB435" s="18"/>
      <c r="BC435" s="18"/>
      <c r="BD435" s="18"/>
      <c r="BF435" s="18"/>
      <c r="BG435" s="18"/>
      <c r="BH435" s="18"/>
    </row>
    <row r="436" spans="37:60" x14ac:dyDescent="0.25">
      <c r="AK436" s="32" t="s">
        <v>49</v>
      </c>
      <c r="AL436" t="s">
        <v>150</v>
      </c>
      <c r="AM436" t="s">
        <v>164</v>
      </c>
      <c r="AN436" t="s">
        <v>165</v>
      </c>
      <c r="AW436" s="18"/>
      <c r="AX436" s="18"/>
      <c r="AY436" s="18"/>
      <c r="AZ436" s="18"/>
      <c r="BA436" s="18"/>
      <c r="BB436" s="18"/>
      <c r="BC436" s="18"/>
      <c r="BD436" s="18"/>
      <c r="BF436" s="18"/>
      <c r="BG436" s="18"/>
      <c r="BH436" s="18"/>
    </row>
    <row r="437" spans="37:60" x14ac:dyDescent="0.25">
      <c r="AK437" s="32" t="s">
        <v>49</v>
      </c>
      <c r="AL437" t="s">
        <v>150</v>
      </c>
      <c r="AM437" t="s">
        <v>179</v>
      </c>
      <c r="AN437" t="s">
        <v>180</v>
      </c>
      <c r="AW437" s="18"/>
      <c r="AX437" s="18"/>
      <c r="AY437" s="18"/>
      <c r="AZ437" s="18"/>
      <c r="BA437" s="18"/>
      <c r="BB437" s="18"/>
      <c r="BC437" s="18"/>
      <c r="BD437" s="18"/>
      <c r="BF437" s="18"/>
      <c r="BG437" s="18"/>
      <c r="BH437" s="18"/>
    </row>
    <row r="438" spans="37:60" x14ac:dyDescent="0.25">
      <c r="AK438" s="32" t="s">
        <v>49</v>
      </c>
      <c r="AL438" t="s">
        <v>150</v>
      </c>
      <c r="AM438" t="s">
        <v>193</v>
      </c>
      <c r="AN438" t="s">
        <v>194</v>
      </c>
      <c r="AW438" s="18"/>
      <c r="AX438" s="18"/>
      <c r="AY438" s="18"/>
      <c r="AZ438" s="18"/>
      <c r="BA438" s="18"/>
      <c r="BB438" s="18"/>
      <c r="BC438" s="18"/>
      <c r="BD438" s="18"/>
      <c r="BF438" s="18"/>
      <c r="BG438" s="18"/>
      <c r="BH438" s="18"/>
    </row>
    <row r="439" spans="37:60" x14ac:dyDescent="0.25">
      <c r="AK439" s="32" t="s">
        <v>49</v>
      </c>
      <c r="AL439" t="s">
        <v>150</v>
      </c>
      <c r="AM439" t="s">
        <v>206</v>
      </c>
      <c r="AN439" t="s">
        <v>207</v>
      </c>
      <c r="AW439" s="18"/>
      <c r="AX439" s="18"/>
      <c r="AY439" s="18"/>
      <c r="AZ439" s="18"/>
      <c r="BA439" s="18"/>
      <c r="BB439" s="18"/>
      <c r="BC439" s="18"/>
      <c r="BD439" s="18"/>
      <c r="BF439" s="18"/>
      <c r="BG439" s="18"/>
      <c r="BH439" s="18"/>
    </row>
    <row r="440" spans="37:60" x14ac:dyDescent="0.25">
      <c r="AK440" s="32" t="s">
        <v>49</v>
      </c>
      <c r="AL440" t="s">
        <v>150</v>
      </c>
      <c r="AM440" t="s">
        <v>218</v>
      </c>
      <c r="AN440" t="s">
        <v>219</v>
      </c>
      <c r="AW440" s="18"/>
      <c r="AX440" s="18"/>
      <c r="AY440" s="18"/>
      <c r="AZ440" s="18"/>
      <c r="BA440" s="18"/>
      <c r="BB440" s="18"/>
      <c r="BC440" s="18"/>
      <c r="BD440" s="18"/>
      <c r="BF440" s="18"/>
      <c r="BG440" s="18"/>
      <c r="BH440" s="18"/>
    </row>
    <row r="441" spans="37:60" x14ac:dyDescent="0.25">
      <c r="AK441" s="32" t="s">
        <v>49</v>
      </c>
      <c r="AL441" t="s">
        <v>150</v>
      </c>
      <c r="AM441" t="s">
        <v>224</v>
      </c>
      <c r="AN441" t="s">
        <v>225</v>
      </c>
      <c r="AW441" s="18"/>
      <c r="AX441" s="18"/>
      <c r="AY441" s="18"/>
      <c r="AZ441" s="18"/>
      <c r="BA441" s="18"/>
      <c r="BB441" s="18"/>
      <c r="BC441" s="18"/>
      <c r="BD441" s="18"/>
      <c r="BF441" s="18"/>
      <c r="BG441" s="18"/>
      <c r="BH441" s="18"/>
    </row>
    <row r="442" spans="37:60" x14ac:dyDescent="0.25">
      <c r="AK442" s="32" t="s">
        <v>49</v>
      </c>
      <c r="AL442" t="s">
        <v>150</v>
      </c>
      <c r="AM442" t="s">
        <v>228</v>
      </c>
      <c r="AN442" t="s">
        <v>229</v>
      </c>
      <c r="AW442" s="18"/>
      <c r="AX442" s="18"/>
      <c r="AY442" s="18"/>
      <c r="AZ442" s="18"/>
      <c r="BA442" s="18"/>
      <c r="BB442" s="18"/>
      <c r="BC442" s="18"/>
      <c r="BD442" s="18"/>
      <c r="BF442" s="18"/>
      <c r="BG442" s="18"/>
      <c r="BH442" s="18"/>
    </row>
    <row r="443" spans="37:60" x14ac:dyDescent="0.25">
      <c r="AK443" s="32" t="s">
        <v>49</v>
      </c>
      <c r="AL443" t="s">
        <v>150</v>
      </c>
      <c r="AM443" t="s">
        <v>232</v>
      </c>
      <c r="AN443" t="s">
        <v>233</v>
      </c>
      <c r="AW443" s="18"/>
      <c r="AX443" s="18"/>
      <c r="AY443" s="18"/>
      <c r="AZ443" s="18"/>
      <c r="BA443" s="18"/>
      <c r="BB443" s="18"/>
      <c r="BC443" s="18"/>
      <c r="BD443" s="18"/>
      <c r="BF443" s="18"/>
      <c r="BG443" s="18"/>
      <c r="BH443" s="18"/>
    </row>
    <row r="444" spans="37:60" x14ac:dyDescent="0.25">
      <c r="AK444" s="32" t="s">
        <v>49</v>
      </c>
      <c r="AL444" t="s">
        <v>150</v>
      </c>
      <c r="AM444" t="s">
        <v>237</v>
      </c>
      <c r="AN444" t="s">
        <v>238</v>
      </c>
      <c r="AW444" s="18"/>
      <c r="AX444" s="18"/>
      <c r="AY444" s="18"/>
      <c r="AZ444" s="18"/>
      <c r="BA444" s="18"/>
      <c r="BB444" s="18"/>
      <c r="BC444" s="18"/>
      <c r="BD444" s="18"/>
      <c r="BF444" s="18"/>
      <c r="BG444" s="18"/>
      <c r="BH444" s="18"/>
    </row>
    <row r="445" spans="37:60" x14ac:dyDescent="0.25">
      <c r="AK445" s="32" t="s">
        <v>49</v>
      </c>
      <c r="AL445" t="s">
        <v>150</v>
      </c>
      <c r="AM445" t="s">
        <v>242</v>
      </c>
      <c r="AN445" t="s">
        <v>243</v>
      </c>
      <c r="AW445" s="18"/>
      <c r="AX445" s="18"/>
      <c r="AY445" s="18"/>
      <c r="AZ445" s="18"/>
      <c r="BA445" s="18"/>
      <c r="BB445" s="18"/>
      <c r="BC445" s="18"/>
      <c r="BD445" s="18"/>
      <c r="BF445" s="18"/>
      <c r="BG445" s="18"/>
      <c r="BH445" s="18"/>
    </row>
    <row r="446" spans="37:60" x14ac:dyDescent="0.25">
      <c r="AK446" s="32" t="s">
        <v>49</v>
      </c>
      <c r="AL446" t="s">
        <v>150</v>
      </c>
      <c r="AM446" t="s">
        <v>247</v>
      </c>
      <c r="AN446" t="s">
        <v>248</v>
      </c>
      <c r="AW446" s="18"/>
      <c r="AX446" s="18"/>
      <c r="AY446" s="18"/>
      <c r="AZ446" s="18"/>
      <c r="BA446" s="18"/>
      <c r="BB446" s="18"/>
      <c r="BC446" s="18"/>
      <c r="BD446" s="18"/>
      <c r="BF446" s="18"/>
      <c r="BG446" s="18"/>
      <c r="BH446" s="18"/>
    </row>
    <row r="447" spans="37:60" x14ac:dyDescent="0.25">
      <c r="AK447" s="32" t="s">
        <v>49</v>
      </c>
      <c r="AL447" t="s">
        <v>150</v>
      </c>
      <c r="AM447" t="s">
        <v>251</v>
      </c>
      <c r="AN447" t="s">
        <v>252</v>
      </c>
      <c r="AX447" s="18"/>
      <c r="AY447" s="18"/>
      <c r="AZ447" s="18"/>
      <c r="BA447" s="18"/>
      <c r="BB447" s="18"/>
      <c r="BC447" s="18"/>
      <c r="BD447" s="18"/>
      <c r="BF447" s="18"/>
      <c r="BG447" s="18"/>
      <c r="BH447" s="18"/>
    </row>
    <row r="448" spans="37:60" x14ac:dyDescent="0.25">
      <c r="AK448" s="32" t="s">
        <v>49</v>
      </c>
      <c r="AL448" t="s">
        <v>150</v>
      </c>
      <c r="AM448" t="s">
        <v>255</v>
      </c>
      <c r="AN448" t="s">
        <v>256</v>
      </c>
      <c r="AX448" s="18"/>
      <c r="AY448" s="18"/>
      <c r="AZ448" s="18"/>
      <c r="BA448" s="18"/>
      <c r="BB448" s="18"/>
      <c r="BC448" s="18"/>
      <c r="BD448" s="18"/>
      <c r="BF448" s="18"/>
      <c r="BG448" s="18"/>
      <c r="BH448" s="18"/>
    </row>
    <row r="449" spans="37:60" x14ac:dyDescent="0.25">
      <c r="AK449" s="32" t="s">
        <v>49</v>
      </c>
      <c r="AL449" t="s">
        <v>150</v>
      </c>
      <c r="AM449" t="s">
        <v>259</v>
      </c>
      <c r="AN449" t="s">
        <v>260</v>
      </c>
      <c r="AX449" s="18"/>
      <c r="AY449" s="18"/>
      <c r="AZ449" s="18"/>
      <c r="BA449" s="18"/>
      <c r="BB449" s="18"/>
      <c r="BC449" s="18"/>
      <c r="BD449" s="18"/>
      <c r="BF449" s="18"/>
      <c r="BG449" s="18"/>
      <c r="BH449" s="18"/>
    </row>
    <row r="450" spans="37:60" x14ac:dyDescent="0.25">
      <c r="AK450" s="32" t="s">
        <v>49</v>
      </c>
      <c r="AL450" t="s">
        <v>150</v>
      </c>
      <c r="AM450" t="s">
        <v>263</v>
      </c>
      <c r="AN450" t="s">
        <v>264</v>
      </c>
      <c r="AX450" s="18"/>
      <c r="AY450" s="18"/>
      <c r="AZ450" s="18"/>
      <c r="BA450" s="18"/>
      <c r="BB450" s="18"/>
      <c r="BC450" s="18"/>
      <c r="BD450" s="18"/>
      <c r="BF450" s="18"/>
      <c r="BG450" s="18"/>
      <c r="BH450" s="18"/>
    </row>
    <row r="451" spans="37:60" x14ac:dyDescent="0.25">
      <c r="AK451" s="32" t="s">
        <v>49</v>
      </c>
      <c r="AL451" t="s">
        <v>150</v>
      </c>
      <c r="AM451" t="s">
        <v>267</v>
      </c>
      <c r="AN451" t="s">
        <v>268</v>
      </c>
      <c r="AX451" s="18"/>
      <c r="AY451" s="18"/>
      <c r="AZ451" s="18"/>
      <c r="BA451" s="18"/>
      <c r="BB451" s="18"/>
      <c r="BC451" s="18"/>
      <c r="BD451" s="18"/>
      <c r="BF451" s="18"/>
      <c r="BG451" s="18"/>
      <c r="BH451" s="18"/>
    </row>
    <row r="452" spans="37:60" x14ac:dyDescent="0.25">
      <c r="AK452" s="32" t="s">
        <v>49</v>
      </c>
      <c r="AL452" t="s">
        <v>150</v>
      </c>
      <c r="AM452" t="s">
        <v>271</v>
      </c>
      <c r="AN452" t="s">
        <v>272</v>
      </c>
      <c r="AX452" s="18"/>
      <c r="AY452" s="18"/>
      <c r="AZ452" s="18"/>
      <c r="BA452" s="18"/>
      <c r="BB452" s="18"/>
      <c r="BC452" s="18"/>
      <c r="BD452" s="18"/>
      <c r="BF452" s="18"/>
      <c r="BG452" s="18"/>
      <c r="BH452" s="18"/>
    </row>
    <row r="453" spans="37:60" x14ac:dyDescent="0.25">
      <c r="AK453" s="32" t="s">
        <v>49</v>
      </c>
      <c r="AL453" t="s">
        <v>150</v>
      </c>
      <c r="AM453" t="s">
        <v>274</v>
      </c>
      <c r="AN453" t="s">
        <v>275</v>
      </c>
      <c r="AX453" s="18"/>
      <c r="AY453" s="18"/>
      <c r="AZ453" s="18"/>
      <c r="BA453" s="18"/>
      <c r="BB453" s="18"/>
      <c r="BC453" s="18"/>
      <c r="BD453" s="18"/>
      <c r="BF453" s="18"/>
      <c r="BG453" s="18"/>
      <c r="BH453" s="18"/>
    </row>
    <row r="454" spans="37:60" x14ac:dyDescent="0.25">
      <c r="AK454" s="32" t="s">
        <v>49</v>
      </c>
      <c r="AL454" t="s">
        <v>150</v>
      </c>
      <c r="AM454" t="s">
        <v>277</v>
      </c>
      <c r="AN454" t="s">
        <v>278</v>
      </c>
      <c r="AX454" s="18"/>
      <c r="AY454" s="18"/>
      <c r="AZ454" s="18"/>
      <c r="BA454" s="18"/>
      <c r="BB454" s="18"/>
      <c r="BC454" s="18"/>
      <c r="BD454" s="18"/>
      <c r="BF454" s="18"/>
      <c r="BG454" s="18"/>
      <c r="BH454" s="18"/>
    </row>
    <row r="455" spans="37:60" x14ac:dyDescent="0.25">
      <c r="AK455" s="32" t="s">
        <v>49</v>
      </c>
      <c r="AL455" t="s">
        <v>150</v>
      </c>
      <c r="AM455" t="s">
        <v>281</v>
      </c>
      <c r="AN455" t="s">
        <v>282</v>
      </c>
      <c r="AX455" s="18"/>
      <c r="AY455" s="18"/>
      <c r="AZ455" s="18"/>
      <c r="BA455" s="18"/>
      <c r="BB455" s="18"/>
      <c r="BC455" s="18"/>
      <c r="BD455" s="18"/>
      <c r="BF455" s="18"/>
      <c r="BG455" s="18"/>
      <c r="BH455" s="18"/>
    </row>
    <row r="456" spans="37:60" x14ac:dyDescent="0.25">
      <c r="AK456" s="32" t="s">
        <v>49</v>
      </c>
      <c r="AL456" t="s">
        <v>150</v>
      </c>
      <c r="AM456" t="s">
        <v>285</v>
      </c>
      <c r="AN456" t="s">
        <v>286</v>
      </c>
      <c r="AX456" s="18"/>
      <c r="AY456" s="18"/>
      <c r="AZ456" s="18"/>
      <c r="BA456" s="18"/>
      <c r="BB456" s="18"/>
      <c r="BC456" s="18"/>
      <c r="BD456" s="18"/>
      <c r="BF456" s="18"/>
      <c r="BG456" s="18"/>
      <c r="BH456" s="18"/>
    </row>
    <row r="457" spans="37:60" x14ac:dyDescent="0.25">
      <c r="AK457" s="32" t="s">
        <v>49</v>
      </c>
      <c r="AL457" t="s">
        <v>150</v>
      </c>
      <c r="AM457" t="s">
        <v>288</v>
      </c>
      <c r="AN457" t="s">
        <v>289</v>
      </c>
      <c r="AX457" s="18"/>
      <c r="AY457" s="18"/>
      <c r="AZ457" s="18"/>
      <c r="BA457" s="18"/>
      <c r="BB457" s="18"/>
      <c r="BC457" s="18"/>
      <c r="BD457" s="18"/>
      <c r="BF457" s="18"/>
      <c r="BG457" s="18"/>
      <c r="BH457" s="18"/>
    </row>
    <row r="458" spans="37:60" x14ac:dyDescent="0.25">
      <c r="AK458" s="32" t="s">
        <v>49</v>
      </c>
      <c r="AL458" t="s">
        <v>150</v>
      </c>
      <c r="AM458" t="s">
        <v>292</v>
      </c>
      <c r="AN458" t="s">
        <v>293</v>
      </c>
      <c r="BF458" s="18"/>
      <c r="BG458" s="18"/>
      <c r="BH458" s="18"/>
    </row>
    <row r="459" spans="37:60" x14ac:dyDescent="0.25">
      <c r="AK459" s="32" t="s">
        <v>49</v>
      </c>
      <c r="AL459" t="s">
        <v>150</v>
      </c>
      <c r="AM459" t="s">
        <v>297</v>
      </c>
      <c r="AN459" t="s">
        <v>298</v>
      </c>
    </row>
    <row r="460" spans="37:60" x14ac:dyDescent="0.25">
      <c r="AK460" s="32" t="s">
        <v>49</v>
      </c>
      <c r="AL460" t="s">
        <v>150</v>
      </c>
      <c r="AM460" t="s">
        <v>302</v>
      </c>
      <c r="AN460" t="s">
        <v>303</v>
      </c>
    </row>
    <row r="461" spans="37:60" x14ac:dyDescent="0.25">
      <c r="AK461" s="32" t="s">
        <v>49</v>
      </c>
      <c r="AL461" t="s">
        <v>150</v>
      </c>
      <c r="AM461" t="s">
        <v>306</v>
      </c>
      <c r="AN461" t="s">
        <v>307</v>
      </c>
    </row>
    <row r="462" spans="37:60" x14ac:dyDescent="0.25">
      <c r="AK462" s="32" t="s">
        <v>49</v>
      </c>
      <c r="AL462" t="s">
        <v>150</v>
      </c>
      <c r="AM462" t="s">
        <v>310</v>
      </c>
      <c r="AN462" t="s">
        <v>311</v>
      </c>
    </row>
    <row r="463" spans="37:60" x14ac:dyDescent="0.25">
      <c r="AK463" s="32" t="s">
        <v>49</v>
      </c>
      <c r="AL463" t="s">
        <v>150</v>
      </c>
      <c r="AM463" t="s">
        <v>314</v>
      </c>
      <c r="AN463" t="s">
        <v>315</v>
      </c>
    </row>
    <row r="464" spans="37:60" x14ac:dyDescent="0.25">
      <c r="AK464" s="32" t="s">
        <v>49</v>
      </c>
      <c r="AL464" t="s">
        <v>150</v>
      </c>
      <c r="AM464" t="s">
        <v>318</v>
      </c>
      <c r="AN464" t="s">
        <v>319</v>
      </c>
    </row>
    <row r="465" spans="37:40" x14ac:dyDescent="0.25">
      <c r="AK465" s="32" t="s">
        <v>49</v>
      </c>
      <c r="AL465" t="s">
        <v>150</v>
      </c>
      <c r="AM465" t="s">
        <v>321</v>
      </c>
      <c r="AN465" t="s">
        <v>322</v>
      </c>
    </row>
    <row r="466" spans="37:40" x14ac:dyDescent="0.25">
      <c r="AK466" s="32" t="s">
        <v>49</v>
      </c>
      <c r="AL466" t="s">
        <v>150</v>
      </c>
      <c r="AM466" t="s">
        <v>325</v>
      </c>
      <c r="AN466" t="s">
        <v>326</v>
      </c>
    </row>
    <row r="467" spans="37:40" x14ac:dyDescent="0.25">
      <c r="AK467" s="32" t="s">
        <v>49</v>
      </c>
      <c r="AL467" t="s">
        <v>150</v>
      </c>
      <c r="AM467" t="s">
        <v>327</v>
      </c>
      <c r="AN467" t="s">
        <v>328</v>
      </c>
    </row>
    <row r="468" spans="37:40" x14ac:dyDescent="0.25">
      <c r="AK468" s="32" t="s">
        <v>49</v>
      </c>
      <c r="AL468" t="s">
        <v>150</v>
      </c>
      <c r="AM468" t="s">
        <v>329</v>
      </c>
      <c r="AN468" t="s">
        <v>330</v>
      </c>
    </row>
    <row r="469" spans="37:40" x14ac:dyDescent="0.25">
      <c r="AK469" s="32" t="s">
        <v>49</v>
      </c>
      <c r="AL469" t="s">
        <v>150</v>
      </c>
      <c r="AM469" t="s">
        <v>331</v>
      </c>
      <c r="AN469" t="s">
        <v>332</v>
      </c>
    </row>
    <row r="470" spans="37:40" x14ac:dyDescent="0.25">
      <c r="AK470" s="32" t="s">
        <v>49</v>
      </c>
      <c r="AL470" t="s">
        <v>150</v>
      </c>
      <c r="AM470" t="s">
        <v>333</v>
      </c>
      <c r="AN470" t="s">
        <v>334</v>
      </c>
    </row>
    <row r="471" spans="37:40" x14ac:dyDescent="0.25">
      <c r="AK471" s="32" t="s">
        <v>49</v>
      </c>
      <c r="AL471" t="s">
        <v>150</v>
      </c>
      <c r="AM471" t="s">
        <v>335</v>
      </c>
      <c r="AN471" t="s">
        <v>336</v>
      </c>
    </row>
    <row r="472" spans="37:40" x14ac:dyDescent="0.25">
      <c r="AK472" s="32" t="s">
        <v>49</v>
      </c>
      <c r="AL472" t="s">
        <v>150</v>
      </c>
      <c r="AM472" t="s">
        <v>337</v>
      </c>
      <c r="AN472" t="s">
        <v>338</v>
      </c>
    </row>
    <row r="473" spans="37:40" x14ac:dyDescent="0.25">
      <c r="AK473" s="32" t="s">
        <v>49</v>
      </c>
      <c r="AL473" t="s">
        <v>150</v>
      </c>
      <c r="AM473" t="s">
        <v>340</v>
      </c>
      <c r="AN473" t="s">
        <v>341</v>
      </c>
    </row>
    <row r="474" spans="37:40" x14ac:dyDescent="0.25">
      <c r="AK474" s="32" t="s">
        <v>49</v>
      </c>
      <c r="AL474" t="s">
        <v>150</v>
      </c>
      <c r="AM474" t="s">
        <v>342</v>
      </c>
      <c r="AN474" t="s">
        <v>343</v>
      </c>
    </row>
    <row r="475" spans="37:40" x14ac:dyDescent="0.25">
      <c r="AK475" s="32" t="s">
        <v>49</v>
      </c>
      <c r="AL475" t="s">
        <v>150</v>
      </c>
      <c r="AM475" t="s">
        <v>344</v>
      </c>
      <c r="AN475" t="s">
        <v>345</v>
      </c>
    </row>
    <row r="476" spans="37:40" x14ac:dyDescent="0.25">
      <c r="AK476" s="32" t="s">
        <v>49</v>
      </c>
      <c r="AL476" t="s">
        <v>150</v>
      </c>
      <c r="AM476" t="s">
        <v>346</v>
      </c>
      <c r="AN476" t="s">
        <v>347</v>
      </c>
    </row>
    <row r="477" spans="37:40" x14ac:dyDescent="0.25">
      <c r="AK477" s="32" t="s">
        <v>49</v>
      </c>
      <c r="AL477" t="s">
        <v>150</v>
      </c>
      <c r="AM477" t="s">
        <v>348</v>
      </c>
      <c r="AN477" t="s">
        <v>349</v>
      </c>
    </row>
    <row r="478" spans="37:40" x14ac:dyDescent="0.25">
      <c r="AK478" s="32" t="s">
        <v>49</v>
      </c>
      <c r="AL478" t="s">
        <v>150</v>
      </c>
      <c r="AM478" t="s">
        <v>350</v>
      </c>
      <c r="AN478" t="s">
        <v>351</v>
      </c>
    </row>
    <row r="479" spans="37:40" x14ac:dyDescent="0.25">
      <c r="AK479" s="32" t="s">
        <v>49</v>
      </c>
      <c r="AL479" t="s">
        <v>150</v>
      </c>
      <c r="AM479" t="s">
        <v>352</v>
      </c>
      <c r="AN479" t="s">
        <v>353</v>
      </c>
    </row>
    <row r="480" spans="37:40" x14ac:dyDescent="0.25">
      <c r="AK480" s="32" t="s">
        <v>49</v>
      </c>
      <c r="AL480" t="s">
        <v>150</v>
      </c>
      <c r="AM480" t="s">
        <v>354</v>
      </c>
      <c r="AN480" t="s">
        <v>355</v>
      </c>
    </row>
    <row r="481" spans="37:40" x14ac:dyDescent="0.25">
      <c r="AK481" s="32" t="s">
        <v>49</v>
      </c>
      <c r="AL481" t="s">
        <v>150</v>
      </c>
      <c r="AM481" t="s">
        <v>356</v>
      </c>
      <c r="AN481" t="s">
        <v>357</v>
      </c>
    </row>
    <row r="482" spans="37:40" x14ac:dyDescent="0.25">
      <c r="AK482" s="32" t="s">
        <v>49</v>
      </c>
      <c r="AL482" t="s">
        <v>150</v>
      </c>
      <c r="AM482" t="s">
        <v>358</v>
      </c>
      <c r="AN482" t="s">
        <v>359</v>
      </c>
    </row>
    <row r="483" spans="37:40" x14ac:dyDescent="0.25">
      <c r="AK483" s="32" t="s">
        <v>49</v>
      </c>
      <c r="AL483" t="s">
        <v>150</v>
      </c>
      <c r="AM483" t="s">
        <v>360</v>
      </c>
      <c r="AN483" t="s">
        <v>361</v>
      </c>
    </row>
    <row r="484" spans="37:40" x14ac:dyDescent="0.25">
      <c r="AK484" s="32" t="s">
        <v>49</v>
      </c>
      <c r="AL484" t="s">
        <v>150</v>
      </c>
      <c r="AM484" t="s">
        <v>362</v>
      </c>
      <c r="AN484" t="s">
        <v>363</v>
      </c>
    </row>
    <row r="485" spans="37:40" x14ac:dyDescent="0.25">
      <c r="AK485" s="32" t="s">
        <v>49</v>
      </c>
      <c r="AL485" t="s">
        <v>150</v>
      </c>
      <c r="AM485" t="s">
        <v>364</v>
      </c>
      <c r="AN485" t="s">
        <v>365</v>
      </c>
    </row>
    <row r="486" spans="37:40" x14ac:dyDescent="0.25">
      <c r="AK486" s="32" t="s">
        <v>49</v>
      </c>
      <c r="AL486" t="s">
        <v>150</v>
      </c>
      <c r="AM486" t="s">
        <v>366</v>
      </c>
      <c r="AN486" t="s">
        <v>367</v>
      </c>
    </row>
    <row r="487" spans="37:40" x14ac:dyDescent="0.25">
      <c r="AK487" s="32" t="s">
        <v>49</v>
      </c>
      <c r="AL487" t="s">
        <v>150</v>
      </c>
      <c r="AM487" t="s">
        <v>368</v>
      </c>
      <c r="AN487" t="s">
        <v>369</v>
      </c>
    </row>
    <row r="488" spans="37:40" x14ac:dyDescent="0.25">
      <c r="AK488" s="32" t="s">
        <v>49</v>
      </c>
      <c r="AL488" t="s">
        <v>150</v>
      </c>
      <c r="AM488" t="s">
        <v>370</v>
      </c>
      <c r="AN488" t="s">
        <v>371</v>
      </c>
    </row>
    <row r="490" spans="37:40" x14ac:dyDescent="0.25">
      <c r="AK490" s="32" t="s">
        <v>49</v>
      </c>
      <c r="AL490" t="s">
        <v>162</v>
      </c>
      <c r="AM490" t="s">
        <v>50</v>
      </c>
      <c r="AN490" t="s">
        <v>51</v>
      </c>
    </row>
    <row r="491" spans="37:40" x14ac:dyDescent="0.25">
      <c r="AK491" s="32" t="s">
        <v>49</v>
      </c>
      <c r="AL491" t="s">
        <v>162</v>
      </c>
      <c r="AM491" t="s">
        <v>78</v>
      </c>
      <c r="AN491" t="s">
        <v>79</v>
      </c>
    </row>
    <row r="492" spans="37:40" x14ac:dyDescent="0.25">
      <c r="AK492" s="32" t="s">
        <v>49</v>
      </c>
      <c r="AL492" t="s">
        <v>162</v>
      </c>
      <c r="AM492" t="s">
        <v>100</v>
      </c>
      <c r="AN492" t="s">
        <v>101</v>
      </c>
    </row>
    <row r="493" spans="37:40" x14ac:dyDescent="0.25">
      <c r="AK493" s="32" t="s">
        <v>49</v>
      </c>
      <c r="AL493" t="s">
        <v>162</v>
      </c>
      <c r="AM493" t="s">
        <v>112</v>
      </c>
      <c r="AN493" t="s">
        <v>113</v>
      </c>
    </row>
    <row r="494" spans="37:40" x14ac:dyDescent="0.25">
      <c r="AK494" s="32" t="s">
        <v>49</v>
      </c>
      <c r="AL494" t="s">
        <v>162</v>
      </c>
      <c r="AM494" t="s">
        <v>127</v>
      </c>
      <c r="AN494" t="s">
        <v>128</v>
      </c>
    </row>
    <row r="495" spans="37:40" x14ac:dyDescent="0.25">
      <c r="AK495" s="32" t="s">
        <v>49</v>
      </c>
      <c r="AL495" t="s">
        <v>162</v>
      </c>
      <c r="AM495" t="s">
        <v>140</v>
      </c>
      <c r="AN495" t="s">
        <v>141</v>
      </c>
    </row>
    <row r="496" spans="37:40" x14ac:dyDescent="0.25">
      <c r="AK496" s="32" t="s">
        <v>49</v>
      </c>
      <c r="AL496" t="s">
        <v>162</v>
      </c>
      <c r="AM496" t="s">
        <v>152</v>
      </c>
      <c r="AN496" t="s">
        <v>153</v>
      </c>
    </row>
    <row r="497" spans="37:40" x14ac:dyDescent="0.25">
      <c r="AK497" s="32" t="s">
        <v>49</v>
      </c>
      <c r="AL497" t="s">
        <v>162</v>
      </c>
      <c r="AM497" t="s">
        <v>164</v>
      </c>
      <c r="AN497" t="s">
        <v>165</v>
      </c>
    </row>
    <row r="498" spans="37:40" x14ac:dyDescent="0.25">
      <c r="AK498" s="32" t="s">
        <v>49</v>
      </c>
      <c r="AL498" t="s">
        <v>162</v>
      </c>
      <c r="AM498" t="s">
        <v>179</v>
      </c>
      <c r="AN498" t="s">
        <v>180</v>
      </c>
    </row>
    <row r="499" spans="37:40" x14ac:dyDescent="0.25">
      <c r="AK499" s="32" t="s">
        <v>49</v>
      </c>
      <c r="AL499" t="s">
        <v>162</v>
      </c>
      <c r="AM499" t="s">
        <v>193</v>
      </c>
      <c r="AN499" t="s">
        <v>194</v>
      </c>
    </row>
    <row r="500" spans="37:40" x14ac:dyDescent="0.25">
      <c r="AK500" s="32" t="s">
        <v>49</v>
      </c>
      <c r="AL500" t="s">
        <v>162</v>
      </c>
      <c r="AM500" t="s">
        <v>206</v>
      </c>
      <c r="AN500" t="s">
        <v>207</v>
      </c>
    </row>
    <row r="501" spans="37:40" x14ac:dyDescent="0.25">
      <c r="AK501" s="32" t="s">
        <v>49</v>
      </c>
      <c r="AL501" t="s">
        <v>162</v>
      </c>
      <c r="AM501" t="s">
        <v>218</v>
      </c>
      <c r="AN501" t="s">
        <v>219</v>
      </c>
    </row>
    <row r="502" spans="37:40" x14ac:dyDescent="0.25">
      <c r="AK502" s="32" t="s">
        <v>49</v>
      </c>
      <c r="AL502" t="s">
        <v>162</v>
      </c>
      <c r="AM502" t="s">
        <v>224</v>
      </c>
      <c r="AN502" t="s">
        <v>225</v>
      </c>
    </row>
    <row r="503" spans="37:40" x14ac:dyDescent="0.25">
      <c r="AK503" s="32" t="s">
        <v>49</v>
      </c>
      <c r="AL503" t="s">
        <v>162</v>
      </c>
      <c r="AM503" t="s">
        <v>228</v>
      </c>
      <c r="AN503" t="s">
        <v>229</v>
      </c>
    </row>
    <row r="504" spans="37:40" x14ac:dyDescent="0.25">
      <c r="AK504" s="32" t="s">
        <v>49</v>
      </c>
      <c r="AL504" t="s">
        <v>162</v>
      </c>
      <c r="AM504" t="s">
        <v>232</v>
      </c>
      <c r="AN504" t="s">
        <v>233</v>
      </c>
    </row>
    <row r="505" spans="37:40" x14ac:dyDescent="0.25">
      <c r="AK505" s="32" t="s">
        <v>49</v>
      </c>
      <c r="AL505" t="s">
        <v>162</v>
      </c>
      <c r="AM505" t="s">
        <v>237</v>
      </c>
      <c r="AN505" t="s">
        <v>238</v>
      </c>
    </row>
    <row r="506" spans="37:40" x14ac:dyDescent="0.25">
      <c r="AK506" s="32" t="s">
        <v>49</v>
      </c>
      <c r="AL506" t="s">
        <v>162</v>
      </c>
      <c r="AM506" t="s">
        <v>242</v>
      </c>
      <c r="AN506" t="s">
        <v>243</v>
      </c>
    </row>
    <row r="507" spans="37:40" x14ac:dyDescent="0.25">
      <c r="AK507" s="32" t="s">
        <v>49</v>
      </c>
      <c r="AL507" t="s">
        <v>162</v>
      </c>
      <c r="AM507" t="s">
        <v>247</v>
      </c>
      <c r="AN507" t="s">
        <v>248</v>
      </c>
    </row>
    <row r="508" spans="37:40" x14ac:dyDescent="0.25">
      <c r="AK508" s="32" t="s">
        <v>49</v>
      </c>
      <c r="AL508" t="s">
        <v>162</v>
      </c>
      <c r="AM508" t="s">
        <v>251</v>
      </c>
      <c r="AN508" t="s">
        <v>252</v>
      </c>
    </row>
    <row r="509" spans="37:40" x14ac:dyDescent="0.25">
      <c r="AK509" s="32" t="s">
        <v>49</v>
      </c>
      <c r="AL509" t="s">
        <v>162</v>
      </c>
      <c r="AM509" t="s">
        <v>255</v>
      </c>
      <c r="AN509" t="s">
        <v>256</v>
      </c>
    </row>
    <row r="510" spans="37:40" x14ac:dyDescent="0.25">
      <c r="AK510" s="32" t="s">
        <v>49</v>
      </c>
      <c r="AL510" t="s">
        <v>162</v>
      </c>
      <c r="AM510" t="s">
        <v>259</v>
      </c>
      <c r="AN510" t="s">
        <v>260</v>
      </c>
    </row>
    <row r="511" spans="37:40" x14ac:dyDescent="0.25">
      <c r="AK511" s="32" t="s">
        <v>49</v>
      </c>
      <c r="AL511" t="s">
        <v>162</v>
      </c>
      <c r="AM511" t="s">
        <v>263</v>
      </c>
      <c r="AN511" t="s">
        <v>264</v>
      </c>
    </row>
    <row r="512" spans="37:40" x14ac:dyDescent="0.25">
      <c r="AK512" s="32" t="s">
        <v>49</v>
      </c>
      <c r="AL512" t="s">
        <v>162</v>
      </c>
      <c r="AM512" t="s">
        <v>267</v>
      </c>
      <c r="AN512" t="s">
        <v>268</v>
      </c>
    </row>
    <row r="513" spans="37:40" x14ac:dyDescent="0.25">
      <c r="AK513" s="32" t="s">
        <v>49</v>
      </c>
      <c r="AL513" t="s">
        <v>162</v>
      </c>
      <c r="AM513" t="s">
        <v>271</v>
      </c>
      <c r="AN513" t="s">
        <v>272</v>
      </c>
    </row>
    <row r="514" spans="37:40" x14ac:dyDescent="0.25">
      <c r="AK514" s="32" t="s">
        <v>49</v>
      </c>
      <c r="AL514" t="s">
        <v>162</v>
      </c>
      <c r="AM514" t="s">
        <v>274</v>
      </c>
      <c r="AN514" t="s">
        <v>275</v>
      </c>
    </row>
    <row r="515" spans="37:40" x14ac:dyDescent="0.25">
      <c r="AK515" s="32" t="s">
        <v>49</v>
      </c>
      <c r="AL515" t="s">
        <v>162</v>
      </c>
      <c r="AM515" t="s">
        <v>277</v>
      </c>
      <c r="AN515" t="s">
        <v>278</v>
      </c>
    </row>
    <row r="516" spans="37:40" x14ac:dyDescent="0.25">
      <c r="AK516" s="32" t="s">
        <v>49</v>
      </c>
      <c r="AL516" t="s">
        <v>162</v>
      </c>
      <c r="AM516" t="s">
        <v>281</v>
      </c>
      <c r="AN516" t="s">
        <v>282</v>
      </c>
    </row>
    <row r="517" spans="37:40" x14ac:dyDescent="0.25">
      <c r="AK517" s="32" t="s">
        <v>49</v>
      </c>
      <c r="AL517" t="s">
        <v>162</v>
      </c>
      <c r="AM517" t="s">
        <v>285</v>
      </c>
      <c r="AN517" t="s">
        <v>286</v>
      </c>
    </row>
    <row r="518" spans="37:40" x14ac:dyDescent="0.25">
      <c r="AK518" s="32" t="s">
        <v>49</v>
      </c>
      <c r="AL518" t="s">
        <v>162</v>
      </c>
      <c r="AM518" t="s">
        <v>288</v>
      </c>
      <c r="AN518" t="s">
        <v>289</v>
      </c>
    </row>
    <row r="519" spans="37:40" x14ac:dyDescent="0.25">
      <c r="AK519" s="32" t="s">
        <v>49</v>
      </c>
      <c r="AL519" t="s">
        <v>162</v>
      </c>
      <c r="AM519" t="s">
        <v>292</v>
      </c>
      <c r="AN519" t="s">
        <v>293</v>
      </c>
    </row>
    <row r="520" spans="37:40" x14ac:dyDescent="0.25">
      <c r="AK520" s="32" t="s">
        <v>49</v>
      </c>
      <c r="AL520" t="s">
        <v>162</v>
      </c>
      <c r="AM520" t="s">
        <v>297</v>
      </c>
      <c r="AN520" t="s">
        <v>298</v>
      </c>
    </row>
    <row r="521" spans="37:40" x14ac:dyDescent="0.25">
      <c r="AK521" s="32" t="s">
        <v>49</v>
      </c>
      <c r="AL521" t="s">
        <v>162</v>
      </c>
      <c r="AM521" t="s">
        <v>302</v>
      </c>
      <c r="AN521" t="s">
        <v>303</v>
      </c>
    </row>
    <row r="522" spans="37:40" x14ac:dyDescent="0.25">
      <c r="AK522" s="32" t="s">
        <v>49</v>
      </c>
      <c r="AL522" t="s">
        <v>162</v>
      </c>
      <c r="AM522" t="s">
        <v>306</v>
      </c>
      <c r="AN522" t="s">
        <v>307</v>
      </c>
    </row>
    <row r="523" spans="37:40" x14ac:dyDescent="0.25">
      <c r="AK523" s="32" t="s">
        <v>49</v>
      </c>
      <c r="AL523" t="s">
        <v>162</v>
      </c>
      <c r="AM523" t="s">
        <v>310</v>
      </c>
      <c r="AN523" t="s">
        <v>311</v>
      </c>
    </row>
    <row r="524" spans="37:40" x14ac:dyDescent="0.25">
      <c r="AK524" s="32" t="s">
        <v>49</v>
      </c>
      <c r="AL524" t="s">
        <v>162</v>
      </c>
      <c r="AM524" t="s">
        <v>314</v>
      </c>
      <c r="AN524" t="s">
        <v>315</v>
      </c>
    </row>
    <row r="525" spans="37:40" x14ac:dyDescent="0.25">
      <c r="AK525" s="32" t="s">
        <v>49</v>
      </c>
      <c r="AL525" t="s">
        <v>162</v>
      </c>
      <c r="AM525" t="s">
        <v>318</v>
      </c>
      <c r="AN525" t="s">
        <v>319</v>
      </c>
    </row>
    <row r="526" spans="37:40" x14ac:dyDescent="0.25">
      <c r="AK526" s="32" t="s">
        <v>49</v>
      </c>
      <c r="AL526" t="s">
        <v>162</v>
      </c>
      <c r="AM526" t="s">
        <v>321</v>
      </c>
      <c r="AN526" t="s">
        <v>322</v>
      </c>
    </row>
    <row r="527" spans="37:40" x14ac:dyDescent="0.25">
      <c r="AK527" s="32" t="s">
        <v>49</v>
      </c>
      <c r="AL527" t="s">
        <v>162</v>
      </c>
      <c r="AM527" t="s">
        <v>325</v>
      </c>
      <c r="AN527" t="s">
        <v>326</v>
      </c>
    </row>
    <row r="528" spans="37:40" x14ac:dyDescent="0.25">
      <c r="AK528" s="32" t="s">
        <v>49</v>
      </c>
      <c r="AL528" t="s">
        <v>162</v>
      </c>
      <c r="AM528" t="s">
        <v>327</v>
      </c>
      <c r="AN528" t="s">
        <v>328</v>
      </c>
    </row>
    <row r="529" spans="37:40" x14ac:dyDescent="0.25">
      <c r="AK529" s="32" t="s">
        <v>49</v>
      </c>
      <c r="AL529" t="s">
        <v>162</v>
      </c>
      <c r="AM529" t="s">
        <v>329</v>
      </c>
      <c r="AN529" t="s">
        <v>330</v>
      </c>
    </row>
    <row r="530" spans="37:40" x14ac:dyDescent="0.25">
      <c r="AK530" s="32" t="s">
        <v>49</v>
      </c>
      <c r="AL530" t="s">
        <v>162</v>
      </c>
      <c r="AM530" t="s">
        <v>331</v>
      </c>
      <c r="AN530" t="s">
        <v>332</v>
      </c>
    </row>
    <row r="531" spans="37:40" x14ac:dyDescent="0.25">
      <c r="AK531" s="32" t="s">
        <v>49</v>
      </c>
      <c r="AL531" t="s">
        <v>162</v>
      </c>
      <c r="AM531" t="s">
        <v>333</v>
      </c>
      <c r="AN531" t="s">
        <v>334</v>
      </c>
    </row>
    <row r="532" spans="37:40" x14ac:dyDescent="0.25">
      <c r="AK532" s="32" t="s">
        <v>49</v>
      </c>
      <c r="AL532" t="s">
        <v>162</v>
      </c>
      <c r="AM532" t="s">
        <v>335</v>
      </c>
      <c r="AN532" t="s">
        <v>336</v>
      </c>
    </row>
    <row r="533" spans="37:40" x14ac:dyDescent="0.25">
      <c r="AK533" s="32" t="s">
        <v>49</v>
      </c>
      <c r="AL533" t="s">
        <v>162</v>
      </c>
      <c r="AM533" t="s">
        <v>337</v>
      </c>
      <c r="AN533" t="s">
        <v>338</v>
      </c>
    </row>
    <row r="534" spans="37:40" x14ac:dyDescent="0.25">
      <c r="AK534" s="32" t="s">
        <v>49</v>
      </c>
      <c r="AL534" t="s">
        <v>162</v>
      </c>
      <c r="AM534" t="s">
        <v>340</v>
      </c>
      <c r="AN534" t="s">
        <v>341</v>
      </c>
    </row>
    <row r="535" spans="37:40" x14ac:dyDescent="0.25">
      <c r="AK535" s="32" t="s">
        <v>49</v>
      </c>
      <c r="AL535" t="s">
        <v>162</v>
      </c>
      <c r="AM535" t="s">
        <v>342</v>
      </c>
      <c r="AN535" t="s">
        <v>343</v>
      </c>
    </row>
    <row r="536" spans="37:40" x14ac:dyDescent="0.25">
      <c r="AK536" s="32" t="s">
        <v>49</v>
      </c>
      <c r="AL536" t="s">
        <v>162</v>
      </c>
      <c r="AM536" t="s">
        <v>344</v>
      </c>
      <c r="AN536" t="s">
        <v>345</v>
      </c>
    </row>
    <row r="537" spans="37:40" x14ac:dyDescent="0.25">
      <c r="AK537" s="32" t="s">
        <v>49</v>
      </c>
      <c r="AL537" t="s">
        <v>162</v>
      </c>
      <c r="AM537" t="s">
        <v>346</v>
      </c>
      <c r="AN537" t="s">
        <v>347</v>
      </c>
    </row>
    <row r="538" spans="37:40" x14ac:dyDescent="0.25">
      <c r="AK538" s="32" t="s">
        <v>49</v>
      </c>
      <c r="AL538" t="s">
        <v>162</v>
      </c>
      <c r="AM538" t="s">
        <v>348</v>
      </c>
      <c r="AN538" t="s">
        <v>349</v>
      </c>
    </row>
    <row r="539" spans="37:40" x14ac:dyDescent="0.25">
      <c r="AK539" s="32" t="s">
        <v>49</v>
      </c>
      <c r="AL539" t="s">
        <v>162</v>
      </c>
      <c r="AM539" t="s">
        <v>350</v>
      </c>
      <c r="AN539" t="s">
        <v>351</v>
      </c>
    </row>
    <row r="540" spans="37:40" x14ac:dyDescent="0.25">
      <c r="AK540" s="32" t="s">
        <v>49</v>
      </c>
      <c r="AL540" t="s">
        <v>162</v>
      </c>
      <c r="AM540" t="s">
        <v>352</v>
      </c>
      <c r="AN540" t="s">
        <v>353</v>
      </c>
    </row>
    <row r="541" spans="37:40" x14ac:dyDescent="0.25">
      <c r="AK541" s="32" t="s">
        <v>49</v>
      </c>
      <c r="AL541" t="s">
        <v>162</v>
      </c>
      <c r="AM541" t="s">
        <v>354</v>
      </c>
      <c r="AN541" t="s">
        <v>355</v>
      </c>
    </row>
    <row r="542" spans="37:40" x14ac:dyDescent="0.25">
      <c r="AK542" s="32" t="s">
        <v>49</v>
      </c>
      <c r="AL542" t="s">
        <v>162</v>
      </c>
      <c r="AM542" t="s">
        <v>356</v>
      </c>
      <c r="AN542" t="s">
        <v>357</v>
      </c>
    </row>
    <row r="543" spans="37:40" x14ac:dyDescent="0.25">
      <c r="AK543" s="32" t="s">
        <v>49</v>
      </c>
      <c r="AL543" t="s">
        <v>162</v>
      </c>
      <c r="AM543" t="s">
        <v>358</v>
      </c>
      <c r="AN543" t="s">
        <v>359</v>
      </c>
    </row>
    <row r="544" spans="37:40" x14ac:dyDescent="0.25">
      <c r="AK544" s="32" t="s">
        <v>49</v>
      </c>
      <c r="AL544" t="s">
        <v>162</v>
      </c>
      <c r="AM544" t="s">
        <v>360</v>
      </c>
      <c r="AN544" t="s">
        <v>361</v>
      </c>
    </row>
    <row r="545" spans="37:40" x14ac:dyDescent="0.25">
      <c r="AK545" s="32" t="s">
        <v>49</v>
      </c>
      <c r="AL545" t="s">
        <v>162</v>
      </c>
      <c r="AM545" t="s">
        <v>362</v>
      </c>
      <c r="AN545" t="s">
        <v>363</v>
      </c>
    </row>
    <row r="546" spans="37:40" x14ac:dyDescent="0.25">
      <c r="AK546" s="32" t="s">
        <v>49</v>
      </c>
      <c r="AL546" t="s">
        <v>162</v>
      </c>
      <c r="AM546" t="s">
        <v>364</v>
      </c>
      <c r="AN546" t="s">
        <v>365</v>
      </c>
    </row>
    <row r="547" spans="37:40" x14ac:dyDescent="0.25">
      <c r="AK547" s="32" t="s">
        <v>49</v>
      </c>
      <c r="AL547" t="s">
        <v>162</v>
      </c>
      <c r="AM547" t="s">
        <v>366</v>
      </c>
      <c r="AN547" t="s">
        <v>367</v>
      </c>
    </row>
    <row r="548" spans="37:40" x14ac:dyDescent="0.25">
      <c r="AK548" s="32" t="s">
        <v>49</v>
      </c>
      <c r="AL548" t="s">
        <v>162</v>
      </c>
      <c r="AM548" t="s">
        <v>368</v>
      </c>
      <c r="AN548" t="s">
        <v>369</v>
      </c>
    </row>
    <row r="549" spans="37:40" x14ac:dyDescent="0.25">
      <c r="AK549" s="32" t="s">
        <v>49</v>
      </c>
      <c r="AL549" t="s">
        <v>162</v>
      </c>
      <c r="AM549" t="s">
        <v>370</v>
      </c>
      <c r="AN549" t="s">
        <v>371</v>
      </c>
    </row>
    <row r="551" spans="37:40" x14ac:dyDescent="0.25">
      <c r="AK551" s="32" t="s">
        <v>49</v>
      </c>
      <c r="AL551" t="s">
        <v>175</v>
      </c>
      <c r="AM551" t="s">
        <v>50</v>
      </c>
      <c r="AN551" t="s">
        <v>51</v>
      </c>
    </row>
    <row r="552" spans="37:40" x14ac:dyDescent="0.25">
      <c r="AK552" s="32" t="s">
        <v>49</v>
      </c>
      <c r="AL552" t="s">
        <v>175</v>
      </c>
      <c r="AM552" t="s">
        <v>78</v>
      </c>
      <c r="AN552" t="s">
        <v>79</v>
      </c>
    </row>
    <row r="553" spans="37:40" x14ac:dyDescent="0.25">
      <c r="AK553" s="32" t="s">
        <v>49</v>
      </c>
      <c r="AL553" t="s">
        <v>175</v>
      </c>
      <c r="AM553" t="s">
        <v>100</v>
      </c>
      <c r="AN553" t="s">
        <v>101</v>
      </c>
    </row>
    <row r="554" spans="37:40" x14ac:dyDescent="0.25">
      <c r="AK554" s="32" t="s">
        <v>49</v>
      </c>
      <c r="AL554" t="s">
        <v>175</v>
      </c>
      <c r="AM554" t="s">
        <v>112</v>
      </c>
      <c r="AN554" t="s">
        <v>113</v>
      </c>
    </row>
    <row r="555" spans="37:40" x14ac:dyDescent="0.25">
      <c r="AK555" s="32" t="s">
        <v>49</v>
      </c>
      <c r="AL555" t="s">
        <v>175</v>
      </c>
      <c r="AM555" t="s">
        <v>127</v>
      </c>
      <c r="AN555" t="s">
        <v>128</v>
      </c>
    </row>
    <row r="556" spans="37:40" x14ac:dyDescent="0.25">
      <c r="AK556" s="32" t="s">
        <v>49</v>
      </c>
      <c r="AL556" t="s">
        <v>175</v>
      </c>
      <c r="AM556" t="s">
        <v>140</v>
      </c>
      <c r="AN556" t="s">
        <v>141</v>
      </c>
    </row>
    <row r="557" spans="37:40" x14ac:dyDescent="0.25">
      <c r="AK557" s="32" t="s">
        <v>49</v>
      </c>
      <c r="AL557" t="s">
        <v>175</v>
      </c>
      <c r="AM557" t="s">
        <v>152</v>
      </c>
      <c r="AN557" t="s">
        <v>153</v>
      </c>
    </row>
    <row r="558" spans="37:40" x14ac:dyDescent="0.25">
      <c r="AK558" s="32" t="s">
        <v>49</v>
      </c>
      <c r="AL558" t="s">
        <v>175</v>
      </c>
      <c r="AM558" t="s">
        <v>164</v>
      </c>
      <c r="AN558" t="s">
        <v>165</v>
      </c>
    </row>
    <row r="559" spans="37:40" x14ac:dyDescent="0.25">
      <c r="AK559" s="32" t="s">
        <v>49</v>
      </c>
      <c r="AL559" t="s">
        <v>175</v>
      </c>
      <c r="AM559" t="s">
        <v>179</v>
      </c>
      <c r="AN559" t="s">
        <v>180</v>
      </c>
    </row>
    <row r="560" spans="37:40" x14ac:dyDescent="0.25">
      <c r="AK560" s="32" t="s">
        <v>49</v>
      </c>
      <c r="AL560" t="s">
        <v>175</v>
      </c>
      <c r="AM560" t="s">
        <v>193</v>
      </c>
      <c r="AN560" t="s">
        <v>194</v>
      </c>
    </row>
    <row r="561" spans="37:40" x14ac:dyDescent="0.25">
      <c r="AK561" s="32" t="s">
        <v>49</v>
      </c>
      <c r="AL561" t="s">
        <v>175</v>
      </c>
      <c r="AM561" t="s">
        <v>206</v>
      </c>
      <c r="AN561" t="s">
        <v>207</v>
      </c>
    </row>
    <row r="562" spans="37:40" x14ac:dyDescent="0.25">
      <c r="AK562" s="32" t="s">
        <v>49</v>
      </c>
      <c r="AL562" t="s">
        <v>175</v>
      </c>
      <c r="AM562" t="s">
        <v>218</v>
      </c>
      <c r="AN562" t="s">
        <v>219</v>
      </c>
    </row>
    <row r="563" spans="37:40" x14ac:dyDescent="0.25">
      <c r="AK563" s="32" t="s">
        <v>49</v>
      </c>
      <c r="AL563" t="s">
        <v>175</v>
      </c>
      <c r="AM563" t="s">
        <v>224</v>
      </c>
      <c r="AN563" t="s">
        <v>225</v>
      </c>
    </row>
    <row r="564" spans="37:40" x14ac:dyDescent="0.25">
      <c r="AK564" s="32" t="s">
        <v>49</v>
      </c>
      <c r="AL564" t="s">
        <v>175</v>
      </c>
      <c r="AM564" t="s">
        <v>228</v>
      </c>
      <c r="AN564" t="s">
        <v>229</v>
      </c>
    </row>
    <row r="565" spans="37:40" x14ac:dyDescent="0.25">
      <c r="AK565" s="32" t="s">
        <v>49</v>
      </c>
      <c r="AL565" t="s">
        <v>175</v>
      </c>
      <c r="AM565" t="s">
        <v>232</v>
      </c>
      <c r="AN565" t="s">
        <v>233</v>
      </c>
    </row>
    <row r="566" spans="37:40" x14ac:dyDescent="0.25">
      <c r="AK566" s="32" t="s">
        <v>49</v>
      </c>
      <c r="AL566" t="s">
        <v>175</v>
      </c>
      <c r="AM566" t="s">
        <v>237</v>
      </c>
      <c r="AN566" t="s">
        <v>238</v>
      </c>
    </row>
    <row r="567" spans="37:40" x14ac:dyDescent="0.25">
      <c r="AK567" s="32" t="s">
        <v>49</v>
      </c>
      <c r="AL567" t="s">
        <v>175</v>
      </c>
      <c r="AM567" t="s">
        <v>242</v>
      </c>
      <c r="AN567" t="s">
        <v>243</v>
      </c>
    </row>
    <row r="568" spans="37:40" x14ac:dyDescent="0.25">
      <c r="AK568" s="32" t="s">
        <v>49</v>
      </c>
      <c r="AL568" t="s">
        <v>175</v>
      </c>
      <c r="AM568" t="s">
        <v>247</v>
      </c>
      <c r="AN568" t="s">
        <v>248</v>
      </c>
    </row>
    <row r="569" spans="37:40" x14ac:dyDescent="0.25">
      <c r="AK569" s="32" t="s">
        <v>49</v>
      </c>
      <c r="AL569" t="s">
        <v>175</v>
      </c>
      <c r="AM569" t="s">
        <v>251</v>
      </c>
      <c r="AN569" t="s">
        <v>252</v>
      </c>
    </row>
    <row r="570" spans="37:40" x14ac:dyDescent="0.25">
      <c r="AK570" s="32" t="s">
        <v>49</v>
      </c>
      <c r="AL570" t="s">
        <v>175</v>
      </c>
      <c r="AM570" t="s">
        <v>255</v>
      </c>
      <c r="AN570" t="s">
        <v>256</v>
      </c>
    </row>
    <row r="571" spans="37:40" x14ac:dyDescent="0.25">
      <c r="AK571" s="32" t="s">
        <v>49</v>
      </c>
      <c r="AL571" t="s">
        <v>175</v>
      </c>
      <c r="AM571" t="s">
        <v>259</v>
      </c>
      <c r="AN571" t="s">
        <v>260</v>
      </c>
    </row>
    <row r="572" spans="37:40" x14ac:dyDescent="0.25">
      <c r="AK572" s="32" t="s">
        <v>49</v>
      </c>
      <c r="AL572" t="s">
        <v>175</v>
      </c>
      <c r="AM572" t="s">
        <v>263</v>
      </c>
      <c r="AN572" t="s">
        <v>264</v>
      </c>
    </row>
    <row r="573" spans="37:40" x14ac:dyDescent="0.25">
      <c r="AK573" s="32" t="s">
        <v>49</v>
      </c>
      <c r="AL573" t="s">
        <v>175</v>
      </c>
      <c r="AM573" t="s">
        <v>267</v>
      </c>
      <c r="AN573" t="s">
        <v>268</v>
      </c>
    </row>
    <row r="574" spans="37:40" x14ac:dyDescent="0.25">
      <c r="AK574" s="32" t="s">
        <v>49</v>
      </c>
      <c r="AL574" t="s">
        <v>175</v>
      </c>
      <c r="AM574" t="s">
        <v>271</v>
      </c>
      <c r="AN574" t="s">
        <v>272</v>
      </c>
    </row>
    <row r="575" spans="37:40" x14ac:dyDescent="0.25">
      <c r="AK575" s="32" t="s">
        <v>49</v>
      </c>
      <c r="AL575" t="s">
        <v>175</v>
      </c>
      <c r="AM575" t="s">
        <v>274</v>
      </c>
      <c r="AN575" t="s">
        <v>275</v>
      </c>
    </row>
    <row r="576" spans="37:40" x14ac:dyDescent="0.25">
      <c r="AK576" s="32" t="s">
        <v>49</v>
      </c>
      <c r="AL576" t="s">
        <v>175</v>
      </c>
      <c r="AM576" t="s">
        <v>277</v>
      </c>
      <c r="AN576" t="s">
        <v>278</v>
      </c>
    </row>
    <row r="577" spans="37:40" x14ac:dyDescent="0.25">
      <c r="AK577" s="32" t="s">
        <v>49</v>
      </c>
      <c r="AL577" t="s">
        <v>175</v>
      </c>
      <c r="AM577" t="s">
        <v>281</v>
      </c>
      <c r="AN577" t="s">
        <v>282</v>
      </c>
    </row>
    <row r="578" spans="37:40" x14ac:dyDescent="0.25">
      <c r="AK578" s="32" t="s">
        <v>49</v>
      </c>
      <c r="AL578" t="s">
        <v>175</v>
      </c>
      <c r="AM578" t="s">
        <v>285</v>
      </c>
      <c r="AN578" t="s">
        <v>286</v>
      </c>
    </row>
    <row r="579" spans="37:40" x14ac:dyDescent="0.25">
      <c r="AK579" s="32" t="s">
        <v>49</v>
      </c>
      <c r="AL579" t="s">
        <v>175</v>
      </c>
      <c r="AM579" t="s">
        <v>288</v>
      </c>
      <c r="AN579" t="s">
        <v>289</v>
      </c>
    </row>
    <row r="580" spans="37:40" x14ac:dyDescent="0.25">
      <c r="AK580" s="32" t="s">
        <v>49</v>
      </c>
      <c r="AL580" t="s">
        <v>175</v>
      </c>
      <c r="AM580" t="s">
        <v>292</v>
      </c>
      <c r="AN580" t="s">
        <v>293</v>
      </c>
    </row>
    <row r="581" spans="37:40" x14ac:dyDescent="0.25">
      <c r="AK581" s="32" t="s">
        <v>49</v>
      </c>
      <c r="AL581" t="s">
        <v>175</v>
      </c>
      <c r="AM581" t="s">
        <v>297</v>
      </c>
      <c r="AN581" t="s">
        <v>298</v>
      </c>
    </row>
    <row r="582" spans="37:40" x14ac:dyDescent="0.25">
      <c r="AK582" s="32" t="s">
        <v>49</v>
      </c>
      <c r="AL582" t="s">
        <v>175</v>
      </c>
      <c r="AM582" t="s">
        <v>302</v>
      </c>
      <c r="AN582" t="s">
        <v>303</v>
      </c>
    </row>
    <row r="583" spans="37:40" x14ac:dyDescent="0.25">
      <c r="AK583" s="32" t="s">
        <v>49</v>
      </c>
      <c r="AL583" t="s">
        <v>175</v>
      </c>
      <c r="AM583" t="s">
        <v>306</v>
      </c>
      <c r="AN583" t="s">
        <v>307</v>
      </c>
    </row>
    <row r="584" spans="37:40" x14ac:dyDescent="0.25">
      <c r="AK584" s="32" t="s">
        <v>49</v>
      </c>
      <c r="AL584" t="s">
        <v>175</v>
      </c>
      <c r="AM584" t="s">
        <v>310</v>
      </c>
      <c r="AN584" t="s">
        <v>311</v>
      </c>
    </row>
    <row r="585" spans="37:40" x14ac:dyDescent="0.25">
      <c r="AK585" s="32" t="s">
        <v>49</v>
      </c>
      <c r="AL585" t="s">
        <v>175</v>
      </c>
      <c r="AM585" t="s">
        <v>314</v>
      </c>
      <c r="AN585" t="s">
        <v>315</v>
      </c>
    </row>
    <row r="586" spans="37:40" x14ac:dyDescent="0.25">
      <c r="AK586" s="32" t="s">
        <v>49</v>
      </c>
      <c r="AL586" t="s">
        <v>175</v>
      </c>
      <c r="AM586" t="s">
        <v>318</v>
      </c>
      <c r="AN586" t="s">
        <v>319</v>
      </c>
    </row>
    <row r="587" spans="37:40" x14ac:dyDescent="0.25">
      <c r="AK587" s="32" t="s">
        <v>49</v>
      </c>
      <c r="AL587" t="s">
        <v>175</v>
      </c>
      <c r="AM587" t="s">
        <v>321</v>
      </c>
      <c r="AN587" t="s">
        <v>322</v>
      </c>
    </row>
    <row r="588" spans="37:40" x14ac:dyDescent="0.25">
      <c r="AK588" s="32" t="s">
        <v>49</v>
      </c>
      <c r="AL588" t="s">
        <v>175</v>
      </c>
      <c r="AM588" t="s">
        <v>325</v>
      </c>
      <c r="AN588" t="s">
        <v>326</v>
      </c>
    </row>
    <row r="589" spans="37:40" x14ac:dyDescent="0.25">
      <c r="AK589" s="32" t="s">
        <v>49</v>
      </c>
      <c r="AL589" t="s">
        <v>175</v>
      </c>
      <c r="AM589" t="s">
        <v>327</v>
      </c>
      <c r="AN589" t="s">
        <v>328</v>
      </c>
    </row>
    <row r="590" spans="37:40" x14ac:dyDescent="0.25">
      <c r="AK590" s="32" t="s">
        <v>49</v>
      </c>
      <c r="AL590" t="s">
        <v>175</v>
      </c>
      <c r="AM590" t="s">
        <v>329</v>
      </c>
      <c r="AN590" t="s">
        <v>330</v>
      </c>
    </row>
    <row r="591" spans="37:40" x14ac:dyDescent="0.25">
      <c r="AK591" s="32" t="s">
        <v>49</v>
      </c>
      <c r="AL591" t="s">
        <v>175</v>
      </c>
      <c r="AM591" t="s">
        <v>331</v>
      </c>
      <c r="AN591" t="s">
        <v>332</v>
      </c>
    </row>
    <row r="592" spans="37:40" x14ac:dyDescent="0.25">
      <c r="AK592" s="32" t="s">
        <v>49</v>
      </c>
      <c r="AL592" t="s">
        <v>175</v>
      </c>
      <c r="AM592" t="s">
        <v>333</v>
      </c>
      <c r="AN592" t="s">
        <v>334</v>
      </c>
    </row>
    <row r="593" spans="37:40" x14ac:dyDescent="0.25">
      <c r="AK593" s="32" t="s">
        <v>49</v>
      </c>
      <c r="AL593" t="s">
        <v>175</v>
      </c>
      <c r="AM593" t="s">
        <v>335</v>
      </c>
      <c r="AN593" t="s">
        <v>336</v>
      </c>
    </row>
    <row r="594" spans="37:40" x14ac:dyDescent="0.25">
      <c r="AK594" s="32" t="s">
        <v>49</v>
      </c>
      <c r="AL594" t="s">
        <v>175</v>
      </c>
      <c r="AM594" t="s">
        <v>337</v>
      </c>
      <c r="AN594" t="s">
        <v>338</v>
      </c>
    </row>
    <row r="595" spans="37:40" x14ac:dyDescent="0.25">
      <c r="AK595" s="32" t="s">
        <v>49</v>
      </c>
      <c r="AL595" t="s">
        <v>175</v>
      </c>
      <c r="AM595" t="s">
        <v>340</v>
      </c>
      <c r="AN595" t="s">
        <v>341</v>
      </c>
    </row>
    <row r="596" spans="37:40" x14ac:dyDescent="0.25">
      <c r="AK596" s="32" t="s">
        <v>49</v>
      </c>
      <c r="AL596" t="s">
        <v>175</v>
      </c>
      <c r="AM596" t="s">
        <v>342</v>
      </c>
      <c r="AN596" t="s">
        <v>343</v>
      </c>
    </row>
    <row r="597" spans="37:40" x14ac:dyDescent="0.25">
      <c r="AK597" s="32" t="s">
        <v>49</v>
      </c>
      <c r="AL597" t="s">
        <v>175</v>
      </c>
      <c r="AM597" t="s">
        <v>344</v>
      </c>
      <c r="AN597" t="s">
        <v>345</v>
      </c>
    </row>
    <row r="598" spans="37:40" x14ac:dyDescent="0.25">
      <c r="AK598" s="32" t="s">
        <v>49</v>
      </c>
      <c r="AL598" t="s">
        <v>175</v>
      </c>
      <c r="AM598" t="s">
        <v>346</v>
      </c>
      <c r="AN598" t="s">
        <v>347</v>
      </c>
    </row>
    <row r="599" spans="37:40" x14ac:dyDescent="0.25">
      <c r="AK599" s="32" t="s">
        <v>49</v>
      </c>
      <c r="AL599" t="s">
        <v>175</v>
      </c>
      <c r="AM599" t="s">
        <v>348</v>
      </c>
      <c r="AN599" t="s">
        <v>349</v>
      </c>
    </row>
    <row r="600" spans="37:40" x14ac:dyDescent="0.25">
      <c r="AK600" s="32" t="s">
        <v>49</v>
      </c>
      <c r="AL600" t="s">
        <v>175</v>
      </c>
      <c r="AM600" t="s">
        <v>350</v>
      </c>
      <c r="AN600" t="s">
        <v>351</v>
      </c>
    </row>
    <row r="601" spans="37:40" x14ac:dyDescent="0.25">
      <c r="AK601" s="32" t="s">
        <v>49</v>
      </c>
      <c r="AL601" t="s">
        <v>175</v>
      </c>
      <c r="AM601" t="s">
        <v>352</v>
      </c>
      <c r="AN601" t="s">
        <v>353</v>
      </c>
    </row>
    <row r="602" spans="37:40" x14ac:dyDescent="0.25">
      <c r="AK602" s="32" t="s">
        <v>49</v>
      </c>
      <c r="AL602" t="s">
        <v>175</v>
      </c>
      <c r="AM602" t="s">
        <v>354</v>
      </c>
      <c r="AN602" t="s">
        <v>355</v>
      </c>
    </row>
    <row r="603" spans="37:40" x14ac:dyDescent="0.25">
      <c r="AK603" s="32" t="s">
        <v>49</v>
      </c>
      <c r="AL603" t="s">
        <v>175</v>
      </c>
      <c r="AM603" t="s">
        <v>356</v>
      </c>
      <c r="AN603" t="s">
        <v>357</v>
      </c>
    </row>
    <row r="604" spans="37:40" x14ac:dyDescent="0.25">
      <c r="AK604" s="32" t="s">
        <v>49</v>
      </c>
      <c r="AL604" t="s">
        <v>175</v>
      </c>
      <c r="AM604" t="s">
        <v>358</v>
      </c>
      <c r="AN604" t="s">
        <v>359</v>
      </c>
    </row>
    <row r="605" spans="37:40" x14ac:dyDescent="0.25">
      <c r="AK605" s="32" t="s">
        <v>49</v>
      </c>
      <c r="AL605" t="s">
        <v>175</v>
      </c>
      <c r="AM605" t="s">
        <v>360</v>
      </c>
      <c r="AN605" t="s">
        <v>361</v>
      </c>
    </row>
    <row r="606" spans="37:40" x14ac:dyDescent="0.25">
      <c r="AK606" s="32" t="s">
        <v>49</v>
      </c>
      <c r="AL606" t="s">
        <v>175</v>
      </c>
      <c r="AM606" t="s">
        <v>362</v>
      </c>
      <c r="AN606" t="s">
        <v>363</v>
      </c>
    </row>
    <row r="607" spans="37:40" x14ac:dyDescent="0.25">
      <c r="AK607" s="32" t="s">
        <v>49</v>
      </c>
      <c r="AL607" t="s">
        <v>175</v>
      </c>
      <c r="AM607" t="s">
        <v>364</v>
      </c>
      <c r="AN607" t="s">
        <v>365</v>
      </c>
    </row>
    <row r="608" spans="37:40" x14ac:dyDescent="0.25">
      <c r="AK608" s="32" t="s">
        <v>49</v>
      </c>
      <c r="AL608" t="s">
        <v>175</v>
      </c>
      <c r="AM608" t="s">
        <v>366</v>
      </c>
      <c r="AN608" t="s">
        <v>367</v>
      </c>
    </row>
    <row r="609" spans="37:40" x14ac:dyDescent="0.25">
      <c r="AK609" s="32" t="s">
        <v>49</v>
      </c>
      <c r="AL609" t="s">
        <v>175</v>
      </c>
      <c r="AM609" t="s">
        <v>368</v>
      </c>
      <c r="AN609" t="s">
        <v>369</v>
      </c>
    </row>
    <row r="610" spans="37:40" x14ac:dyDescent="0.25">
      <c r="AK610" s="32" t="s">
        <v>49</v>
      </c>
      <c r="AL610" t="s">
        <v>175</v>
      </c>
      <c r="AM610" t="s">
        <v>370</v>
      </c>
      <c r="AN610" t="s">
        <v>371</v>
      </c>
    </row>
    <row r="612" spans="37:40" x14ac:dyDescent="0.25">
      <c r="AK612" s="32" t="s">
        <v>49</v>
      </c>
      <c r="AL612" t="s">
        <v>190</v>
      </c>
      <c r="AM612" t="s">
        <v>50</v>
      </c>
      <c r="AN612" t="s">
        <v>51</v>
      </c>
    </row>
    <row r="613" spans="37:40" x14ac:dyDescent="0.25">
      <c r="AK613" s="32" t="s">
        <v>49</v>
      </c>
      <c r="AL613" t="s">
        <v>190</v>
      </c>
      <c r="AM613" t="s">
        <v>78</v>
      </c>
      <c r="AN613" t="s">
        <v>79</v>
      </c>
    </row>
    <row r="614" spans="37:40" x14ac:dyDescent="0.25">
      <c r="AK614" s="32" t="s">
        <v>49</v>
      </c>
      <c r="AL614" t="s">
        <v>190</v>
      </c>
      <c r="AM614" t="s">
        <v>100</v>
      </c>
      <c r="AN614" t="s">
        <v>101</v>
      </c>
    </row>
    <row r="615" spans="37:40" x14ac:dyDescent="0.25">
      <c r="AK615" s="32" t="s">
        <v>49</v>
      </c>
      <c r="AL615" t="s">
        <v>190</v>
      </c>
      <c r="AM615" t="s">
        <v>112</v>
      </c>
      <c r="AN615" t="s">
        <v>113</v>
      </c>
    </row>
    <row r="616" spans="37:40" x14ac:dyDescent="0.25">
      <c r="AK616" s="32" t="s">
        <v>49</v>
      </c>
      <c r="AL616" t="s">
        <v>190</v>
      </c>
      <c r="AM616" t="s">
        <v>127</v>
      </c>
      <c r="AN616" t="s">
        <v>128</v>
      </c>
    </row>
    <row r="617" spans="37:40" x14ac:dyDescent="0.25">
      <c r="AK617" s="32" t="s">
        <v>49</v>
      </c>
      <c r="AL617" t="s">
        <v>190</v>
      </c>
      <c r="AM617" t="s">
        <v>140</v>
      </c>
      <c r="AN617" t="s">
        <v>141</v>
      </c>
    </row>
    <row r="618" spans="37:40" x14ac:dyDescent="0.25">
      <c r="AK618" s="32" t="s">
        <v>49</v>
      </c>
      <c r="AL618" t="s">
        <v>190</v>
      </c>
      <c r="AM618" t="s">
        <v>152</v>
      </c>
      <c r="AN618" t="s">
        <v>153</v>
      </c>
    </row>
    <row r="619" spans="37:40" x14ac:dyDescent="0.25">
      <c r="AK619" s="32" t="s">
        <v>49</v>
      </c>
      <c r="AL619" t="s">
        <v>190</v>
      </c>
      <c r="AM619" t="s">
        <v>164</v>
      </c>
      <c r="AN619" t="s">
        <v>165</v>
      </c>
    </row>
    <row r="620" spans="37:40" x14ac:dyDescent="0.25">
      <c r="AK620" s="32" t="s">
        <v>49</v>
      </c>
      <c r="AL620" t="s">
        <v>190</v>
      </c>
      <c r="AM620" t="s">
        <v>179</v>
      </c>
      <c r="AN620" t="s">
        <v>180</v>
      </c>
    </row>
    <row r="621" spans="37:40" x14ac:dyDescent="0.25">
      <c r="AK621" s="32" t="s">
        <v>49</v>
      </c>
      <c r="AL621" t="s">
        <v>190</v>
      </c>
      <c r="AM621" t="s">
        <v>193</v>
      </c>
      <c r="AN621" t="s">
        <v>194</v>
      </c>
    </row>
    <row r="622" spans="37:40" x14ac:dyDescent="0.25">
      <c r="AK622" s="32" t="s">
        <v>49</v>
      </c>
      <c r="AL622" t="s">
        <v>190</v>
      </c>
      <c r="AM622" t="s">
        <v>206</v>
      </c>
      <c r="AN622" t="s">
        <v>207</v>
      </c>
    </row>
    <row r="623" spans="37:40" x14ac:dyDescent="0.25">
      <c r="AK623" s="32" t="s">
        <v>49</v>
      </c>
      <c r="AL623" t="s">
        <v>190</v>
      </c>
      <c r="AM623" t="s">
        <v>218</v>
      </c>
      <c r="AN623" t="s">
        <v>219</v>
      </c>
    </row>
    <row r="624" spans="37:40" x14ac:dyDescent="0.25">
      <c r="AK624" s="32" t="s">
        <v>49</v>
      </c>
      <c r="AL624" t="s">
        <v>190</v>
      </c>
      <c r="AM624" t="s">
        <v>224</v>
      </c>
      <c r="AN624" t="s">
        <v>225</v>
      </c>
    </row>
    <row r="625" spans="37:40" x14ac:dyDescent="0.25">
      <c r="AK625" s="32" t="s">
        <v>49</v>
      </c>
      <c r="AL625" t="s">
        <v>190</v>
      </c>
      <c r="AM625" t="s">
        <v>228</v>
      </c>
      <c r="AN625" t="s">
        <v>229</v>
      </c>
    </row>
    <row r="626" spans="37:40" x14ac:dyDescent="0.25">
      <c r="AK626" s="32" t="s">
        <v>49</v>
      </c>
      <c r="AL626" t="s">
        <v>190</v>
      </c>
      <c r="AM626" t="s">
        <v>232</v>
      </c>
      <c r="AN626" t="s">
        <v>233</v>
      </c>
    </row>
    <row r="627" spans="37:40" x14ac:dyDescent="0.25">
      <c r="AK627" s="32" t="s">
        <v>49</v>
      </c>
      <c r="AL627" t="s">
        <v>190</v>
      </c>
      <c r="AM627" t="s">
        <v>237</v>
      </c>
      <c r="AN627" t="s">
        <v>238</v>
      </c>
    </row>
    <row r="628" spans="37:40" x14ac:dyDescent="0.25">
      <c r="AK628" s="32" t="s">
        <v>49</v>
      </c>
      <c r="AL628" t="s">
        <v>190</v>
      </c>
      <c r="AM628" t="s">
        <v>242</v>
      </c>
      <c r="AN628" t="s">
        <v>243</v>
      </c>
    </row>
    <row r="629" spans="37:40" x14ac:dyDescent="0.25">
      <c r="AK629" s="32" t="s">
        <v>49</v>
      </c>
      <c r="AL629" t="s">
        <v>190</v>
      </c>
      <c r="AM629" t="s">
        <v>247</v>
      </c>
      <c r="AN629" t="s">
        <v>248</v>
      </c>
    </row>
    <row r="630" spans="37:40" x14ac:dyDescent="0.25">
      <c r="AK630" s="32" t="s">
        <v>49</v>
      </c>
      <c r="AL630" t="s">
        <v>190</v>
      </c>
      <c r="AM630" t="s">
        <v>251</v>
      </c>
      <c r="AN630" t="s">
        <v>252</v>
      </c>
    </row>
    <row r="631" spans="37:40" x14ac:dyDescent="0.25">
      <c r="AK631" s="32" t="s">
        <v>49</v>
      </c>
      <c r="AL631" t="s">
        <v>190</v>
      </c>
      <c r="AM631" t="s">
        <v>255</v>
      </c>
      <c r="AN631" t="s">
        <v>256</v>
      </c>
    </row>
    <row r="632" spans="37:40" x14ac:dyDescent="0.25">
      <c r="AK632" s="32" t="s">
        <v>49</v>
      </c>
      <c r="AL632" t="s">
        <v>190</v>
      </c>
      <c r="AM632" t="s">
        <v>259</v>
      </c>
      <c r="AN632" t="s">
        <v>260</v>
      </c>
    </row>
    <row r="633" spans="37:40" x14ac:dyDescent="0.25">
      <c r="AK633" s="32" t="s">
        <v>49</v>
      </c>
      <c r="AL633" t="s">
        <v>190</v>
      </c>
      <c r="AM633" t="s">
        <v>263</v>
      </c>
      <c r="AN633" t="s">
        <v>264</v>
      </c>
    </row>
    <row r="634" spans="37:40" x14ac:dyDescent="0.25">
      <c r="AK634" s="32" t="s">
        <v>49</v>
      </c>
      <c r="AL634" t="s">
        <v>190</v>
      </c>
      <c r="AM634" t="s">
        <v>267</v>
      </c>
      <c r="AN634" t="s">
        <v>268</v>
      </c>
    </row>
    <row r="635" spans="37:40" x14ac:dyDescent="0.25">
      <c r="AK635" s="32" t="s">
        <v>49</v>
      </c>
      <c r="AL635" t="s">
        <v>190</v>
      </c>
      <c r="AM635" t="s">
        <v>271</v>
      </c>
      <c r="AN635" t="s">
        <v>272</v>
      </c>
    </row>
    <row r="636" spans="37:40" x14ac:dyDescent="0.25">
      <c r="AK636" s="32" t="s">
        <v>49</v>
      </c>
      <c r="AL636" t="s">
        <v>190</v>
      </c>
      <c r="AM636" t="s">
        <v>274</v>
      </c>
      <c r="AN636" t="s">
        <v>275</v>
      </c>
    </row>
    <row r="637" spans="37:40" x14ac:dyDescent="0.25">
      <c r="AK637" s="32" t="s">
        <v>49</v>
      </c>
      <c r="AL637" t="s">
        <v>190</v>
      </c>
      <c r="AM637" t="s">
        <v>277</v>
      </c>
      <c r="AN637" t="s">
        <v>278</v>
      </c>
    </row>
    <row r="638" spans="37:40" x14ac:dyDescent="0.25">
      <c r="AK638" s="32" t="s">
        <v>49</v>
      </c>
      <c r="AL638" t="s">
        <v>190</v>
      </c>
      <c r="AM638" t="s">
        <v>281</v>
      </c>
      <c r="AN638" t="s">
        <v>282</v>
      </c>
    </row>
    <row r="639" spans="37:40" x14ac:dyDescent="0.25">
      <c r="AK639" s="32" t="s">
        <v>49</v>
      </c>
      <c r="AL639" t="s">
        <v>190</v>
      </c>
      <c r="AM639" t="s">
        <v>285</v>
      </c>
      <c r="AN639" t="s">
        <v>286</v>
      </c>
    </row>
    <row r="640" spans="37:40" x14ac:dyDescent="0.25">
      <c r="AK640" s="32" t="s">
        <v>49</v>
      </c>
      <c r="AL640" t="s">
        <v>190</v>
      </c>
      <c r="AM640" t="s">
        <v>288</v>
      </c>
      <c r="AN640" t="s">
        <v>289</v>
      </c>
    </row>
    <row r="641" spans="37:40" x14ac:dyDescent="0.25">
      <c r="AK641" s="32" t="s">
        <v>49</v>
      </c>
      <c r="AL641" t="s">
        <v>190</v>
      </c>
      <c r="AM641" t="s">
        <v>292</v>
      </c>
      <c r="AN641" t="s">
        <v>293</v>
      </c>
    </row>
    <row r="642" spans="37:40" x14ac:dyDescent="0.25">
      <c r="AK642" s="32" t="s">
        <v>49</v>
      </c>
      <c r="AL642" t="s">
        <v>190</v>
      </c>
      <c r="AM642" t="s">
        <v>297</v>
      </c>
      <c r="AN642" t="s">
        <v>298</v>
      </c>
    </row>
    <row r="643" spans="37:40" x14ac:dyDescent="0.25">
      <c r="AK643" s="32" t="s">
        <v>49</v>
      </c>
      <c r="AL643" t="s">
        <v>190</v>
      </c>
      <c r="AM643" t="s">
        <v>302</v>
      </c>
      <c r="AN643" t="s">
        <v>303</v>
      </c>
    </row>
    <row r="644" spans="37:40" x14ac:dyDescent="0.25">
      <c r="AK644" s="32" t="s">
        <v>49</v>
      </c>
      <c r="AL644" t="s">
        <v>190</v>
      </c>
      <c r="AM644" t="s">
        <v>306</v>
      </c>
      <c r="AN644" t="s">
        <v>307</v>
      </c>
    </row>
    <row r="645" spans="37:40" x14ac:dyDescent="0.25">
      <c r="AK645" s="32" t="s">
        <v>49</v>
      </c>
      <c r="AL645" t="s">
        <v>190</v>
      </c>
      <c r="AM645" t="s">
        <v>310</v>
      </c>
      <c r="AN645" t="s">
        <v>311</v>
      </c>
    </row>
    <row r="646" spans="37:40" x14ac:dyDescent="0.25">
      <c r="AK646" s="32" t="s">
        <v>49</v>
      </c>
      <c r="AL646" t="s">
        <v>190</v>
      </c>
      <c r="AM646" t="s">
        <v>314</v>
      </c>
      <c r="AN646" t="s">
        <v>315</v>
      </c>
    </row>
    <row r="647" spans="37:40" x14ac:dyDescent="0.25">
      <c r="AK647" s="32" t="s">
        <v>49</v>
      </c>
      <c r="AL647" t="s">
        <v>190</v>
      </c>
      <c r="AM647" t="s">
        <v>318</v>
      </c>
      <c r="AN647" t="s">
        <v>319</v>
      </c>
    </row>
    <row r="648" spans="37:40" x14ac:dyDescent="0.25">
      <c r="AK648" s="32" t="s">
        <v>49</v>
      </c>
      <c r="AL648" t="s">
        <v>190</v>
      </c>
      <c r="AM648" t="s">
        <v>321</v>
      </c>
      <c r="AN648" t="s">
        <v>322</v>
      </c>
    </row>
    <row r="649" spans="37:40" x14ac:dyDescent="0.25">
      <c r="AK649" s="32" t="s">
        <v>49</v>
      </c>
      <c r="AL649" t="s">
        <v>190</v>
      </c>
      <c r="AM649" t="s">
        <v>325</v>
      </c>
      <c r="AN649" t="s">
        <v>326</v>
      </c>
    </row>
    <row r="650" spans="37:40" x14ac:dyDescent="0.25">
      <c r="AK650" s="32" t="s">
        <v>49</v>
      </c>
      <c r="AL650" t="s">
        <v>190</v>
      </c>
      <c r="AM650" t="s">
        <v>327</v>
      </c>
      <c r="AN650" t="s">
        <v>328</v>
      </c>
    </row>
    <row r="651" spans="37:40" x14ac:dyDescent="0.25">
      <c r="AK651" s="32" t="s">
        <v>49</v>
      </c>
      <c r="AL651" t="s">
        <v>190</v>
      </c>
      <c r="AM651" t="s">
        <v>329</v>
      </c>
      <c r="AN651" t="s">
        <v>330</v>
      </c>
    </row>
    <row r="652" spans="37:40" x14ac:dyDescent="0.25">
      <c r="AK652" s="32" t="s">
        <v>49</v>
      </c>
      <c r="AL652" t="s">
        <v>190</v>
      </c>
      <c r="AM652" t="s">
        <v>331</v>
      </c>
      <c r="AN652" t="s">
        <v>332</v>
      </c>
    </row>
    <row r="653" spans="37:40" x14ac:dyDescent="0.25">
      <c r="AK653" s="32" t="s">
        <v>49</v>
      </c>
      <c r="AL653" t="s">
        <v>190</v>
      </c>
      <c r="AM653" t="s">
        <v>333</v>
      </c>
      <c r="AN653" t="s">
        <v>334</v>
      </c>
    </row>
    <row r="654" spans="37:40" x14ac:dyDescent="0.25">
      <c r="AK654" s="32" t="s">
        <v>49</v>
      </c>
      <c r="AL654" t="s">
        <v>190</v>
      </c>
      <c r="AM654" t="s">
        <v>335</v>
      </c>
      <c r="AN654" t="s">
        <v>336</v>
      </c>
    </row>
    <row r="655" spans="37:40" x14ac:dyDescent="0.25">
      <c r="AK655" s="32" t="s">
        <v>49</v>
      </c>
      <c r="AL655" t="s">
        <v>190</v>
      </c>
      <c r="AM655" t="s">
        <v>337</v>
      </c>
      <c r="AN655" t="s">
        <v>338</v>
      </c>
    </row>
    <row r="656" spans="37:40" x14ac:dyDescent="0.25">
      <c r="AK656" s="32" t="s">
        <v>49</v>
      </c>
      <c r="AL656" t="s">
        <v>190</v>
      </c>
      <c r="AM656" t="s">
        <v>340</v>
      </c>
      <c r="AN656" t="s">
        <v>341</v>
      </c>
    </row>
    <row r="657" spans="37:40" x14ac:dyDescent="0.25">
      <c r="AK657" s="32" t="s">
        <v>49</v>
      </c>
      <c r="AL657" t="s">
        <v>190</v>
      </c>
      <c r="AM657" t="s">
        <v>342</v>
      </c>
      <c r="AN657" t="s">
        <v>343</v>
      </c>
    </row>
    <row r="658" spans="37:40" x14ac:dyDescent="0.25">
      <c r="AK658" s="32" t="s">
        <v>49</v>
      </c>
      <c r="AL658" t="s">
        <v>190</v>
      </c>
      <c r="AM658" t="s">
        <v>344</v>
      </c>
      <c r="AN658" t="s">
        <v>345</v>
      </c>
    </row>
    <row r="659" spans="37:40" x14ac:dyDescent="0.25">
      <c r="AK659" s="32" t="s">
        <v>49</v>
      </c>
      <c r="AL659" t="s">
        <v>190</v>
      </c>
      <c r="AM659" t="s">
        <v>346</v>
      </c>
      <c r="AN659" t="s">
        <v>347</v>
      </c>
    </row>
    <row r="660" spans="37:40" x14ac:dyDescent="0.25">
      <c r="AK660" s="32" t="s">
        <v>49</v>
      </c>
      <c r="AL660" t="s">
        <v>190</v>
      </c>
      <c r="AM660" t="s">
        <v>348</v>
      </c>
      <c r="AN660" t="s">
        <v>349</v>
      </c>
    </row>
    <row r="661" spans="37:40" x14ac:dyDescent="0.25">
      <c r="AK661" s="32" t="s">
        <v>49</v>
      </c>
      <c r="AL661" t="s">
        <v>190</v>
      </c>
      <c r="AM661" t="s">
        <v>350</v>
      </c>
      <c r="AN661" t="s">
        <v>351</v>
      </c>
    </row>
    <row r="662" spans="37:40" x14ac:dyDescent="0.25">
      <c r="AK662" s="32" t="s">
        <v>49</v>
      </c>
      <c r="AL662" t="s">
        <v>190</v>
      </c>
      <c r="AM662" t="s">
        <v>352</v>
      </c>
      <c r="AN662" t="s">
        <v>353</v>
      </c>
    </row>
    <row r="663" spans="37:40" x14ac:dyDescent="0.25">
      <c r="AK663" s="32" t="s">
        <v>49</v>
      </c>
      <c r="AL663" t="s">
        <v>190</v>
      </c>
      <c r="AM663" t="s">
        <v>354</v>
      </c>
      <c r="AN663" t="s">
        <v>355</v>
      </c>
    </row>
    <row r="664" spans="37:40" x14ac:dyDescent="0.25">
      <c r="AK664" s="32" t="s">
        <v>49</v>
      </c>
      <c r="AL664" t="s">
        <v>190</v>
      </c>
      <c r="AM664" t="s">
        <v>356</v>
      </c>
      <c r="AN664" t="s">
        <v>357</v>
      </c>
    </row>
    <row r="665" spans="37:40" x14ac:dyDescent="0.25">
      <c r="AK665" s="32" t="s">
        <v>49</v>
      </c>
      <c r="AL665" t="s">
        <v>190</v>
      </c>
      <c r="AM665" t="s">
        <v>358</v>
      </c>
      <c r="AN665" t="s">
        <v>359</v>
      </c>
    </row>
    <row r="666" spans="37:40" x14ac:dyDescent="0.25">
      <c r="AK666" s="32" t="s">
        <v>49</v>
      </c>
      <c r="AL666" t="s">
        <v>190</v>
      </c>
      <c r="AM666" t="s">
        <v>360</v>
      </c>
      <c r="AN666" t="s">
        <v>361</v>
      </c>
    </row>
    <row r="667" spans="37:40" x14ac:dyDescent="0.25">
      <c r="AK667" s="32" t="s">
        <v>49</v>
      </c>
      <c r="AL667" t="s">
        <v>190</v>
      </c>
      <c r="AM667" t="s">
        <v>362</v>
      </c>
      <c r="AN667" t="s">
        <v>363</v>
      </c>
    </row>
    <row r="668" spans="37:40" x14ac:dyDescent="0.25">
      <c r="AK668" s="32" t="s">
        <v>49</v>
      </c>
      <c r="AL668" t="s">
        <v>190</v>
      </c>
      <c r="AM668" t="s">
        <v>364</v>
      </c>
      <c r="AN668" t="s">
        <v>365</v>
      </c>
    </row>
    <row r="669" spans="37:40" x14ac:dyDescent="0.25">
      <c r="AK669" s="32" t="s">
        <v>49</v>
      </c>
      <c r="AL669" t="s">
        <v>190</v>
      </c>
      <c r="AM669" t="s">
        <v>366</v>
      </c>
      <c r="AN669" t="s">
        <v>367</v>
      </c>
    </row>
    <row r="670" spans="37:40" x14ac:dyDescent="0.25">
      <c r="AK670" s="32" t="s">
        <v>49</v>
      </c>
      <c r="AL670" t="s">
        <v>190</v>
      </c>
      <c r="AM670" t="s">
        <v>368</v>
      </c>
      <c r="AN670" t="s">
        <v>369</v>
      </c>
    </row>
    <row r="671" spans="37:40" x14ac:dyDescent="0.25">
      <c r="AK671" s="32" t="s">
        <v>49</v>
      </c>
      <c r="AL671" t="s">
        <v>190</v>
      </c>
      <c r="AM671" t="s">
        <v>370</v>
      </c>
      <c r="AN671" t="s">
        <v>371</v>
      </c>
    </row>
    <row r="673" spans="37:41" x14ac:dyDescent="0.25">
      <c r="AK673" s="32" t="s">
        <v>49</v>
      </c>
      <c r="AL673" t="s">
        <v>205</v>
      </c>
      <c r="AM673" t="s">
        <v>50</v>
      </c>
      <c r="AN673" t="s">
        <v>51</v>
      </c>
    </row>
    <row r="674" spans="37:41" x14ac:dyDescent="0.25">
      <c r="AK674" s="32" t="s">
        <v>49</v>
      </c>
      <c r="AL674" t="s">
        <v>205</v>
      </c>
      <c r="AM674" t="s">
        <v>78</v>
      </c>
      <c r="AN674" t="s">
        <v>79</v>
      </c>
    </row>
    <row r="675" spans="37:41" x14ac:dyDescent="0.25">
      <c r="AK675" s="32" t="s">
        <v>49</v>
      </c>
      <c r="AL675" t="s">
        <v>205</v>
      </c>
      <c r="AM675" t="s">
        <v>100</v>
      </c>
      <c r="AN675" t="s">
        <v>101</v>
      </c>
      <c r="AO675" t="s">
        <v>465</v>
      </c>
    </row>
    <row r="676" spans="37:41" x14ac:dyDescent="0.25">
      <c r="AK676" s="32" t="s">
        <v>49</v>
      </c>
      <c r="AL676" t="s">
        <v>205</v>
      </c>
      <c r="AM676" t="s">
        <v>112</v>
      </c>
      <c r="AN676" t="s">
        <v>113</v>
      </c>
      <c r="AO676" t="s">
        <v>467</v>
      </c>
    </row>
    <row r="677" spans="37:41" x14ac:dyDescent="0.25">
      <c r="AK677" s="32" t="s">
        <v>49</v>
      </c>
      <c r="AL677" t="s">
        <v>205</v>
      </c>
      <c r="AM677" t="s">
        <v>127</v>
      </c>
      <c r="AN677" t="s">
        <v>128</v>
      </c>
      <c r="AO677" t="s">
        <v>469</v>
      </c>
    </row>
    <row r="678" spans="37:41" x14ac:dyDescent="0.25">
      <c r="AK678" s="32" t="s">
        <v>49</v>
      </c>
      <c r="AL678" t="s">
        <v>205</v>
      </c>
      <c r="AM678" t="s">
        <v>140</v>
      </c>
      <c r="AN678" t="s">
        <v>141</v>
      </c>
      <c r="AO678" t="s">
        <v>471</v>
      </c>
    </row>
    <row r="679" spans="37:41" x14ac:dyDescent="0.25">
      <c r="AK679" s="32" t="s">
        <v>49</v>
      </c>
      <c r="AL679" t="s">
        <v>205</v>
      </c>
      <c r="AM679" t="s">
        <v>152</v>
      </c>
      <c r="AN679" t="s">
        <v>153</v>
      </c>
      <c r="AO679" t="s">
        <v>473</v>
      </c>
    </row>
    <row r="680" spans="37:41" x14ac:dyDescent="0.25">
      <c r="AK680" s="32" t="s">
        <v>49</v>
      </c>
      <c r="AL680" t="s">
        <v>205</v>
      </c>
      <c r="AM680" t="s">
        <v>164</v>
      </c>
      <c r="AN680" t="s">
        <v>165</v>
      </c>
      <c r="AO680" t="s">
        <v>475</v>
      </c>
    </row>
    <row r="681" spans="37:41" x14ac:dyDescent="0.25">
      <c r="AK681" s="32" t="s">
        <v>49</v>
      </c>
      <c r="AL681" t="s">
        <v>205</v>
      </c>
      <c r="AM681" t="s">
        <v>179</v>
      </c>
      <c r="AN681" t="s">
        <v>180</v>
      </c>
      <c r="AO681" t="s">
        <v>477</v>
      </c>
    </row>
    <row r="682" spans="37:41" x14ac:dyDescent="0.25">
      <c r="AK682" s="32" t="s">
        <v>49</v>
      </c>
      <c r="AL682" t="s">
        <v>205</v>
      </c>
      <c r="AM682" t="s">
        <v>193</v>
      </c>
      <c r="AN682" t="s">
        <v>194</v>
      </c>
      <c r="AO682" t="s">
        <v>479</v>
      </c>
    </row>
    <row r="683" spans="37:41" x14ac:dyDescent="0.25">
      <c r="AK683" s="32" t="s">
        <v>49</v>
      </c>
      <c r="AL683" t="s">
        <v>205</v>
      </c>
      <c r="AM683" t="s">
        <v>206</v>
      </c>
      <c r="AN683" t="s">
        <v>207</v>
      </c>
      <c r="AO683" t="s">
        <v>481</v>
      </c>
    </row>
    <row r="684" spans="37:41" x14ac:dyDescent="0.25">
      <c r="AK684" s="32" t="s">
        <v>49</v>
      </c>
      <c r="AL684" t="s">
        <v>205</v>
      </c>
      <c r="AM684" t="s">
        <v>218</v>
      </c>
      <c r="AN684" t="s">
        <v>219</v>
      </c>
      <c r="AO684" t="s">
        <v>483</v>
      </c>
    </row>
    <row r="685" spans="37:41" x14ac:dyDescent="0.25">
      <c r="AK685" s="32" t="s">
        <v>49</v>
      </c>
      <c r="AL685" t="s">
        <v>205</v>
      </c>
      <c r="AM685" t="s">
        <v>224</v>
      </c>
      <c r="AN685" t="s">
        <v>225</v>
      </c>
      <c r="AO685" t="s">
        <v>469</v>
      </c>
    </row>
    <row r="686" spans="37:41" x14ac:dyDescent="0.25">
      <c r="AK686" s="32" t="s">
        <v>49</v>
      </c>
      <c r="AL686" t="s">
        <v>205</v>
      </c>
      <c r="AM686" t="s">
        <v>228</v>
      </c>
      <c r="AN686" t="s">
        <v>229</v>
      </c>
      <c r="AO686" t="s">
        <v>471</v>
      </c>
    </row>
    <row r="687" spans="37:41" x14ac:dyDescent="0.25">
      <c r="AK687" s="32" t="s">
        <v>49</v>
      </c>
      <c r="AL687" t="s">
        <v>205</v>
      </c>
      <c r="AM687" t="s">
        <v>232</v>
      </c>
      <c r="AN687" t="s">
        <v>233</v>
      </c>
      <c r="AO687" t="s">
        <v>473</v>
      </c>
    </row>
    <row r="688" spans="37:41" x14ac:dyDescent="0.25">
      <c r="AK688" s="32" t="s">
        <v>49</v>
      </c>
      <c r="AL688" t="s">
        <v>205</v>
      </c>
      <c r="AM688" t="s">
        <v>237</v>
      </c>
      <c r="AN688" t="s">
        <v>238</v>
      </c>
      <c r="AO688" t="s">
        <v>467</v>
      </c>
    </row>
    <row r="689" spans="37:41" x14ac:dyDescent="0.25">
      <c r="AK689" s="32" t="s">
        <v>49</v>
      </c>
      <c r="AL689" t="s">
        <v>205</v>
      </c>
      <c r="AM689" t="s">
        <v>242</v>
      </c>
      <c r="AN689" t="s">
        <v>243</v>
      </c>
      <c r="AO689" t="s">
        <v>471</v>
      </c>
    </row>
    <row r="690" spans="37:41" x14ac:dyDescent="0.25">
      <c r="AK690" s="32" t="s">
        <v>49</v>
      </c>
      <c r="AL690" t="s">
        <v>205</v>
      </c>
      <c r="AM690" t="s">
        <v>247</v>
      </c>
      <c r="AN690" t="s">
        <v>248</v>
      </c>
      <c r="AO690" t="s">
        <v>473</v>
      </c>
    </row>
    <row r="691" spans="37:41" x14ac:dyDescent="0.25">
      <c r="AK691" s="32" t="s">
        <v>49</v>
      </c>
      <c r="AL691" t="s">
        <v>205</v>
      </c>
      <c r="AM691" t="s">
        <v>251</v>
      </c>
      <c r="AN691" t="s">
        <v>252</v>
      </c>
      <c r="AO691" t="s">
        <v>475</v>
      </c>
    </row>
    <row r="692" spans="37:41" x14ac:dyDescent="0.25">
      <c r="AK692" s="32" t="s">
        <v>49</v>
      </c>
      <c r="AL692" t="s">
        <v>205</v>
      </c>
      <c r="AM692" t="s">
        <v>255</v>
      </c>
      <c r="AN692" t="s">
        <v>256</v>
      </c>
      <c r="AO692" t="s">
        <v>477</v>
      </c>
    </row>
    <row r="693" spans="37:41" x14ac:dyDescent="0.25">
      <c r="AK693" s="32" t="s">
        <v>49</v>
      </c>
      <c r="AL693" t="s">
        <v>205</v>
      </c>
      <c r="AM693" t="s">
        <v>259</v>
      </c>
      <c r="AN693" t="s">
        <v>260</v>
      </c>
      <c r="AO693" t="s">
        <v>467</v>
      </c>
    </row>
    <row r="694" spans="37:41" x14ac:dyDescent="0.25">
      <c r="AK694" s="32" t="s">
        <v>49</v>
      </c>
      <c r="AL694" t="s">
        <v>205</v>
      </c>
      <c r="AM694" t="s">
        <v>263</v>
      </c>
      <c r="AN694" t="s">
        <v>264</v>
      </c>
      <c r="AO694" t="s">
        <v>469</v>
      </c>
    </row>
    <row r="695" spans="37:41" x14ac:dyDescent="0.25">
      <c r="AK695" s="32" t="s">
        <v>49</v>
      </c>
      <c r="AL695" t="s">
        <v>205</v>
      </c>
      <c r="AM695" t="s">
        <v>267</v>
      </c>
      <c r="AN695" t="s">
        <v>268</v>
      </c>
      <c r="AO695" t="s">
        <v>473</v>
      </c>
    </row>
    <row r="696" spans="37:41" x14ac:dyDescent="0.25">
      <c r="AK696" s="32" t="s">
        <v>49</v>
      </c>
      <c r="AL696" t="s">
        <v>205</v>
      </c>
      <c r="AM696" t="s">
        <v>271</v>
      </c>
      <c r="AN696" t="s">
        <v>272</v>
      </c>
      <c r="AO696" t="s">
        <v>475</v>
      </c>
    </row>
    <row r="697" spans="37:41" x14ac:dyDescent="0.25">
      <c r="AK697" s="32" t="s">
        <v>49</v>
      </c>
      <c r="AL697" t="s">
        <v>205</v>
      </c>
      <c r="AM697" t="s">
        <v>274</v>
      </c>
      <c r="AN697" t="s">
        <v>275</v>
      </c>
      <c r="AO697" t="s">
        <v>477</v>
      </c>
    </row>
    <row r="698" spans="37:41" x14ac:dyDescent="0.25">
      <c r="AK698" s="32" t="s">
        <v>49</v>
      </c>
      <c r="AL698" t="s">
        <v>205</v>
      </c>
      <c r="AM698" t="s">
        <v>277</v>
      </c>
      <c r="AN698" t="s">
        <v>278</v>
      </c>
      <c r="AO698" t="s">
        <v>467</v>
      </c>
    </row>
    <row r="699" spans="37:41" x14ac:dyDescent="0.25">
      <c r="AK699" s="32" t="s">
        <v>49</v>
      </c>
      <c r="AL699" t="s">
        <v>205</v>
      </c>
      <c r="AM699" t="s">
        <v>281</v>
      </c>
      <c r="AN699" t="s">
        <v>282</v>
      </c>
      <c r="AO699" t="s">
        <v>469</v>
      </c>
    </row>
    <row r="700" spans="37:41" x14ac:dyDescent="0.25">
      <c r="AK700" s="32" t="s">
        <v>49</v>
      </c>
      <c r="AL700" t="s">
        <v>205</v>
      </c>
      <c r="AM700" t="s">
        <v>285</v>
      </c>
      <c r="AN700" t="s">
        <v>286</v>
      </c>
      <c r="AO700" t="s">
        <v>471</v>
      </c>
    </row>
    <row r="701" spans="37:41" x14ac:dyDescent="0.25">
      <c r="AK701" s="32" t="s">
        <v>49</v>
      </c>
      <c r="AL701" t="s">
        <v>205</v>
      </c>
      <c r="AM701" t="s">
        <v>288</v>
      </c>
      <c r="AN701" t="s">
        <v>289</v>
      </c>
      <c r="AO701" t="s">
        <v>475</v>
      </c>
    </row>
    <row r="702" spans="37:41" x14ac:dyDescent="0.25">
      <c r="AK702" s="32" t="s">
        <v>49</v>
      </c>
      <c r="AL702" t="s">
        <v>205</v>
      </c>
      <c r="AM702" t="s">
        <v>292</v>
      </c>
      <c r="AN702" t="s">
        <v>293</v>
      </c>
      <c r="AO702" t="s">
        <v>477</v>
      </c>
    </row>
    <row r="703" spans="37:41" x14ac:dyDescent="0.25">
      <c r="AK703" s="32" t="s">
        <v>49</v>
      </c>
      <c r="AL703" t="s">
        <v>205</v>
      </c>
      <c r="AM703" t="s">
        <v>297</v>
      </c>
      <c r="AN703" t="s">
        <v>298</v>
      </c>
      <c r="AO703" t="s">
        <v>479</v>
      </c>
    </row>
    <row r="704" spans="37:41" x14ac:dyDescent="0.25">
      <c r="AK704" s="32" t="s">
        <v>49</v>
      </c>
      <c r="AL704" t="s">
        <v>205</v>
      </c>
      <c r="AM704" t="s">
        <v>302</v>
      </c>
      <c r="AN704" t="s">
        <v>303</v>
      </c>
      <c r="AO704" t="s">
        <v>481</v>
      </c>
    </row>
    <row r="705" spans="37:41" x14ac:dyDescent="0.25">
      <c r="AK705" s="32" t="s">
        <v>49</v>
      </c>
      <c r="AL705" t="s">
        <v>205</v>
      </c>
      <c r="AM705" t="s">
        <v>306</v>
      </c>
      <c r="AN705" t="s">
        <v>307</v>
      </c>
      <c r="AO705" t="s">
        <v>469</v>
      </c>
    </row>
    <row r="706" spans="37:41" x14ac:dyDescent="0.25">
      <c r="AK706" s="32" t="s">
        <v>49</v>
      </c>
      <c r="AL706" t="s">
        <v>205</v>
      </c>
      <c r="AM706" t="s">
        <v>310</v>
      </c>
      <c r="AN706" t="s">
        <v>311</v>
      </c>
      <c r="AO706" t="s">
        <v>471</v>
      </c>
    </row>
    <row r="707" spans="37:41" x14ac:dyDescent="0.25">
      <c r="AK707" s="32" t="s">
        <v>49</v>
      </c>
      <c r="AL707" t="s">
        <v>205</v>
      </c>
      <c r="AM707" t="s">
        <v>314</v>
      </c>
      <c r="AN707" t="s">
        <v>315</v>
      </c>
      <c r="AO707" t="s">
        <v>473</v>
      </c>
    </row>
    <row r="708" spans="37:41" x14ac:dyDescent="0.25">
      <c r="AK708" s="32" t="s">
        <v>49</v>
      </c>
      <c r="AL708" t="s">
        <v>205</v>
      </c>
      <c r="AM708" t="s">
        <v>318</v>
      </c>
      <c r="AN708" t="s">
        <v>319</v>
      </c>
      <c r="AO708" t="s">
        <v>477</v>
      </c>
    </row>
    <row r="709" spans="37:41" x14ac:dyDescent="0.25">
      <c r="AK709" s="32" t="s">
        <v>49</v>
      </c>
      <c r="AL709" t="s">
        <v>205</v>
      </c>
      <c r="AM709" t="s">
        <v>321</v>
      </c>
      <c r="AN709" t="s">
        <v>322</v>
      </c>
      <c r="AO709" t="s">
        <v>479</v>
      </c>
    </row>
    <row r="710" spans="37:41" x14ac:dyDescent="0.25">
      <c r="AK710" s="32" t="s">
        <v>49</v>
      </c>
      <c r="AL710" t="s">
        <v>205</v>
      </c>
      <c r="AM710" t="s">
        <v>325</v>
      </c>
      <c r="AN710" t="s">
        <v>326</v>
      </c>
      <c r="AO710" t="s">
        <v>481</v>
      </c>
    </row>
    <row r="711" spans="37:41" x14ac:dyDescent="0.25">
      <c r="AK711" s="32" t="s">
        <v>49</v>
      </c>
      <c r="AL711" t="s">
        <v>205</v>
      </c>
      <c r="AM711" t="s">
        <v>327</v>
      </c>
      <c r="AN711" t="s">
        <v>328</v>
      </c>
      <c r="AO711" t="s">
        <v>483</v>
      </c>
    </row>
    <row r="712" spans="37:41" x14ac:dyDescent="0.25">
      <c r="AK712" s="32" t="s">
        <v>49</v>
      </c>
      <c r="AL712" t="s">
        <v>205</v>
      </c>
      <c r="AM712" t="s">
        <v>329</v>
      </c>
      <c r="AN712" t="s">
        <v>330</v>
      </c>
      <c r="AO712" t="s">
        <v>469</v>
      </c>
    </row>
    <row r="713" spans="37:41" x14ac:dyDescent="0.25">
      <c r="AK713" s="32" t="s">
        <v>49</v>
      </c>
      <c r="AL713" t="s">
        <v>205</v>
      </c>
      <c r="AM713" t="s">
        <v>331</v>
      </c>
      <c r="AN713" t="s">
        <v>332</v>
      </c>
      <c r="AO713" t="s">
        <v>471</v>
      </c>
    </row>
    <row r="714" spans="37:41" x14ac:dyDescent="0.25">
      <c r="AK714" s="32" t="s">
        <v>49</v>
      </c>
      <c r="AL714" t="s">
        <v>205</v>
      </c>
      <c r="AM714" t="s">
        <v>333</v>
      </c>
      <c r="AN714" t="s">
        <v>334</v>
      </c>
      <c r="AO714" t="s">
        <v>473</v>
      </c>
    </row>
    <row r="715" spans="37:41" x14ac:dyDescent="0.25">
      <c r="AK715" s="32" t="s">
        <v>49</v>
      </c>
      <c r="AL715" t="s">
        <v>205</v>
      </c>
      <c r="AM715" t="s">
        <v>335</v>
      </c>
      <c r="AN715" t="s">
        <v>336</v>
      </c>
      <c r="AO715" t="s">
        <v>475</v>
      </c>
    </row>
    <row r="716" spans="37:41" x14ac:dyDescent="0.25">
      <c r="AK716" s="32" t="s">
        <v>49</v>
      </c>
      <c r="AL716" t="s">
        <v>205</v>
      </c>
      <c r="AM716" t="s">
        <v>337</v>
      </c>
      <c r="AN716" t="s">
        <v>338</v>
      </c>
      <c r="AO716" t="s">
        <v>479</v>
      </c>
    </row>
    <row r="717" spans="37:41" x14ac:dyDescent="0.25">
      <c r="AK717" s="32" t="s">
        <v>49</v>
      </c>
      <c r="AL717" t="s">
        <v>205</v>
      </c>
      <c r="AM717" t="s">
        <v>340</v>
      </c>
      <c r="AN717" t="s">
        <v>341</v>
      </c>
      <c r="AO717" t="s">
        <v>481</v>
      </c>
    </row>
    <row r="718" spans="37:41" x14ac:dyDescent="0.25">
      <c r="AK718" s="32" t="s">
        <v>49</v>
      </c>
      <c r="AL718" t="s">
        <v>205</v>
      </c>
      <c r="AM718" t="s">
        <v>342</v>
      </c>
      <c r="AN718" t="s">
        <v>343</v>
      </c>
      <c r="AO718" t="s">
        <v>483</v>
      </c>
    </row>
    <row r="719" spans="37:41" x14ac:dyDescent="0.25">
      <c r="AK719" s="32" t="s">
        <v>49</v>
      </c>
      <c r="AL719" t="s">
        <v>205</v>
      </c>
      <c r="AM719" t="s">
        <v>344</v>
      </c>
      <c r="AN719" t="s">
        <v>345</v>
      </c>
      <c r="AO719" t="s">
        <v>471</v>
      </c>
    </row>
    <row r="720" spans="37:41" x14ac:dyDescent="0.25">
      <c r="AK720" s="32" t="s">
        <v>49</v>
      </c>
      <c r="AL720" t="s">
        <v>205</v>
      </c>
      <c r="AM720" t="s">
        <v>346</v>
      </c>
      <c r="AN720" t="s">
        <v>347</v>
      </c>
      <c r="AO720" t="s">
        <v>473</v>
      </c>
    </row>
    <row r="721" spans="37:41" x14ac:dyDescent="0.25">
      <c r="AK721" s="32" t="s">
        <v>49</v>
      </c>
      <c r="AL721" t="s">
        <v>205</v>
      </c>
      <c r="AM721" t="s">
        <v>348</v>
      </c>
      <c r="AN721" t="s">
        <v>349</v>
      </c>
      <c r="AO721" t="s">
        <v>475</v>
      </c>
    </row>
    <row r="722" spans="37:41" x14ac:dyDescent="0.25">
      <c r="AK722" s="32" t="s">
        <v>49</v>
      </c>
      <c r="AL722" t="s">
        <v>205</v>
      </c>
      <c r="AM722" t="s">
        <v>350</v>
      </c>
      <c r="AN722" t="s">
        <v>351</v>
      </c>
      <c r="AO722" t="s">
        <v>477</v>
      </c>
    </row>
    <row r="723" spans="37:41" x14ac:dyDescent="0.25">
      <c r="AK723" s="32" t="s">
        <v>49</v>
      </c>
      <c r="AL723" t="s">
        <v>205</v>
      </c>
      <c r="AM723" t="s">
        <v>352</v>
      </c>
      <c r="AN723" t="s">
        <v>353</v>
      </c>
      <c r="AO723" t="s">
        <v>481</v>
      </c>
    </row>
    <row r="724" spans="37:41" x14ac:dyDescent="0.25">
      <c r="AK724" s="32" t="s">
        <v>49</v>
      </c>
      <c r="AL724" t="s">
        <v>205</v>
      </c>
      <c r="AM724" t="s">
        <v>354</v>
      </c>
      <c r="AN724" t="s">
        <v>355</v>
      </c>
      <c r="AO724" t="s">
        <v>483</v>
      </c>
    </row>
    <row r="725" spans="37:41" x14ac:dyDescent="0.25">
      <c r="AK725" s="32" t="s">
        <v>49</v>
      </c>
      <c r="AL725" t="s">
        <v>205</v>
      </c>
      <c r="AM725" t="s">
        <v>356</v>
      </c>
      <c r="AN725" t="s">
        <v>357</v>
      </c>
      <c r="AO725" t="s">
        <v>473</v>
      </c>
    </row>
    <row r="726" spans="37:41" x14ac:dyDescent="0.25">
      <c r="AK726" s="32" t="s">
        <v>49</v>
      </c>
      <c r="AL726" t="s">
        <v>205</v>
      </c>
      <c r="AM726" t="s">
        <v>358</v>
      </c>
      <c r="AN726" t="s">
        <v>359</v>
      </c>
      <c r="AO726" t="s">
        <v>475</v>
      </c>
    </row>
    <row r="727" spans="37:41" x14ac:dyDescent="0.25">
      <c r="AK727" s="32" t="s">
        <v>49</v>
      </c>
      <c r="AL727" t="s">
        <v>205</v>
      </c>
      <c r="AM727" t="s">
        <v>360</v>
      </c>
      <c r="AN727" t="s">
        <v>361</v>
      </c>
      <c r="AO727" t="s">
        <v>477</v>
      </c>
    </row>
    <row r="728" spans="37:41" x14ac:dyDescent="0.25">
      <c r="AK728" s="32" t="s">
        <v>49</v>
      </c>
      <c r="AL728" t="s">
        <v>205</v>
      </c>
      <c r="AM728" t="s">
        <v>362</v>
      </c>
      <c r="AN728" t="s">
        <v>363</v>
      </c>
      <c r="AO728" t="s">
        <v>479</v>
      </c>
    </row>
    <row r="729" spans="37:41" x14ac:dyDescent="0.25">
      <c r="AK729" s="32" t="s">
        <v>49</v>
      </c>
      <c r="AL729" t="s">
        <v>205</v>
      </c>
      <c r="AM729" t="s">
        <v>364</v>
      </c>
      <c r="AN729" t="s">
        <v>365</v>
      </c>
      <c r="AO729" t="s">
        <v>483</v>
      </c>
    </row>
    <row r="730" spans="37:41" x14ac:dyDescent="0.25">
      <c r="AK730" s="32" t="s">
        <v>49</v>
      </c>
      <c r="AL730" t="s">
        <v>205</v>
      </c>
      <c r="AM730" t="s">
        <v>366</v>
      </c>
      <c r="AN730" t="s">
        <v>367</v>
      </c>
      <c r="AO730" t="s">
        <v>473</v>
      </c>
    </row>
    <row r="731" spans="37:41" x14ac:dyDescent="0.25">
      <c r="AK731" s="32" t="s">
        <v>49</v>
      </c>
      <c r="AL731" t="s">
        <v>205</v>
      </c>
      <c r="AM731" t="s">
        <v>368</v>
      </c>
      <c r="AN731" t="s">
        <v>369</v>
      </c>
      <c r="AO731" t="s">
        <v>475</v>
      </c>
    </row>
    <row r="732" spans="37:41" x14ac:dyDescent="0.25">
      <c r="AK732" s="32" t="s">
        <v>49</v>
      </c>
      <c r="AL732" t="s">
        <v>205</v>
      </c>
      <c r="AM732" t="s">
        <v>370</v>
      </c>
      <c r="AN732" t="s">
        <v>371</v>
      </c>
      <c r="AO732" t="s">
        <v>477</v>
      </c>
    </row>
    <row r="733" spans="37:41" x14ac:dyDescent="0.25">
      <c r="AO733" t="s">
        <v>479</v>
      </c>
    </row>
    <row r="734" spans="37:41" x14ac:dyDescent="0.25">
      <c r="AO734" t="s">
        <v>481</v>
      </c>
    </row>
    <row r="736" spans="37:41" x14ac:dyDescent="0.25">
      <c r="AK736" t="s">
        <v>49</v>
      </c>
      <c r="AL736" t="s">
        <v>217</v>
      </c>
      <c r="AM736" t="s">
        <v>50</v>
      </c>
      <c r="AN736" t="s">
        <v>464</v>
      </c>
      <c r="AO736" t="s">
        <v>465</v>
      </c>
    </row>
    <row r="737" spans="37:41" x14ac:dyDescent="0.25">
      <c r="AK737" t="s">
        <v>49</v>
      </c>
      <c r="AL737" t="s">
        <v>217</v>
      </c>
      <c r="AM737" t="s">
        <v>78</v>
      </c>
      <c r="AN737" t="s">
        <v>466</v>
      </c>
      <c r="AO737" t="s">
        <v>467</v>
      </c>
    </row>
    <row r="738" spans="37:41" x14ac:dyDescent="0.25">
      <c r="AK738" t="s">
        <v>49</v>
      </c>
      <c r="AL738" t="s">
        <v>217</v>
      </c>
      <c r="AM738" t="s">
        <v>100</v>
      </c>
      <c r="AN738" t="s">
        <v>468</v>
      </c>
      <c r="AO738" t="s">
        <v>469</v>
      </c>
    </row>
    <row r="739" spans="37:41" x14ac:dyDescent="0.25">
      <c r="AK739" t="s">
        <v>49</v>
      </c>
      <c r="AL739" t="s">
        <v>217</v>
      </c>
      <c r="AM739" t="s">
        <v>112</v>
      </c>
      <c r="AN739" t="s">
        <v>470</v>
      </c>
      <c r="AO739" t="s">
        <v>471</v>
      </c>
    </row>
    <row r="740" spans="37:41" x14ac:dyDescent="0.25">
      <c r="AK740" t="s">
        <v>49</v>
      </c>
      <c r="AL740" t="s">
        <v>217</v>
      </c>
      <c r="AM740" t="s">
        <v>127</v>
      </c>
      <c r="AN740" t="s">
        <v>472</v>
      </c>
      <c r="AO740" t="s">
        <v>473</v>
      </c>
    </row>
    <row r="741" spans="37:41" x14ac:dyDescent="0.25">
      <c r="AK741" t="s">
        <v>49</v>
      </c>
      <c r="AL741" t="s">
        <v>217</v>
      </c>
      <c r="AM741" t="s">
        <v>140</v>
      </c>
      <c r="AN741" t="s">
        <v>474</v>
      </c>
      <c r="AO741" t="s">
        <v>475</v>
      </c>
    </row>
    <row r="742" spans="37:41" x14ac:dyDescent="0.25">
      <c r="AK742" t="s">
        <v>49</v>
      </c>
      <c r="AL742" t="s">
        <v>217</v>
      </c>
      <c r="AM742" t="s">
        <v>152</v>
      </c>
      <c r="AN742" t="s">
        <v>476</v>
      </c>
      <c r="AO742" t="s">
        <v>477</v>
      </c>
    </row>
    <row r="743" spans="37:41" x14ac:dyDescent="0.25">
      <c r="AK743" t="s">
        <v>49</v>
      </c>
      <c r="AL743" t="s">
        <v>217</v>
      </c>
      <c r="AM743" t="s">
        <v>164</v>
      </c>
      <c r="AN743" t="s">
        <v>478</v>
      </c>
      <c r="AO743" t="s">
        <v>479</v>
      </c>
    </row>
    <row r="744" spans="37:41" x14ac:dyDescent="0.25">
      <c r="AK744" t="s">
        <v>49</v>
      </c>
      <c r="AL744" t="s">
        <v>217</v>
      </c>
      <c r="AM744" t="s">
        <v>179</v>
      </c>
      <c r="AN744" t="s">
        <v>480</v>
      </c>
      <c r="AO744" t="s">
        <v>481</v>
      </c>
    </row>
    <row r="745" spans="37:41" x14ac:dyDescent="0.25">
      <c r="AK745" t="s">
        <v>49</v>
      </c>
      <c r="AL745" t="s">
        <v>217</v>
      </c>
      <c r="AM745" t="s">
        <v>193</v>
      </c>
      <c r="AN745" t="s">
        <v>482</v>
      </c>
      <c r="AO745" t="s">
        <v>483</v>
      </c>
    </row>
    <row r="746" spans="37:41" x14ac:dyDescent="0.25">
      <c r="AK746" t="s">
        <v>49</v>
      </c>
      <c r="AL746" t="s">
        <v>217</v>
      </c>
      <c r="AM746" t="s">
        <v>206</v>
      </c>
      <c r="AN746" t="s">
        <v>484</v>
      </c>
      <c r="AO746" t="s">
        <v>465</v>
      </c>
    </row>
    <row r="747" spans="37:41" x14ac:dyDescent="0.25">
      <c r="AK747" t="s">
        <v>49</v>
      </c>
      <c r="AL747" t="s">
        <v>217</v>
      </c>
      <c r="AM747" t="s">
        <v>218</v>
      </c>
      <c r="AN747" t="s">
        <v>485</v>
      </c>
      <c r="AO747" t="s">
        <v>467</v>
      </c>
    </row>
    <row r="748" spans="37:41" x14ac:dyDescent="0.25">
      <c r="AK748" t="s">
        <v>49</v>
      </c>
      <c r="AL748" t="s">
        <v>217</v>
      </c>
      <c r="AM748" t="s">
        <v>224</v>
      </c>
      <c r="AN748" t="s">
        <v>486</v>
      </c>
      <c r="AO748" t="s">
        <v>469</v>
      </c>
    </row>
    <row r="749" spans="37:41" x14ac:dyDescent="0.25">
      <c r="AK749" t="s">
        <v>49</v>
      </c>
      <c r="AL749" t="s">
        <v>217</v>
      </c>
      <c r="AM749" s="37" t="s">
        <v>325</v>
      </c>
      <c r="AN749" t="s">
        <v>484</v>
      </c>
      <c r="AO749" t="s">
        <v>471</v>
      </c>
    </row>
    <row r="750" spans="37:41" x14ac:dyDescent="0.25">
      <c r="AK750" t="s">
        <v>49</v>
      </c>
      <c r="AL750" t="s">
        <v>217</v>
      </c>
      <c r="AM750" t="s">
        <v>228</v>
      </c>
      <c r="AN750" t="s">
        <v>487</v>
      </c>
      <c r="AO750" t="s">
        <v>473</v>
      </c>
    </row>
    <row r="751" spans="37:41" x14ac:dyDescent="0.25">
      <c r="AK751" t="s">
        <v>49</v>
      </c>
      <c r="AL751" t="s">
        <v>217</v>
      </c>
      <c r="AM751" t="s">
        <v>232</v>
      </c>
      <c r="AN751" t="s">
        <v>488</v>
      </c>
      <c r="AO751" t="s">
        <v>475</v>
      </c>
    </row>
    <row r="752" spans="37:41" x14ac:dyDescent="0.25">
      <c r="AK752" t="s">
        <v>49</v>
      </c>
      <c r="AL752" t="s">
        <v>217</v>
      </c>
      <c r="AM752" t="s">
        <v>237</v>
      </c>
      <c r="AN752" t="s">
        <v>489</v>
      </c>
      <c r="AO752" t="s">
        <v>477</v>
      </c>
    </row>
    <row r="753" spans="37:41" x14ac:dyDescent="0.25">
      <c r="AK753" t="s">
        <v>49</v>
      </c>
      <c r="AL753" t="s">
        <v>217</v>
      </c>
      <c r="AM753" t="s">
        <v>327</v>
      </c>
      <c r="AN753" t="s">
        <v>490</v>
      </c>
      <c r="AO753" t="s">
        <v>479</v>
      </c>
    </row>
    <row r="754" spans="37:41" x14ac:dyDescent="0.25">
      <c r="AK754" t="s">
        <v>49</v>
      </c>
      <c r="AL754" t="s">
        <v>217</v>
      </c>
      <c r="AM754" s="37" t="s">
        <v>329</v>
      </c>
      <c r="AN754" t="s">
        <v>485</v>
      </c>
      <c r="AO754" t="s">
        <v>481</v>
      </c>
    </row>
    <row r="755" spans="37:41" x14ac:dyDescent="0.25">
      <c r="AK755" t="s">
        <v>49</v>
      </c>
      <c r="AL755" t="s">
        <v>217</v>
      </c>
      <c r="AM755" s="37" t="s">
        <v>331</v>
      </c>
      <c r="AN755" t="s">
        <v>487</v>
      </c>
      <c r="AO755" t="s">
        <v>475</v>
      </c>
    </row>
    <row r="756" spans="37:41" x14ac:dyDescent="0.25">
      <c r="AK756" t="s">
        <v>49</v>
      </c>
      <c r="AL756" t="s">
        <v>217</v>
      </c>
      <c r="AM756" t="s">
        <v>242</v>
      </c>
      <c r="AN756" t="s">
        <v>491</v>
      </c>
      <c r="AO756" t="s">
        <v>473</v>
      </c>
    </row>
    <row r="757" spans="37:41" x14ac:dyDescent="0.25">
      <c r="AK757" t="s">
        <v>49</v>
      </c>
      <c r="AL757" t="s">
        <v>217</v>
      </c>
      <c r="AM757" t="s">
        <v>247</v>
      </c>
      <c r="AN757" t="s">
        <v>492</v>
      </c>
      <c r="AO757" t="s">
        <v>475</v>
      </c>
    </row>
    <row r="758" spans="37:41" x14ac:dyDescent="0.25">
      <c r="AK758" t="s">
        <v>49</v>
      </c>
      <c r="AL758" t="s">
        <v>217</v>
      </c>
      <c r="AM758" t="s">
        <v>251</v>
      </c>
      <c r="AN758" t="s">
        <v>493</v>
      </c>
      <c r="AO758" t="s">
        <v>477</v>
      </c>
    </row>
    <row r="759" spans="37:41" x14ac:dyDescent="0.25">
      <c r="AK759" t="s">
        <v>49</v>
      </c>
      <c r="AL759" t="s">
        <v>217</v>
      </c>
      <c r="AM759" s="37" t="s">
        <v>333</v>
      </c>
      <c r="AN759" s="39" t="s">
        <v>486</v>
      </c>
      <c r="AO759" t="s">
        <v>479</v>
      </c>
    </row>
    <row r="760" spans="37:41" x14ac:dyDescent="0.25">
      <c r="AK760" t="s">
        <v>49</v>
      </c>
      <c r="AL760" t="s">
        <v>217</v>
      </c>
      <c r="AM760" s="37" t="s">
        <v>335</v>
      </c>
      <c r="AN760" s="39" t="s">
        <v>488</v>
      </c>
      <c r="AO760" t="s">
        <v>467</v>
      </c>
    </row>
    <row r="761" spans="37:41" x14ac:dyDescent="0.25">
      <c r="AK761" t="s">
        <v>49</v>
      </c>
      <c r="AL761" t="s">
        <v>217</v>
      </c>
      <c r="AM761" s="37" t="s">
        <v>337</v>
      </c>
      <c r="AN761" s="39" t="s">
        <v>491</v>
      </c>
      <c r="AO761" t="s">
        <v>469</v>
      </c>
    </row>
    <row r="762" spans="37:41" x14ac:dyDescent="0.25">
      <c r="AK762" t="s">
        <v>49</v>
      </c>
      <c r="AL762" t="s">
        <v>217</v>
      </c>
      <c r="AM762" s="37" t="s">
        <v>255</v>
      </c>
      <c r="AN762" s="39" t="s">
        <v>494</v>
      </c>
      <c r="AO762" t="s">
        <v>471</v>
      </c>
    </row>
    <row r="763" spans="37:41" x14ac:dyDescent="0.25">
      <c r="AK763" t="s">
        <v>49</v>
      </c>
      <c r="AL763" t="s">
        <v>217</v>
      </c>
      <c r="AM763" t="s">
        <v>259</v>
      </c>
      <c r="AN763" t="s">
        <v>495</v>
      </c>
      <c r="AO763" t="s">
        <v>471</v>
      </c>
    </row>
    <row r="764" spans="37:41" x14ac:dyDescent="0.25">
      <c r="AK764" t="s">
        <v>49</v>
      </c>
      <c r="AL764" t="s">
        <v>217</v>
      </c>
      <c r="AM764" s="37" t="s">
        <v>263</v>
      </c>
      <c r="AN764" s="39" t="s">
        <v>496</v>
      </c>
      <c r="AO764" t="s">
        <v>475</v>
      </c>
    </row>
    <row r="765" spans="37:41" x14ac:dyDescent="0.25">
      <c r="AK765" t="s">
        <v>49</v>
      </c>
      <c r="AL765" t="s">
        <v>217</v>
      </c>
      <c r="AM765" t="s">
        <v>340</v>
      </c>
      <c r="AN765" t="s">
        <v>497</v>
      </c>
      <c r="AO765" t="s">
        <v>477</v>
      </c>
    </row>
    <row r="766" spans="37:41" x14ac:dyDescent="0.25">
      <c r="AK766" t="s">
        <v>49</v>
      </c>
      <c r="AL766" t="s">
        <v>217</v>
      </c>
      <c r="AM766" s="37" t="s">
        <v>342</v>
      </c>
      <c r="AN766" s="39" t="s">
        <v>489</v>
      </c>
      <c r="AO766" t="s">
        <v>469</v>
      </c>
    </row>
    <row r="767" spans="37:41" x14ac:dyDescent="0.25">
      <c r="AK767" t="s">
        <v>49</v>
      </c>
      <c r="AL767" t="s">
        <v>217</v>
      </c>
      <c r="AM767" s="37" t="s">
        <v>344</v>
      </c>
      <c r="AN767" s="59" t="s">
        <v>492</v>
      </c>
    </row>
    <row r="768" spans="37:41" x14ac:dyDescent="0.25">
      <c r="AK768" t="s">
        <v>49</v>
      </c>
      <c r="AL768" t="s">
        <v>217</v>
      </c>
      <c r="AM768" s="37" t="s">
        <v>346</v>
      </c>
      <c r="AN768" s="39" t="s">
        <v>498</v>
      </c>
      <c r="AO768" t="s">
        <v>465</v>
      </c>
    </row>
    <row r="769" spans="37:41" x14ac:dyDescent="0.25">
      <c r="AK769" t="s">
        <v>49</v>
      </c>
      <c r="AL769" t="s">
        <v>217</v>
      </c>
      <c r="AM769" t="s">
        <v>267</v>
      </c>
      <c r="AN769" t="s">
        <v>499</v>
      </c>
      <c r="AO769" t="s">
        <v>467</v>
      </c>
    </row>
    <row r="770" spans="37:41" x14ac:dyDescent="0.25">
      <c r="AK770" t="s">
        <v>49</v>
      </c>
      <c r="AL770" t="s">
        <v>217</v>
      </c>
      <c r="AM770" s="37" t="s">
        <v>271</v>
      </c>
      <c r="AN770" s="39" t="s">
        <v>500</v>
      </c>
      <c r="AO770" t="s">
        <v>469</v>
      </c>
    </row>
    <row r="771" spans="37:41" x14ac:dyDescent="0.25">
      <c r="AK771" t="s">
        <v>49</v>
      </c>
      <c r="AL771" t="s">
        <v>217</v>
      </c>
      <c r="AM771" t="s">
        <v>274</v>
      </c>
      <c r="AN771" t="s">
        <v>501</v>
      </c>
      <c r="AO771" t="s">
        <v>471</v>
      </c>
    </row>
    <row r="772" spans="37:41" x14ac:dyDescent="0.25">
      <c r="AK772" t="s">
        <v>49</v>
      </c>
      <c r="AL772" t="s">
        <v>217</v>
      </c>
      <c r="AM772" t="s">
        <v>348</v>
      </c>
      <c r="AN772" t="s">
        <v>502</v>
      </c>
      <c r="AO772" t="s">
        <v>473</v>
      </c>
    </row>
    <row r="773" spans="37:41" x14ac:dyDescent="0.25">
      <c r="AK773" t="s">
        <v>49</v>
      </c>
      <c r="AL773" t="s">
        <v>217</v>
      </c>
      <c r="AM773" s="37" t="s">
        <v>350</v>
      </c>
      <c r="AN773" s="39" t="s">
        <v>490</v>
      </c>
      <c r="AO773" t="s">
        <v>475</v>
      </c>
    </row>
    <row r="774" spans="37:41" x14ac:dyDescent="0.25">
      <c r="AK774" t="s">
        <v>49</v>
      </c>
      <c r="AL774" t="s">
        <v>217</v>
      </c>
      <c r="AM774" s="37" t="s">
        <v>352</v>
      </c>
      <c r="AN774" s="39" t="s">
        <v>493</v>
      </c>
      <c r="AO774" t="s">
        <v>477</v>
      </c>
    </row>
    <row r="775" spans="37:41" x14ac:dyDescent="0.25">
      <c r="AK775" t="s">
        <v>49</v>
      </c>
      <c r="AL775" t="s">
        <v>217</v>
      </c>
      <c r="AM775" s="37" t="s">
        <v>354</v>
      </c>
      <c r="AN775" s="39" t="s">
        <v>495</v>
      </c>
      <c r="AO775" t="s">
        <v>479</v>
      </c>
    </row>
    <row r="776" spans="37:41" x14ac:dyDescent="0.25">
      <c r="AK776" t="s">
        <v>49</v>
      </c>
      <c r="AL776" t="s">
        <v>217</v>
      </c>
      <c r="AM776" s="37" t="s">
        <v>356</v>
      </c>
      <c r="AN776" s="39" t="s">
        <v>499</v>
      </c>
      <c r="AO776" t="s">
        <v>481</v>
      </c>
    </row>
    <row r="777" spans="37:41" x14ac:dyDescent="0.25">
      <c r="AK777" t="s">
        <v>49</v>
      </c>
      <c r="AL777" t="s">
        <v>217</v>
      </c>
      <c r="AM777" t="s">
        <v>277</v>
      </c>
      <c r="AN777" t="s">
        <v>503</v>
      </c>
      <c r="AO777" t="s">
        <v>483</v>
      </c>
    </row>
    <row r="778" spans="37:41" x14ac:dyDescent="0.25">
      <c r="AK778" t="s">
        <v>49</v>
      </c>
      <c r="AL778" t="s">
        <v>217</v>
      </c>
      <c r="AM778" t="s">
        <v>281</v>
      </c>
      <c r="AN778" t="s">
        <v>504</v>
      </c>
      <c r="AO778" t="s">
        <v>469</v>
      </c>
    </row>
    <row r="779" spans="37:41" x14ac:dyDescent="0.25">
      <c r="AK779" t="s">
        <v>49</v>
      </c>
      <c r="AL779" t="s">
        <v>217</v>
      </c>
      <c r="AM779" t="s">
        <v>285</v>
      </c>
      <c r="AN779" t="s">
        <v>505</v>
      </c>
      <c r="AO779" t="s">
        <v>471</v>
      </c>
    </row>
    <row r="780" spans="37:41" x14ac:dyDescent="0.25">
      <c r="AK780" t="s">
        <v>49</v>
      </c>
      <c r="AL780" t="s">
        <v>217</v>
      </c>
      <c r="AM780" s="37" t="s">
        <v>358</v>
      </c>
      <c r="AN780" s="39" t="s">
        <v>506</v>
      </c>
      <c r="AO780" t="s">
        <v>473</v>
      </c>
    </row>
    <row r="781" spans="37:41" x14ac:dyDescent="0.25">
      <c r="AK781" t="s">
        <v>49</v>
      </c>
      <c r="AL781" t="s">
        <v>217</v>
      </c>
      <c r="AM781" s="37" t="s">
        <v>360</v>
      </c>
      <c r="AN781" s="39" t="s">
        <v>507</v>
      </c>
      <c r="AO781" t="s">
        <v>467</v>
      </c>
    </row>
    <row r="782" spans="37:41" x14ac:dyDescent="0.25">
      <c r="AK782" t="s">
        <v>49</v>
      </c>
      <c r="AL782" t="s">
        <v>217</v>
      </c>
      <c r="AM782" s="37" t="s">
        <v>362</v>
      </c>
      <c r="AN782" s="39" t="s">
        <v>508</v>
      </c>
      <c r="AO782" t="s">
        <v>471</v>
      </c>
    </row>
    <row r="783" spans="37:41" x14ac:dyDescent="0.25">
      <c r="AK783" t="s">
        <v>49</v>
      </c>
      <c r="AL783" t="s">
        <v>217</v>
      </c>
      <c r="AM783" s="37" t="s">
        <v>297</v>
      </c>
      <c r="AN783" s="39" t="s">
        <v>503</v>
      </c>
      <c r="AO783" t="s">
        <v>473</v>
      </c>
    </row>
    <row r="784" spans="37:41" x14ac:dyDescent="0.25">
      <c r="AK784" t="s">
        <v>49</v>
      </c>
      <c r="AL784" t="s">
        <v>217</v>
      </c>
      <c r="AM784" s="37" t="s">
        <v>288</v>
      </c>
      <c r="AN784" s="39" t="s">
        <v>509</v>
      </c>
      <c r="AO784" t="s">
        <v>475</v>
      </c>
    </row>
    <row r="785" spans="37:41" x14ac:dyDescent="0.25">
      <c r="AK785" t="s">
        <v>49</v>
      </c>
      <c r="AL785" t="s">
        <v>217</v>
      </c>
      <c r="AM785" t="s">
        <v>292</v>
      </c>
      <c r="AN785" t="s">
        <v>510</v>
      </c>
      <c r="AO785" t="s">
        <v>477</v>
      </c>
    </row>
    <row r="786" spans="37:41" x14ac:dyDescent="0.25">
      <c r="AK786" t="s">
        <v>49</v>
      </c>
      <c r="AL786" t="s">
        <v>217</v>
      </c>
      <c r="AM786" s="37" t="s">
        <v>364</v>
      </c>
      <c r="AN786" s="39" t="s">
        <v>497</v>
      </c>
      <c r="AO786" t="s">
        <v>467</v>
      </c>
    </row>
    <row r="787" spans="37:41" x14ac:dyDescent="0.25">
      <c r="AK787" t="s">
        <v>49</v>
      </c>
      <c r="AL787" t="s">
        <v>217</v>
      </c>
      <c r="AM787" s="37" t="s">
        <v>366</v>
      </c>
      <c r="AN787" s="39" t="s">
        <v>501</v>
      </c>
      <c r="AO787" t="s">
        <v>469</v>
      </c>
    </row>
    <row r="788" spans="37:41" x14ac:dyDescent="0.25">
      <c r="AK788" t="s">
        <v>49</v>
      </c>
      <c r="AL788" t="s">
        <v>217</v>
      </c>
      <c r="AM788" s="37" t="s">
        <v>310</v>
      </c>
      <c r="AN788" s="39" t="s">
        <v>504</v>
      </c>
      <c r="AO788" t="s">
        <v>473</v>
      </c>
    </row>
    <row r="789" spans="37:41" x14ac:dyDescent="0.25">
      <c r="AK789" t="s">
        <v>49</v>
      </c>
      <c r="AL789" t="s">
        <v>217</v>
      </c>
      <c r="AM789" s="37" t="s">
        <v>306</v>
      </c>
      <c r="AN789" s="39" t="s">
        <v>511</v>
      </c>
      <c r="AO789" t="s">
        <v>475</v>
      </c>
    </row>
    <row r="790" spans="37:41" x14ac:dyDescent="0.25">
      <c r="AK790" t="s">
        <v>49</v>
      </c>
      <c r="AL790" t="s">
        <v>217</v>
      </c>
      <c r="AM790" t="s">
        <v>302</v>
      </c>
      <c r="AN790" t="s">
        <v>512</v>
      </c>
      <c r="AO790" t="s">
        <v>477</v>
      </c>
    </row>
    <row r="791" spans="37:41" x14ac:dyDescent="0.25">
      <c r="AK791" t="s">
        <v>49</v>
      </c>
      <c r="AL791" t="s">
        <v>217</v>
      </c>
      <c r="AM791" s="37" t="s">
        <v>368</v>
      </c>
      <c r="AN791" s="39" t="s">
        <v>513</v>
      </c>
      <c r="AO791" t="s">
        <v>467</v>
      </c>
    </row>
    <row r="792" spans="37:41" x14ac:dyDescent="0.25">
      <c r="AK792" t="s">
        <v>49</v>
      </c>
      <c r="AL792" t="s">
        <v>217</v>
      </c>
      <c r="AM792" s="37" t="s">
        <v>370</v>
      </c>
      <c r="AN792" s="39" t="s">
        <v>502</v>
      </c>
      <c r="AO792" t="s">
        <v>469</v>
      </c>
    </row>
    <row r="793" spans="37:41" x14ac:dyDescent="0.25">
      <c r="AK793" t="s">
        <v>49</v>
      </c>
      <c r="AL793" t="s">
        <v>217</v>
      </c>
      <c r="AM793" s="37" t="s">
        <v>321</v>
      </c>
      <c r="AN793" s="39" t="s">
        <v>505</v>
      </c>
      <c r="AO793" t="s">
        <v>471</v>
      </c>
    </row>
    <row r="794" spans="37:41" x14ac:dyDescent="0.25">
      <c r="AK794" t="s">
        <v>49</v>
      </c>
      <c r="AL794" t="s">
        <v>217</v>
      </c>
      <c r="AM794" s="37" t="s">
        <v>318</v>
      </c>
      <c r="AN794" s="39" t="s">
        <v>510</v>
      </c>
      <c r="AO794" t="s">
        <v>475</v>
      </c>
    </row>
    <row r="795" spans="37:41" x14ac:dyDescent="0.25">
      <c r="AK795" t="s">
        <v>49</v>
      </c>
      <c r="AL795" t="s">
        <v>217</v>
      </c>
      <c r="AM795" s="37" t="s">
        <v>314</v>
      </c>
      <c r="AN795" s="39" t="s">
        <v>512</v>
      </c>
      <c r="AO795" t="s">
        <v>477</v>
      </c>
    </row>
    <row r="796" spans="37:41" x14ac:dyDescent="0.25">
      <c r="AO796" t="s">
        <v>479</v>
      </c>
    </row>
    <row r="797" spans="37:41" x14ac:dyDescent="0.25">
      <c r="AK797" t="s">
        <v>49</v>
      </c>
      <c r="AL797" t="s">
        <v>223</v>
      </c>
      <c r="AM797" t="s">
        <v>50</v>
      </c>
      <c r="AN797" t="s">
        <v>464</v>
      </c>
      <c r="AO797" t="s">
        <v>481</v>
      </c>
    </row>
    <row r="798" spans="37:41" x14ac:dyDescent="0.25">
      <c r="AK798" t="s">
        <v>49</v>
      </c>
      <c r="AL798" t="s">
        <v>223</v>
      </c>
      <c r="AM798" t="s">
        <v>78</v>
      </c>
      <c r="AN798" t="s">
        <v>466</v>
      </c>
      <c r="AO798" t="s">
        <v>469</v>
      </c>
    </row>
    <row r="799" spans="37:41" x14ac:dyDescent="0.25">
      <c r="AK799" t="s">
        <v>49</v>
      </c>
      <c r="AL799" t="s">
        <v>223</v>
      </c>
      <c r="AM799" t="s">
        <v>100</v>
      </c>
      <c r="AN799" t="s">
        <v>468</v>
      </c>
      <c r="AO799" t="s">
        <v>471</v>
      </c>
    </row>
    <row r="800" spans="37:41" x14ac:dyDescent="0.25">
      <c r="AK800" t="s">
        <v>49</v>
      </c>
      <c r="AL800" t="s">
        <v>223</v>
      </c>
      <c r="AM800" t="s">
        <v>112</v>
      </c>
      <c r="AN800" t="s">
        <v>470</v>
      </c>
      <c r="AO800" t="s">
        <v>473</v>
      </c>
    </row>
    <row r="801" spans="37:41" x14ac:dyDescent="0.25">
      <c r="AK801" t="s">
        <v>49</v>
      </c>
      <c r="AL801" t="s">
        <v>223</v>
      </c>
      <c r="AM801" t="s">
        <v>127</v>
      </c>
      <c r="AN801" t="s">
        <v>472</v>
      </c>
      <c r="AO801" t="s">
        <v>477</v>
      </c>
    </row>
    <row r="802" spans="37:41" x14ac:dyDescent="0.25">
      <c r="AK802" t="s">
        <v>49</v>
      </c>
      <c r="AL802" t="s">
        <v>223</v>
      </c>
      <c r="AM802" t="s">
        <v>140</v>
      </c>
      <c r="AN802" t="s">
        <v>474</v>
      </c>
      <c r="AO802" t="s">
        <v>479</v>
      </c>
    </row>
    <row r="803" spans="37:41" x14ac:dyDescent="0.25">
      <c r="AK803" t="s">
        <v>49</v>
      </c>
      <c r="AL803" t="s">
        <v>223</v>
      </c>
      <c r="AM803" t="s">
        <v>152</v>
      </c>
      <c r="AN803" t="s">
        <v>476</v>
      </c>
      <c r="AO803" t="s">
        <v>481</v>
      </c>
    </row>
    <row r="804" spans="37:41" x14ac:dyDescent="0.25">
      <c r="AK804" t="s">
        <v>49</v>
      </c>
      <c r="AL804" t="s">
        <v>223</v>
      </c>
      <c r="AM804" t="s">
        <v>164</v>
      </c>
      <c r="AN804" t="s">
        <v>478</v>
      </c>
      <c r="AO804" t="s">
        <v>483</v>
      </c>
    </row>
    <row r="805" spans="37:41" x14ac:dyDescent="0.25">
      <c r="AK805" t="s">
        <v>49</v>
      </c>
      <c r="AL805" t="s">
        <v>223</v>
      </c>
      <c r="AM805" t="s">
        <v>179</v>
      </c>
      <c r="AN805" t="s">
        <v>480</v>
      </c>
      <c r="AO805" t="s">
        <v>469</v>
      </c>
    </row>
    <row r="806" spans="37:41" x14ac:dyDescent="0.25">
      <c r="AK806" t="s">
        <v>49</v>
      </c>
      <c r="AL806" t="s">
        <v>223</v>
      </c>
      <c r="AM806" t="s">
        <v>193</v>
      </c>
      <c r="AN806" t="s">
        <v>482</v>
      </c>
      <c r="AO806" t="s">
        <v>471</v>
      </c>
    </row>
    <row r="807" spans="37:41" x14ac:dyDescent="0.25">
      <c r="AK807" t="s">
        <v>49</v>
      </c>
      <c r="AL807" t="s">
        <v>223</v>
      </c>
      <c r="AM807" t="s">
        <v>514</v>
      </c>
      <c r="AN807" t="s">
        <v>515</v>
      </c>
      <c r="AO807" t="s">
        <v>473</v>
      </c>
    </row>
    <row r="808" spans="37:41" x14ac:dyDescent="0.25">
      <c r="AK808" t="s">
        <v>49</v>
      </c>
      <c r="AL808" t="s">
        <v>223</v>
      </c>
      <c r="AM808" t="s">
        <v>325</v>
      </c>
      <c r="AN808" t="s">
        <v>484</v>
      </c>
      <c r="AO808" t="s">
        <v>475</v>
      </c>
    </row>
    <row r="809" spans="37:41" x14ac:dyDescent="0.25">
      <c r="AK809" t="s">
        <v>49</v>
      </c>
      <c r="AL809" t="s">
        <v>223</v>
      </c>
      <c r="AM809" t="s">
        <v>331</v>
      </c>
      <c r="AN809" t="s">
        <v>487</v>
      </c>
      <c r="AO809" t="s">
        <v>479</v>
      </c>
    </row>
    <row r="810" spans="37:41" x14ac:dyDescent="0.25">
      <c r="AK810" t="s">
        <v>49</v>
      </c>
      <c r="AL810" t="s">
        <v>223</v>
      </c>
      <c r="AM810" t="s">
        <v>337</v>
      </c>
      <c r="AN810" t="s">
        <v>491</v>
      </c>
      <c r="AO810" t="s">
        <v>481</v>
      </c>
    </row>
    <row r="811" spans="37:41" x14ac:dyDescent="0.25">
      <c r="AK811" t="s">
        <v>49</v>
      </c>
      <c r="AL811" t="s">
        <v>223</v>
      </c>
      <c r="AM811" t="s">
        <v>346</v>
      </c>
      <c r="AN811" t="s">
        <v>498</v>
      </c>
      <c r="AO811" t="s">
        <v>483</v>
      </c>
    </row>
    <row r="812" spans="37:41" x14ac:dyDescent="0.25">
      <c r="AK812" t="s">
        <v>49</v>
      </c>
      <c r="AL812" t="s">
        <v>223</v>
      </c>
      <c r="AM812" t="s">
        <v>356</v>
      </c>
      <c r="AN812" t="s">
        <v>499</v>
      </c>
      <c r="AO812" t="s">
        <v>471</v>
      </c>
    </row>
    <row r="813" spans="37:41" x14ac:dyDescent="0.25">
      <c r="AK813" t="s">
        <v>49</v>
      </c>
      <c r="AL813" t="s">
        <v>223</v>
      </c>
      <c r="AM813" t="s">
        <v>297</v>
      </c>
      <c r="AN813" t="s">
        <v>503</v>
      </c>
      <c r="AO813" t="s">
        <v>473</v>
      </c>
    </row>
    <row r="814" spans="37:41" x14ac:dyDescent="0.25">
      <c r="AK814" t="s">
        <v>49</v>
      </c>
      <c r="AL814" t="s">
        <v>223</v>
      </c>
      <c r="AM814" t="s">
        <v>306</v>
      </c>
      <c r="AN814" t="s">
        <v>511</v>
      </c>
      <c r="AO814" t="s">
        <v>475</v>
      </c>
    </row>
    <row r="815" spans="37:41" x14ac:dyDescent="0.25">
      <c r="AK815" t="s">
        <v>49</v>
      </c>
      <c r="AL815" t="s">
        <v>223</v>
      </c>
      <c r="AM815" t="s">
        <v>314</v>
      </c>
      <c r="AN815" t="s">
        <v>512</v>
      </c>
      <c r="AO815" t="s">
        <v>477</v>
      </c>
    </row>
    <row r="816" spans="37:41" x14ac:dyDescent="0.25">
      <c r="AK816" t="s">
        <v>49</v>
      </c>
      <c r="AL816" t="s">
        <v>223</v>
      </c>
      <c r="AM816" t="s">
        <v>370</v>
      </c>
      <c r="AN816" t="s">
        <v>502</v>
      </c>
      <c r="AO816" t="s">
        <v>481</v>
      </c>
    </row>
    <row r="817" spans="37:41" x14ac:dyDescent="0.25">
      <c r="AK817" t="s">
        <v>49</v>
      </c>
      <c r="AL817" t="s">
        <v>223</v>
      </c>
      <c r="AM817" t="s">
        <v>354</v>
      </c>
      <c r="AN817" t="s">
        <v>495</v>
      </c>
      <c r="AO817" t="s">
        <v>483</v>
      </c>
    </row>
    <row r="818" spans="37:41" x14ac:dyDescent="0.25">
      <c r="AK818" t="s">
        <v>49</v>
      </c>
      <c r="AL818" t="s">
        <v>223</v>
      </c>
      <c r="AM818" t="s">
        <v>362</v>
      </c>
      <c r="AN818" t="s">
        <v>508</v>
      </c>
      <c r="AO818" t="s">
        <v>473</v>
      </c>
    </row>
    <row r="819" spans="37:41" x14ac:dyDescent="0.25">
      <c r="AK819" t="s">
        <v>49</v>
      </c>
      <c r="AL819" t="s">
        <v>223</v>
      </c>
      <c r="AM819" t="s">
        <v>310</v>
      </c>
      <c r="AN819" t="s">
        <v>504</v>
      </c>
      <c r="AO819" t="s">
        <v>475</v>
      </c>
    </row>
    <row r="820" spans="37:41" x14ac:dyDescent="0.25">
      <c r="AK820" t="s">
        <v>49</v>
      </c>
      <c r="AL820" t="s">
        <v>223</v>
      </c>
      <c r="AM820" t="s">
        <v>318</v>
      </c>
      <c r="AN820" t="s">
        <v>510</v>
      </c>
      <c r="AO820" t="s">
        <v>477</v>
      </c>
    </row>
    <row r="821" spans="37:41" x14ac:dyDescent="0.25">
      <c r="AK821" t="s">
        <v>49</v>
      </c>
      <c r="AL821" t="s">
        <v>223</v>
      </c>
      <c r="AM821" t="s">
        <v>329</v>
      </c>
      <c r="AN821" t="s">
        <v>485</v>
      </c>
      <c r="AO821" t="s">
        <v>479</v>
      </c>
    </row>
    <row r="822" spans="37:41" x14ac:dyDescent="0.25">
      <c r="AK822" t="s">
        <v>49</v>
      </c>
      <c r="AL822" t="s">
        <v>223</v>
      </c>
      <c r="AM822" t="s">
        <v>335</v>
      </c>
      <c r="AN822" t="s">
        <v>488</v>
      </c>
      <c r="AO822" t="s">
        <v>483</v>
      </c>
    </row>
    <row r="823" spans="37:41" x14ac:dyDescent="0.25">
      <c r="AK823" t="s">
        <v>49</v>
      </c>
      <c r="AL823" t="s">
        <v>223</v>
      </c>
      <c r="AM823" t="s">
        <v>344</v>
      </c>
      <c r="AN823" t="s">
        <v>516</v>
      </c>
      <c r="AO823" t="s">
        <v>473</v>
      </c>
    </row>
    <row r="824" spans="37:41" x14ac:dyDescent="0.25">
      <c r="AK824" t="s">
        <v>49</v>
      </c>
      <c r="AL824" t="s">
        <v>223</v>
      </c>
      <c r="AM824" t="s">
        <v>352</v>
      </c>
      <c r="AN824" t="s">
        <v>493</v>
      </c>
      <c r="AO824" t="s">
        <v>475</v>
      </c>
    </row>
    <row r="825" spans="37:41" x14ac:dyDescent="0.25">
      <c r="AK825" t="s">
        <v>49</v>
      </c>
      <c r="AL825" t="s">
        <v>223</v>
      </c>
      <c r="AM825" t="s">
        <v>366</v>
      </c>
      <c r="AN825" t="s">
        <v>501</v>
      </c>
      <c r="AO825" t="s">
        <v>477</v>
      </c>
    </row>
    <row r="826" spans="37:41" x14ac:dyDescent="0.25">
      <c r="AK826" t="s">
        <v>49</v>
      </c>
      <c r="AL826" t="s">
        <v>223</v>
      </c>
      <c r="AM826" t="s">
        <v>321</v>
      </c>
      <c r="AN826" t="s">
        <v>505</v>
      </c>
      <c r="AO826" t="s">
        <v>479</v>
      </c>
    </row>
    <row r="827" spans="37:41" x14ac:dyDescent="0.25">
      <c r="AK827" t="s">
        <v>49</v>
      </c>
      <c r="AL827" t="s">
        <v>223</v>
      </c>
      <c r="AM827" t="s">
        <v>350</v>
      </c>
      <c r="AN827" t="s">
        <v>490</v>
      </c>
      <c r="AO827" t="s">
        <v>481</v>
      </c>
    </row>
    <row r="829" spans="37:41" x14ac:dyDescent="0.25">
      <c r="AK829" t="s">
        <v>49</v>
      </c>
      <c r="AL829" t="s">
        <v>227</v>
      </c>
      <c r="AM829" t="s">
        <v>50</v>
      </c>
      <c r="AN829" t="s">
        <v>464</v>
      </c>
      <c r="AO829" t="s">
        <v>465</v>
      </c>
    </row>
    <row r="830" spans="37:41" x14ac:dyDescent="0.25">
      <c r="AK830" t="s">
        <v>49</v>
      </c>
      <c r="AL830" t="s">
        <v>227</v>
      </c>
      <c r="AM830" t="s">
        <v>78</v>
      </c>
      <c r="AN830" t="s">
        <v>466</v>
      </c>
      <c r="AO830" t="s">
        <v>467</v>
      </c>
    </row>
    <row r="831" spans="37:41" x14ac:dyDescent="0.25">
      <c r="AK831" t="s">
        <v>49</v>
      </c>
      <c r="AL831" t="s">
        <v>227</v>
      </c>
      <c r="AM831" t="s">
        <v>100</v>
      </c>
      <c r="AN831" t="s">
        <v>468</v>
      </c>
      <c r="AO831" t="s">
        <v>469</v>
      </c>
    </row>
    <row r="832" spans="37:41" x14ac:dyDescent="0.25">
      <c r="AK832" t="s">
        <v>49</v>
      </c>
      <c r="AL832" t="s">
        <v>227</v>
      </c>
      <c r="AM832" t="s">
        <v>112</v>
      </c>
      <c r="AN832" t="s">
        <v>470</v>
      </c>
      <c r="AO832" t="s">
        <v>471</v>
      </c>
    </row>
    <row r="833" spans="37:41" x14ac:dyDescent="0.25">
      <c r="AK833" t="s">
        <v>49</v>
      </c>
      <c r="AL833" t="s">
        <v>227</v>
      </c>
      <c r="AM833" t="s">
        <v>127</v>
      </c>
      <c r="AN833" t="s">
        <v>472</v>
      </c>
      <c r="AO833" t="s">
        <v>473</v>
      </c>
    </row>
    <row r="834" spans="37:41" x14ac:dyDescent="0.25">
      <c r="AK834" t="s">
        <v>49</v>
      </c>
      <c r="AL834" t="s">
        <v>227</v>
      </c>
      <c r="AM834" t="s">
        <v>140</v>
      </c>
      <c r="AN834" t="s">
        <v>474</v>
      </c>
      <c r="AO834" t="s">
        <v>475</v>
      </c>
    </row>
    <row r="835" spans="37:41" x14ac:dyDescent="0.25">
      <c r="AK835" t="s">
        <v>49</v>
      </c>
      <c r="AL835" t="s">
        <v>227</v>
      </c>
      <c r="AM835" t="s">
        <v>152</v>
      </c>
      <c r="AN835" t="s">
        <v>476</v>
      </c>
      <c r="AO835" t="s">
        <v>477</v>
      </c>
    </row>
    <row r="836" spans="37:41" x14ac:dyDescent="0.25">
      <c r="AK836" t="s">
        <v>49</v>
      </c>
      <c r="AL836" t="s">
        <v>227</v>
      </c>
      <c r="AM836" t="s">
        <v>164</v>
      </c>
      <c r="AN836" t="s">
        <v>478</v>
      </c>
      <c r="AO836" t="s">
        <v>479</v>
      </c>
    </row>
    <row r="837" spans="37:41" x14ac:dyDescent="0.25">
      <c r="AK837" t="s">
        <v>49</v>
      </c>
      <c r="AL837" t="s">
        <v>227</v>
      </c>
      <c r="AM837" t="s">
        <v>179</v>
      </c>
      <c r="AN837" t="s">
        <v>480</v>
      </c>
      <c r="AO837" t="s">
        <v>481</v>
      </c>
    </row>
    <row r="838" spans="37:41" x14ac:dyDescent="0.25">
      <c r="AK838" t="s">
        <v>49</v>
      </c>
      <c r="AL838" t="s">
        <v>227</v>
      </c>
      <c r="AM838" t="s">
        <v>193</v>
      </c>
      <c r="AN838" t="s">
        <v>482</v>
      </c>
      <c r="AO838" t="s">
        <v>483</v>
      </c>
    </row>
    <row r="839" spans="37:41" x14ac:dyDescent="0.25">
      <c r="AK839" t="s">
        <v>49</v>
      </c>
      <c r="AL839" t="s">
        <v>227</v>
      </c>
      <c r="AM839" t="s">
        <v>206</v>
      </c>
      <c r="AN839" t="s">
        <v>484</v>
      </c>
      <c r="AO839" t="s">
        <v>469</v>
      </c>
    </row>
    <row r="840" spans="37:41" x14ac:dyDescent="0.25">
      <c r="AK840" t="s">
        <v>49</v>
      </c>
      <c r="AL840" t="s">
        <v>227</v>
      </c>
      <c r="AM840" t="s">
        <v>218</v>
      </c>
      <c r="AN840" t="s">
        <v>485</v>
      </c>
      <c r="AO840" t="s">
        <v>471</v>
      </c>
    </row>
    <row r="841" spans="37:41" x14ac:dyDescent="0.25">
      <c r="AK841" t="s">
        <v>49</v>
      </c>
      <c r="AL841" t="s">
        <v>227</v>
      </c>
      <c r="AM841" t="s">
        <v>224</v>
      </c>
      <c r="AN841" t="s">
        <v>486</v>
      </c>
      <c r="AO841" t="s">
        <v>473</v>
      </c>
    </row>
    <row r="842" spans="37:41" x14ac:dyDescent="0.25">
      <c r="AK842" t="s">
        <v>49</v>
      </c>
      <c r="AL842" t="s">
        <v>227</v>
      </c>
      <c r="AM842" s="37" t="s">
        <v>325</v>
      </c>
      <c r="AN842" t="s">
        <v>484</v>
      </c>
      <c r="AO842" t="s">
        <v>467</v>
      </c>
    </row>
    <row r="843" spans="37:41" x14ac:dyDescent="0.25">
      <c r="AK843" t="s">
        <v>49</v>
      </c>
      <c r="AL843" t="s">
        <v>227</v>
      </c>
      <c r="AM843" t="s">
        <v>228</v>
      </c>
      <c r="AN843" t="s">
        <v>487</v>
      </c>
      <c r="AO843" t="s">
        <v>471</v>
      </c>
    </row>
    <row r="844" spans="37:41" x14ac:dyDescent="0.25">
      <c r="AK844" t="s">
        <v>49</v>
      </c>
      <c r="AL844" t="s">
        <v>227</v>
      </c>
      <c r="AM844" t="s">
        <v>232</v>
      </c>
      <c r="AN844" t="s">
        <v>488</v>
      </c>
      <c r="AO844" t="s">
        <v>473</v>
      </c>
    </row>
    <row r="845" spans="37:41" x14ac:dyDescent="0.25">
      <c r="AK845" t="s">
        <v>49</v>
      </c>
      <c r="AL845" t="s">
        <v>227</v>
      </c>
      <c r="AM845" t="s">
        <v>237</v>
      </c>
      <c r="AN845" t="s">
        <v>489</v>
      </c>
      <c r="AO845" t="s">
        <v>475</v>
      </c>
    </row>
    <row r="846" spans="37:41" x14ac:dyDescent="0.25">
      <c r="AK846" t="s">
        <v>49</v>
      </c>
      <c r="AL846" t="s">
        <v>227</v>
      </c>
      <c r="AM846" t="s">
        <v>327</v>
      </c>
      <c r="AN846" t="s">
        <v>490</v>
      </c>
      <c r="AO846" t="s">
        <v>477</v>
      </c>
    </row>
    <row r="847" spans="37:41" x14ac:dyDescent="0.25">
      <c r="AK847" t="s">
        <v>49</v>
      </c>
      <c r="AL847" t="s">
        <v>227</v>
      </c>
      <c r="AM847" s="37" t="s">
        <v>329</v>
      </c>
      <c r="AN847" t="s">
        <v>485</v>
      </c>
      <c r="AO847" t="s">
        <v>467</v>
      </c>
    </row>
    <row r="848" spans="37:41" x14ac:dyDescent="0.25">
      <c r="AK848" t="s">
        <v>49</v>
      </c>
      <c r="AL848" t="s">
        <v>227</v>
      </c>
      <c r="AM848" s="37" t="s">
        <v>331</v>
      </c>
      <c r="AN848" t="s">
        <v>487</v>
      </c>
      <c r="AO848" t="s">
        <v>469</v>
      </c>
    </row>
    <row r="849" spans="37:41" x14ac:dyDescent="0.25">
      <c r="AK849" t="s">
        <v>49</v>
      </c>
      <c r="AL849" t="s">
        <v>227</v>
      </c>
      <c r="AM849" t="s">
        <v>242</v>
      </c>
      <c r="AN849" t="s">
        <v>491</v>
      </c>
      <c r="AO849" t="s">
        <v>473</v>
      </c>
    </row>
    <row r="850" spans="37:41" x14ac:dyDescent="0.25">
      <c r="AK850" t="s">
        <v>49</v>
      </c>
      <c r="AL850" t="s">
        <v>227</v>
      </c>
      <c r="AM850" t="s">
        <v>247</v>
      </c>
      <c r="AN850" t="s">
        <v>492</v>
      </c>
      <c r="AO850" t="s">
        <v>475</v>
      </c>
    </row>
    <row r="851" spans="37:41" x14ac:dyDescent="0.25">
      <c r="AK851" t="s">
        <v>49</v>
      </c>
      <c r="AL851" t="s">
        <v>227</v>
      </c>
      <c r="AM851" t="s">
        <v>251</v>
      </c>
      <c r="AN851" t="s">
        <v>493</v>
      </c>
      <c r="AO851" t="s">
        <v>477</v>
      </c>
    </row>
    <row r="852" spans="37:41" x14ac:dyDescent="0.25">
      <c r="AK852" t="s">
        <v>49</v>
      </c>
      <c r="AL852" t="s">
        <v>227</v>
      </c>
      <c r="AM852" s="37" t="s">
        <v>333</v>
      </c>
      <c r="AN852" s="39" t="s">
        <v>486</v>
      </c>
      <c r="AO852" t="s">
        <v>467</v>
      </c>
    </row>
    <row r="853" spans="37:41" x14ac:dyDescent="0.25">
      <c r="AK853" t="s">
        <v>49</v>
      </c>
      <c r="AL853" t="s">
        <v>227</v>
      </c>
      <c r="AM853" s="37" t="s">
        <v>335</v>
      </c>
      <c r="AN853" s="39" t="s">
        <v>488</v>
      </c>
      <c r="AO853" t="s">
        <v>469</v>
      </c>
    </row>
    <row r="854" spans="37:41" x14ac:dyDescent="0.25">
      <c r="AK854" t="s">
        <v>49</v>
      </c>
      <c r="AL854" t="s">
        <v>227</v>
      </c>
      <c r="AM854" s="37" t="s">
        <v>337</v>
      </c>
      <c r="AN854" s="39" t="s">
        <v>491</v>
      </c>
      <c r="AO854" t="s">
        <v>471</v>
      </c>
    </row>
    <row r="855" spans="37:41" x14ac:dyDescent="0.25">
      <c r="AK855" t="s">
        <v>49</v>
      </c>
      <c r="AL855" t="s">
        <v>227</v>
      </c>
      <c r="AM855" s="37" t="s">
        <v>255</v>
      </c>
      <c r="AN855" s="39" t="s">
        <v>494</v>
      </c>
      <c r="AO855" t="s">
        <v>475</v>
      </c>
    </row>
    <row r="856" spans="37:41" x14ac:dyDescent="0.25">
      <c r="AK856" t="s">
        <v>49</v>
      </c>
      <c r="AL856" t="s">
        <v>227</v>
      </c>
      <c r="AM856" t="s">
        <v>259</v>
      </c>
      <c r="AN856" t="s">
        <v>495</v>
      </c>
      <c r="AO856" t="s">
        <v>477</v>
      </c>
    </row>
    <row r="857" spans="37:41" x14ac:dyDescent="0.25">
      <c r="AK857" t="s">
        <v>49</v>
      </c>
      <c r="AL857" t="s">
        <v>227</v>
      </c>
      <c r="AM857" s="37" t="s">
        <v>263</v>
      </c>
      <c r="AN857" s="39" t="s">
        <v>496</v>
      </c>
      <c r="AO857" t="s">
        <v>479</v>
      </c>
    </row>
    <row r="858" spans="37:41" x14ac:dyDescent="0.25">
      <c r="AK858" t="s">
        <v>49</v>
      </c>
      <c r="AL858" t="s">
        <v>227</v>
      </c>
      <c r="AM858" t="s">
        <v>340</v>
      </c>
      <c r="AN858" t="s">
        <v>497</v>
      </c>
      <c r="AO858" t="s">
        <v>481</v>
      </c>
    </row>
    <row r="859" spans="37:41" x14ac:dyDescent="0.25">
      <c r="AK859" t="s">
        <v>49</v>
      </c>
      <c r="AL859" t="s">
        <v>227</v>
      </c>
      <c r="AM859" s="37" t="s">
        <v>342</v>
      </c>
      <c r="AN859" s="39" t="s">
        <v>489</v>
      </c>
      <c r="AO859" t="s">
        <v>469</v>
      </c>
    </row>
    <row r="860" spans="37:41" x14ac:dyDescent="0.25">
      <c r="AK860" t="s">
        <v>49</v>
      </c>
      <c r="AL860" t="s">
        <v>227</v>
      </c>
      <c r="AM860" s="37" t="s">
        <v>344</v>
      </c>
      <c r="AN860" s="59" t="s">
        <v>492</v>
      </c>
      <c r="AO860" t="s">
        <v>471</v>
      </c>
    </row>
    <row r="861" spans="37:41" x14ac:dyDescent="0.25">
      <c r="AK861" t="s">
        <v>49</v>
      </c>
      <c r="AL861" t="s">
        <v>227</v>
      </c>
      <c r="AM861" s="37" t="s">
        <v>346</v>
      </c>
      <c r="AN861" s="39" t="s">
        <v>498</v>
      </c>
      <c r="AO861" t="s">
        <v>473</v>
      </c>
    </row>
    <row r="862" spans="37:41" x14ac:dyDescent="0.25">
      <c r="AK862" t="s">
        <v>49</v>
      </c>
      <c r="AL862" t="s">
        <v>227</v>
      </c>
      <c r="AM862" t="s">
        <v>267</v>
      </c>
      <c r="AN862" t="s">
        <v>499</v>
      </c>
      <c r="AO862" t="s">
        <v>477</v>
      </c>
    </row>
    <row r="863" spans="37:41" x14ac:dyDescent="0.25">
      <c r="AK863" t="s">
        <v>49</v>
      </c>
      <c r="AL863" t="s">
        <v>227</v>
      </c>
      <c r="AM863" s="37" t="s">
        <v>271</v>
      </c>
      <c r="AN863" s="39" t="s">
        <v>500</v>
      </c>
      <c r="AO863" t="s">
        <v>479</v>
      </c>
    </row>
    <row r="864" spans="37:41" x14ac:dyDescent="0.25">
      <c r="AK864" t="s">
        <v>49</v>
      </c>
      <c r="AL864" t="s">
        <v>227</v>
      </c>
      <c r="AM864" t="s">
        <v>274</v>
      </c>
      <c r="AN864" t="s">
        <v>501</v>
      </c>
      <c r="AO864" t="s">
        <v>481</v>
      </c>
    </row>
    <row r="865" spans="37:41" x14ac:dyDescent="0.25">
      <c r="AK865" t="s">
        <v>49</v>
      </c>
      <c r="AL865" t="s">
        <v>227</v>
      </c>
      <c r="AM865" t="s">
        <v>348</v>
      </c>
      <c r="AN865" t="s">
        <v>502</v>
      </c>
      <c r="AO865" t="s">
        <v>483</v>
      </c>
    </row>
    <row r="866" spans="37:41" x14ac:dyDescent="0.25">
      <c r="AK866" t="s">
        <v>49</v>
      </c>
      <c r="AL866" t="s">
        <v>227</v>
      </c>
      <c r="AM866" s="37" t="s">
        <v>350</v>
      </c>
      <c r="AN866" s="39" t="s">
        <v>490</v>
      </c>
      <c r="AO866" t="s">
        <v>469</v>
      </c>
    </row>
    <row r="867" spans="37:41" x14ac:dyDescent="0.25">
      <c r="AK867" t="s">
        <v>49</v>
      </c>
      <c r="AL867" t="s">
        <v>227</v>
      </c>
      <c r="AM867" s="37" t="s">
        <v>352</v>
      </c>
      <c r="AN867" s="39" t="s">
        <v>493</v>
      </c>
      <c r="AO867" t="s">
        <v>471</v>
      </c>
    </row>
    <row r="868" spans="37:41" x14ac:dyDescent="0.25">
      <c r="AK868" t="s">
        <v>49</v>
      </c>
      <c r="AL868" t="s">
        <v>227</v>
      </c>
      <c r="AM868" s="37" t="s">
        <v>354</v>
      </c>
      <c r="AN868" s="39" t="s">
        <v>495</v>
      </c>
      <c r="AO868" t="s">
        <v>473</v>
      </c>
    </row>
    <row r="869" spans="37:41" x14ac:dyDescent="0.25">
      <c r="AK869" t="s">
        <v>49</v>
      </c>
      <c r="AL869" t="s">
        <v>227</v>
      </c>
      <c r="AM869" s="37" t="s">
        <v>356</v>
      </c>
      <c r="AN869" s="39" t="s">
        <v>499</v>
      </c>
      <c r="AO869" t="s">
        <v>475</v>
      </c>
    </row>
    <row r="870" spans="37:41" x14ac:dyDescent="0.25">
      <c r="AK870" t="s">
        <v>49</v>
      </c>
      <c r="AL870" t="s">
        <v>227</v>
      </c>
      <c r="AM870" t="s">
        <v>277</v>
      </c>
      <c r="AN870" t="s">
        <v>503</v>
      </c>
      <c r="AO870" t="s">
        <v>479</v>
      </c>
    </row>
    <row r="871" spans="37:41" x14ac:dyDescent="0.25">
      <c r="AK871" t="s">
        <v>49</v>
      </c>
      <c r="AL871" t="s">
        <v>227</v>
      </c>
      <c r="AM871" t="s">
        <v>281</v>
      </c>
      <c r="AN871" t="s">
        <v>504</v>
      </c>
      <c r="AO871" t="s">
        <v>481</v>
      </c>
    </row>
    <row r="872" spans="37:41" x14ac:dyDescent="0.25">
      <c r="AK872" t="s">
        <v>49</v>
      </c>
      <c r="AL872" t="s">
        <v>227</v>
      </c>
      <c r="AM872" t="s">
        <v>285</v>
      </c>
      <c r="AN872" t="s">
        <v>505</v>
      </c>
      <c r="AO872" t="s">
        <v>483</v>
      </c>
    </row>
    <row r="873" spans="37:41" x14ac:dyDescent="0.25">
      <c r="AK873" t="s">
        <v>49</v>
      </c>
      <c r="AL873" t="s">
        <v>227</v>
      </c>
      <c r="AM873" s="37" t="s">
        <v>358</v>
      </c>
      <c r="AN873" s="39" t="s">
        <v>506</v>
      </c>
      <c r="AO873" t="s">
        <v>471</v>
      </c>
    </row>
    <row r="874" spans="37:41" x14ac:dyDescent="0.25">
      <c r="AK874" t="s">
        <v>49</v>
      </c>
      <c r="AL874" t="s">
        <v>227</v>
      </c>
      <c r="AM874" s="37" t="s">
        <v>360</v>
      </c>
      <c r="AN874" s="39" t="s">
        <v>507</v>
      </c>
      <c r="AO874" t="s">
        <v>473</v>
      </c>
    </row>
    <row r="875" spans="37:41" x14ac:dyDescent="0.25">
      <c r="AK875" t="s">
        <v>49</v>
      </c>
      <c r="AL875" t="s">
        <v>227</v>
      </c>
      <c r="AM875" s="37" t="s">
        <v>362</v>
      </c>
      <c r="AN875" s="39" t="s">
        <v>508</v>
      </c>
      <c r="AO875" t="s">
        <v>475</v>
      </c>
    </row>
    <row r="876" spans="37:41" x14ac:dyDescent="0.25">
      <c r="AK876" t="s">
        <v>49</v>
      </c>
      <c r="AL876" t="s">
        <v>227</v>
      </c>
      <c r="AM876" s="37" t="s">
        <v>297</v>
      </c>
      <c r="AN876" s="39" t="s">
        <v>503</v>
      </c>
      <c r="AO876" t="s">
        <v>477</v>
      </c>
    </row>
    <row r="877" spans="37:41" x14ac:dyDescent="0.25">
      <c r="AK877" t="s">
        <v>49</v>
      </c>
      <c r="AL877" t="s">
        <v>227</v>
      </c>
      <c r="AM877" s="37" t="s">
        <v>288</v>
      </c>
      <c r="AN877" s="39" t="s">
        <v>509</v>
      </c>
      <c r="AO877" t="s">
        <v>481</v>
      </c>
    </row>
    <row r="878" spans="37:41" x14ac:dyDescent="0.25">
      <c r="AK878" t="s">
        <v>49</v>
      </c>
      <c r="AL878" t="s">
        <v>227</v>
      </c>
      <c r="AM878" t="s">
        <v>292</v>
      </c>
      <c r="AN878" t="s">
        <v>510</v>
      </c>
      <c r="AO878" t="s">
        <v>483</v>
      </c>
    </row>
    <row r="879" spans="37:41" x14ac:dyDescent="0.25">
      <c r="AK879" t="s">
        <v>49</v>
      </c>
      <c r="AL879" t="s">
        <v>227</v>
      </c>
      <c r="AM879" s="37" t="s">
        <v>364</v>
      </c>
      <c r="AN879" s="39" t="s">
        <v>497</v>
      </c>
      <c r="AO879" t="s">
        <v>473</v>
      </c>
    </row>
    <row r="880" spans="37:41" x14ac:dyDescent="0.25">
      <c r="AK880" t="s">
        <v>49</v>
      </c>
      <c r="AL880" t="s">
        <v>227</v>
      </c>
      <c r="AM880" s="37" t="s">
        <v>366</v>
      </c>
      <c r="AN880" s="39" t="s">
        <v>501</v>
      </c>
      <c r="AO880" t="s">
        <v>475</v>
      </c>
    </row>
    <row r="881" spans="37:41" x14ac:dyDescent="0.25">
      <c r="AK881" t="s">
        <v>49</v>
      </c>
      <c r="AL881" t="s">
        <v>227</v>
      </c>
      <c r="AM881" s="37" t="s">
        <v>310</v>
      </c>
      <c r="AN881" s="39" t="s">
        <v>504</v>
      </c>
      <c r="AO881" t="s">
        <v>477</v>
      </c>
    </row>
    <row r="882" spans="37:41" x14ac:dyDescent="0.25">
      <c r="AK882" t="s">
        <v>49</v>
      </c>
      <c r="AL882" t="s">
        <v>227</v>
      </c>
      <c r="AM882" s="37" t="s">
        <v>306</v>
      </c>
      <c r="AN882" s="39" t="s">
        <v>511</v>
      </c>
      <c r="AO882" t="s">
        <v>479</v>
      </c>
    </row>
    <row r="883" spans="37:41" x14ac:dyDescent="0.25">
      <c r="AK883" t="s">
        <v>49</v>
      </c>
      <c r="AL883" t="s">
        <v>227</v>
      </c>
      <c r="AM883" t="s">
        <v>302</v>
      </c>
      <c r="AN883" t="s">
        <v>512</v>
      </c>
      <c r="AO883" t="s">
        <v>483</v>
      </c>
    </row>
    <row r="884" spans="37:41" x14ac:dyDescent="0.25">
      <c r="AK884" t="s">
        <v>49</v>
      </c>
      <c r="AL884" t="s">
        <v>227</v>
      </c>
      <c r="AM884" s="37" t="s">
        <v>368</v>
      </c>
      <c r="AN884" s="39" t="s">
        <v>513</v>
      </c>
      <c r="AO884" t="s">
        <v>473</v>
      </c>
    </row>
    <row r="885" spans="37:41" x14ac:dyDescent="0.25">
      <c r="AK885" t="s">
        <v>49</v>
      </c>
      <c r="AL885" t="s">
        <v>227</v>
      </c>
      <c r="AM885" s="37" t="s">
        <v>370</v>
      </c>
      <c r="AN885" s="39" t="s">
        <v>502</v>
      </c>
      <c r="AO885" t="s">
        <v>475</v>
      </c>
    </row>
    <row r="886" spans="37:41" x14ac:dyDescent="0.25">
      <c r="AK886" t="s">
        <v>49</v>
      </c>
      <c r="AL886" t="s">
        <v>227</v>
      </c>
      <c r="AM886" s="37" t="s">
        <v>321</v>
      </c>
      <c r="AN886" s="39" t="s">
        <v>505</v>
      </c>
      <c r="AO886" t="s">
        <v>477</v>
      </c>
    </row>
    <row r="887" spans="37:41" x14ac:dyDescent="0.25">
      <c r="AK887" t="s">
        <v>49</v>
      </c>
      <c r="AL887" t="s">
        <v>227</v>
      </c>
      <c r="AM887" s="37" t="s">
        <v>318</v>
      </c>
      <c r="AN887" s="39" t="s">
        <v>510</v>
      </c>
      <c r="AO887" t="s">
        <v>479</v>
      </c>
    </row>
    <row r="888" spans="37:41" x14ac:dyDescent="0.25">
      <c r="AK888" t="s">
        <v>49</v>
      </c>
      <c r="AL888" t="s">
        <v>227</v>
      </c>
      <c r="AM888" s="37" t="s">
        <v>314</v>
      </c>
      <c r="AN888" s="39" t="s">
        <v>512</v>
      </c>
      <c r="AO888" t="s">
        <v>481</v>
      </c>
    </row>
    <row r="890" spans="37:41" x14ac:dyDescent="0.25">
      <c r="AK890" t="s">
        <v>49</v>
      </c>
      <c r="AL890" t="s">
        <v>231</v>
      </c>
      <c r="AM890" t="s">
        <v>50</v>
      </c>
      <c r="AN890" t="s">
        <v>464</v>
      </c>
      <c r="AO890" t="s">
        <v>465</v>
      </c>
    </row>
    <row r="891" spans="37:41" x14ac:dyDescent="0.25">
      <c r="AK891" t="s">
        <v>49</v>
      </c>
      <c r="AL891" t="s">
        <v>231</v>
      </c>
      <c r="AM891" t="s">
        <v>78</v>
      </c>
      <c r="AN891" t="s">
        <v>466</v>
      </c>
      <c r="AO891" t="s">
        <v>467</v>
      </c>
    </row>
    <row r="892" spans="37:41" x14ac:dyDescent="0.25">
      <c r="AK892" t="s">
        <v>49</v>
      </c>
      <c r="AL892" t="s">
        <v>231</v>
      </c>
      <c r="AM892" t="s">
        <v>100</v>
      </c>
      <c r="AN892" t="s">
        <v>468</v>
      </c>
      <c r="AO892" t="s">
        <v>469</v>
      </c>
    </row>
    <row r="893" spans="37:41" x14ac:dyDescent="0.25">
      <c r="AK893" t="s">
        <v>49</v>
      </c>
      <c r="AL893" t="s">
        <v>231</v>
      </c>
      <c r="AM893" t="s">
        <v>112</v>
      </c>
      <c r="AN893" t="s">
        <v>470</v>
      </c>
      <c r="AO893" t="s">
        <v>471</v>
      </c>
    </row>
    <row r="894" spans="37:41" x14ac:dyDescent="0.25">
      <c r="AK894" t="s">
        <v>49</v>
      </c>
      <c r="AL894" t="s">
        <v>231</v>
      </c>
      <c r="AM894" t="s">
        <v>127</v>
      </c>
      <c r="AN894" t="s">
        <v>472</v>
      </c>
      <c r="AO894" t="s">
        <v>473</v>
      </c>
    </row>
    <row r="895" spans="37:41" x14ac:dyDescent="0.25">
      <c r="AK895" t="s">
        <v>49</v>
      </c>
      <c r="AL895" t="s">
        <v>231</v>
      </c>
      <c r="AM895" t="s">
        <v>140</v>
      </c>
      <c r="AN895" t="s">
        <v>474</v>
      </c>
      <c r="AO895" t="s">
        <v>475</v>
      </c>
    </row>
    <row r="896" spans="37:41" x14ac:dyDescent="0.25">
      <c r="AK896" t="s">
        <v>49</v>
      </c>
      <c r="AL896" t="s">
        <v>231</v>
      </c>
      <c r="AM896" t="s">
        <v>152</v>
      </c>
      <c r="AN896" t="s">
        <v>476</v>
      </c>
      <c r="AO896" t="s">
        <v>477</v>
      </c>
    </row>
    <row r="897" spans="37:41" x14ac:dyDescent="0.25">
      <c r="AK897" t="s">
        <v>49</v>
      </c>
      <c r="AL897" t="s">
        <v>231</v>
      </c>
      <c r="AM897" t="s">
        <v>164</v>
      </c>
      <c r="AN897" t="s">
        <v>478</v>
      </c>
      <c r="AO897" t="s">
        <v>479</v>
      </c>
    </row>
    <row r="898" spans="37:41" x14ac:dyDescent="0.25">
      <c r="AK898" t="s">
        <v>49</v>
      </c>
      <c r="AL898" t="s">
        <v>231</v>
      </c>
      <c r="AM898" t="s">
        <v>179</v>
      </c>
      <c r="AN898" t="s">
        <v>480</v>
      </c>
      <c r="AO898" t="s">
        <v>481</v>
      </c>
    </row>
    <row r="899" spans="37:41" x14ac:dyDescent="0.25">
      <c r="AK899" t="s">
        <v>49</v>
      </c>
      <c r="AL899" t="s">
        <v>231</v>
      </c>
      <c r="AM899" t="s">
        <v>193</v>
      </c>
      <c r="AN899" t="s">
        <v>482</v>
      </c>
      <c r="AO899" t="s">
        <v>483</v>
      </c>
    </row>
    <row r="900" spans="37:41" x14ac:dyDescent="0.25">
      <c r="AK900" t="s">
        <v>49</v>
      </c>
      <c r="AL900" t="s">
        <v>231</v>
      </c>
      <c r="AM900" t="s">
        <v>206</v>
      </c>
      <c r="AN900" t="s">
        <v>484</v>
      </c>
      <c r="AO900" t="s">
        <v>469</v>
      </c>
    </row>
    <row r="901" spans="37:41" x14ac:dyDescent="0.25">
      <c r="AK901" t="s">
        <v>49</v>
      </c>
      <c r="AL901" t="s">
        <v>231</v>
      </c>
      <c r="AM901" t="s">
        <v>218</v>
      </c>
      <c r="AN901" t="s">
        <v>485</v>
      </c>
      <c r="AO901" t="s">
        <v>471</v>
      </c>
    </row>
    <row r="902" spans="37:41" x14ac:dyDescent="0.25">
      <c r="AK902" t="s">
        <v>49</v>
      </c>
      <c r="AL902" t="s">
        <v>231</v>
      </c>
      <c r="AM902" t="s">
        <v>224</v>
      </c>
      <c r="AN902" t="s">
        <v>486</v>
      </c>
      <c r="AO902" t="s">
        <v>473</v>
      </c>
    </row>
    <row r="903" spans="37:41" x14ac:dyDescent="0.25">
      <c r="AK903" t="s">
        <v>49</v>
      </c>
      <c r="AL903" t="s">
        <v>231</v>
      </c>
      <c r="AM903" s="37" t="s">
        <v>325</v>
      </c>
      <c r="AN903" t="s">
        <v>484</v>
      </c>
      <c r="AO903" t="s">
        <v>467</v>
      </c>
    </row>
    <row r="904" spans="37:41" x14ac:dyDescent="0.25">
      <c r="AK904" t="s">
        <v>49</v>
      </c>
      <c r="AL904" t="s">
        <v>231</v>
      </c>
      <c r="AM904" t="s">
        <v>228</v>
      </c>
      <c r="AN904" t="s">
        <v>487</v>
      </c>
      <c r="AO904" t="s">
        <v>471</v>
      </c>
    </row>
    <row r="905" spans="37:41" x14ac:dyDescent="0.25">
      <c r="AK905" t="s">
        <v>49</v>
      </c>
      <c r="AL905" t="s">
        <v>231</v>
      </c>
      <c r="AM905" t="s">
        <v>232</v>
      </c>
      <c r="AN905" t="s">
        <v>488</v>
      </c>
      <c r="AO905" t="s">
        <v>473</v>
      </c>
    </row>
    <row r="906" spans="37:41" x14ac:dyDescent="0.25">
      <c r="AK906" t="s">
        <v>49</v>
      </c>
      <c r="AL906" t="s">
        <v>231</v>
      </c>
      <c r="AM906" t="s">
        <v>237</v>
      </c>
      <c r="AN906" t="s">
        <v>489</v>
      </c>
      <c r="AO906" t="s">
        <v>475</v>
      </c>
    </row>
    <row r="907" spans="37:41" x14ac:dyDescent="0.25">
      <c r="AK907" t="s">
        <v>49</v>
      </c>
      <c r="AL907" t="s">
        <v>231</v>
      </c>
      <c r="AM907" t="s">
        <v>327</v>
      </c>
      <c r="AN907" t="s">
        <v>490</v>
      </c>
      <c r="AO907" t="s">
        <v>477</v>
      </c>
    </row>
    <row r="908" spans="37:41" x14ac:dyDescent="0.25">
      <c r="AK908" t="s">
        <v>49</v>
      </c>
      <c r="AL908" t="s">
        <v>231</v>
      </c>
      <c r="AM908" s="37" t="s">
        <v>329</v>
      </c>
      <c r="AN908" t="s">
        <v>485</v>
      </c>
      <c r="AO908" t="s">
        <v>467</v>
      </c>
    </row>
    <row r="909" spans="37:41" x14ac:dyDescent="0.25">
      <c r="AK909" t="s">
        <v>49</v>
      </c>
      <c r="AL909" t="s">
        <v>231</v>
      </c>
      <c r="AM909" s="37" t="s">
        <v>331</v>
      </c>
      <c r="AN909" t="s">
        <v>487</v>
      </c>
      <c r="AO909" t="s">
        <v>469</v>
      </c>
    </row>
    <row r="910" spans="37:41" x14ac:dyDescent="0.25">
      <c r="AK910" t="s">
        <v>49</v>
      </c>
      <c r="AL910" t="s">
        <v>231</v>
      </c>
      <c r="AM910" t="s">
        <v>242</v>
      </c>
      <c r="AN910" t="s">
        <v>491</v>
      </c>
      <c r="AO910" t="s">
        <v>473</v>
      </c>
    </row>
    <row r="911" spans="37:41" x14ac:dyDescent="0.25">
      <c r="AK911" t="s">
        <v>49</v>
      </c>
      <c r="AL911" t="s">
        <v>231</v>
      </c>
      <c r="AM911" t="s">
        <v>247</v>
      </c>
      <c r="AN911" t="s">
        <v>492</v>
      </c>
      <c r="AO911" t="s">
        <v>475</v>
      </c>
    </row>
    <row r="912" spans="37:41" x14ac:dyDescent="0.25">
      <c r="AK912" t="s">
        <v>49</v>
      </c>
      <c r="AL912" t="s">
        <v>231</v>
      </c>
      <c r="AM912" t="s">
        <v>251</v>
      </c>
      <c r="AN912" t="s">
        <v>493</v>
      </c>
      <c r="AO912" t="s">
        <v>477</v>
      </c>
    </row>
    <row r="913" spans="37:41" x14ac:dyDescent="0.25">
      <c r="AK913" t="s">
        <v>49</v>
      </c>
      <c r="AL913" t="s">
        <v>231</v>
      </c>
      <c r="AM913" s="37" t="s">
        <v>333</v>
      </c>
      <c r="AN913" s="39" t="s">
        <v>486</v>
      </c>
      <c r="AO913" t="s">
        <v>467</v>
      </c>
    </row>
    <row r="914" spans="37:41" x14ac:dyDescent="0.25">
      <c r="AK914" t="s">
        <v>49</v>
      </c>
      <c r="AL914" t="s">
        <v>231</v>
      </c>
      <c r="AM914" s="37" t="s">
        <v>335</v>
      </c>
      <c r="AN914" s="39" t="s">
        <v>488</v>
      </c>
      <c r="AO914" t="s">
        <v>469</v>
      </c>
    </row>
    <row r="915" spans="37:41" x14ac:dyDescent="0.25">
      <c r="AK915" t="s">
        <v>49</v>
      </c>
      <c r="AL915" t="s">
        <v>231</v>
      </c>
      <c r="AM915" s="37" t="s">
        <v>337</v>
      </c>
      <c r="AN915" s="39" t="s">
        <v>491</v>
      </c>
      <c r="AO915" t="s">
        <v>471</v>
      </c>
    </row>
    <row r="916" spans="37:41" x14ac:dyDescent="0.25">
      <c r="AK916" t="s">
        <v>49</v>
      </c>
      <c r="AL916" t="s">
        <v>231</v>
      </c>
      <c r="AM916" s="37" t="s">
        <v>255</v>
      </c>
      <c r="AN916" s="39" t="s">
        <v>494</v>
      </c>
      <c r="AO916" t="s">
        <v>475</v>
      </c>
    </row>
    <row r="917" spans="37:41" x14ac:dyDescent="0.25">
      <c r="AK917" t="s">
        <v>49</v>
      </c>
      <c r="AL917" t="s">
        <v>231</v>
      </c>
      <c r="AM917" t="s">
        <v>259</v>
      </c>
      <c r="AN917" t="s">
        <v>495</v>
      </c>
      <c r="AO917" t="s">
        <v>477</v>
      </c>
    </row>
    <row r="918" spans="37:41" x14ac:dyDescent="0.25">
      <c r="AK918" t="s">
        <v>49</v>
      </c>
      <c r="AL918" t="s">
        <v>231</v>
      </c>
      <c r="AM918" s="37" t="s">
        <v>263</v>
      </c>
      <c r="AN918" s="39" t="s">
        <v>496</v>
      </c>
      <c r="AO918" t="s">
        <v>479</v>
      </c>
    </row>
    <row r="919" spans="37:41" x14ac:dyDescent="0.25">
      <c r="AK919" t="s">
        <v>49</v>
      </c>
      <c r="AL919" t="s">
        <v>231</v>
      </c>
      <c r="AM919" t="s">
        <v>340</v>
      </c>
      <c r="AN919" t="s">
        <v>497</v>
      </c>
      <c r="AO919" t="s">
        <v>481</v>
      </c>
    </row>
    <row r="920" spans="37:41" x14ac:dyDescent="0.25">
      <c r="AK920" t="s">
        <v>49</v>
      </c>
      <c r="AL920" t="s">
        <v>231</v>
      </c>
      <c r="AM920" s="37" t="s">
        <v>342</v>
      </c>
      <c r="AN920" s="39" t="s">
        <v>489</v>
      </c>
      <c r="AO920" t="s">
        <v>469</v>
      </c>
    </row>
    <row r="921" spans="37:41" x14ac:dyDescent="0.25">
      <c r="AK921" t="s">
        <v>49</v>
      </c>
      <c r="AL921" t="s">
        <v>231</v>
      </c>
      <c r="AM921" s="37" t="s">
        <v>344</v>
      </c>
      <c r="AN921" s="59" t="s">
        <v>492</v>
      </c>
      <c r="AO921" t="s">
        <v>471</v>
      </c>
    </row>
    <row r="922" spans="37:41" x14ac:dyDescent="0.25">
      <c r="AK922" t="s">
        <v>49</v>
      </c>
      <c r="AL922" t="s">
        <v>231</v>
      </c>
      <c r="AM922" s="37" t="s">
        <v>346</v>
      </c>
      <c r="AN922" s="39" t="s">
        <v>498</v>
      </c>
      <c r="AO922" t="s">
        <v>473</v>
      </c>
    </row>
    <row r="923" spans="37:41" x14ac:dyDescent="0.25">
      <c r="AK923" t="s">
        <v>49</v>
      </c>
      <c r="AL923" t="s">
        <v>231</v>
      </c>
      <c r="AM923" t="s">
        <v>267</v>
      </c>
      <c r="AN923" t="s">
        <v>499</v>
      </c>
      <c r="AO923" t="s">
        <v>477</v>
      </c>
    </row>
    <row r="924" spans="37:41" x14ac:dyDescent="0.25">
      <c r="AK924" t="s">
        <v>49</v>
      </c>
      <c r="AL924" t="s">
        <v>231</v>
      </c>
      <c r="AM924" s="37" t="s">
        <v>271</v>
      </c>
      <c r="AN924" s="39" t="s">
        <v>500</v>
      </c>
      <c r="AO924" t="s">
        <v>479</v>
      </c>
    </row>
    <row r="925" spans="37:41" x14ac:dyDescent="0.25">
      <c r="AK925" t="s">
        <v>49</v>
      </c>
      <c r="AL925" t="s">
        <v>231</v>
      </c>
      <c r="AM925" t="s">
        <v>274</v>
      </c>
      <c r="AN925" t="s">
        <v>501</v>
      </c>
      <c r="AO925" t="s">
        <v>481</v>
      </c>
    </row>
    <row r="926" spans="37:41" x14ac:dyDescent="0.25">
      <c r="AK926" t="s">
        <v>49</v>
      </c>
      <c r="AL926" t="s">
        <v>231</v>
      </c>
      <c r="AM926" t="s">
        <v>348</v>
      </c>
      <c r="AN926" t="s">
        <v>502</v>
      </c>
      <c r="AO926" t="s">
        <v>483</v>
      </c>
    </row>
    <row r="927" spans="37:41" x14ac:dyDescent="0.25">
      <c r="AK927" t="s">
        <v>49</v>
      </c>
      <c r="AL927" t="s">
        <v>231</v>
      </c>
      <c r="AM927" s="37" t="s">
        <v>350</v>
      </c>
      <c r="AN927" s="39" t="s">
        <v>490</v>
      </c>
      <c r="AO927" t="s">
        <v>469</v>
      </c>
    </row>
    <row r="928" spans="37:41" x14ac:dyDescent="0.25">
      <c r="AK928" t="s">
        <v>49</v>
      </c>
      <c r="AL928" t="s">
        <v>231</v>
      </c>
      <c r="AM928" s="37" t="s">
        <v>352</v>
      </c>
      <c r="AN928" s="39" t="s">
        <v>493</v>
      </c>
      <c r="AO928" t="s">
        <v>471</v>
      </c>
    </row>
    <row r="929" spans="37:41" x14ac:dyDescent="0.25">
      <c r="AK929" t="s">
        <v>49</v>
      </c>
      <c r="AL929" t="s">
        <v>231</v>
      </c>
      <c r="AM929" s="37" t="s">
        <v>354</v>
      </c>
      <c r="AN929" s="39" t="s">
        <v>495</v>
      </c>
      <c r="AO929" t="s">
        <v>473</v>
      </c>
    </row>
    <row r="930" spans="37:41" x14ac:dyDescent="0.25">
      <c r="AK930" t="s">
        <v>49</v>
      </c>
      <c r="AL930" t="s">
        <v>231</v>
      </c>
      <c r="AM930" s="37" t="s">
        <v>356</v>
      </c>
      <c r="AN930" s="39" t="s">
        <v>499</v>
      </c>
      <c r="AO930" t="s">
        <v>475</v>
      </c>
    </row>
    <row r="931" spans="37:41" x14ac:dyDescent="0.25">
      <c r="AK931" t="s">
        <v>49</v>
      </c>
      <c r="AL931" t="s">
        <v>231</v>
      </c>
      <c r="AM931" t="s">
        <v>277</v>
      </c>
      <c r="AN931" t="s">
        <v>503</v>
      </c>
      <c r="AO931" t="s">
        <v>479</v>
      </c>
    </row>
    <row r="932" spans="37:41" x14ac:dyDescent="0.25">
      <c r="AK932" t="s">
        <v>49</v>
      </c>
      <c r="AL932" t="s">
        <v>231</v>
      </c>
      <c r="AM932" t="s">
        <v>281</v>
      </c>
      <c r="AN932" t="s">
        <v>504</v>
      </c>
      <c r="AO932" t="s">
        <v>481</v>
      </c>
    </row>
    <row r="933" spans="37:41" x14ac:dyDescent="0.25">
      <c r="AK933" t="s">
        <v>49</v>
      </c>
      <c r="AL933" t="s">
        <v>231</v>
      </c>
      <c r="AM933" t="s">
        <v>285</v>
      </c>
      <c r="AN933" t="s">
        <v>505</v>
      </c>
      <c r="AO933" t="s">
        <v>483</v>
      </c>
    </row>
    <row r="934" spans="37:41" x14ac:dyDescent="0.25">
      <c r="AK934" t="s">
        <v>49</v>
      </c>
      <c r="AL934" t="s">
        <v>231</v>
      </c>
      <c r="AM934" s="37" t="s">
        <v>358</v>
      </c>
      <c r="AN934" s="39" t="s">
        <v>506</v>
      </c>
      <c r="AO934" t="s">
        <v>471</v>
      </c>
    </row>
    <row r="935" spans="37:41" x14ac:dyDescent="0.25">
      <c r="AK935" t="s">
        <v>49</v>
      </c>
      <c r="AL935" t="s">
        <v>231</v>
      </c>
      <c r="AM935" s="37" t="s">
        <v>360</v>
      </c>
      <c r="AN935" s="39" t="s">
        <v>507</v>
      </c>
      <c r="AO935" t="s">
        <v>473</v>
      </c>
    </row>
    <row r="936" spans="37:41" x14ac:dyDescent="0.25">
      <c r="AK936" t="s">
        <v>49</v>
      </c>
      <c r="AL936" t="s">
        <v>231</v>
      </c>
      <c r="AM936" s="37" t="s">
        <v>362</v>
      </c>
      <c r="AN936" s="39" t="s">
        <v>508</v>
      </c>
      <c r="AO936" t="s">
        <v>475</v>
      </c>
    </row>
    <row r="937" spans="37:41" x14ac:dyDescent="0.25">
      <c r="AK937" t="s">
        <v>49</v>
      </c>
      <c r="AL937" t="s">
        <v>231</v>
      </c>
      <c r="AM937" s="37" t="s">
        <v>297</v>
      </c>
      <c r="AN937" s="39" t="s">
        <v>503</v>
      </c>
      <c r="AO937" t="s">
        <v>477</v>
      </c>
    </row>
    <row r="938" spans="37:41" x14ac:dyDescent="0.25">
      <c r="AK938" t="s">
        <v>49</v>
      </c>
      <c r="AL938" t="s">
        <v>231</v>
      </c>
      <c r="AM938" s="37" t="s">
        <v>288</v>
      </c>
      <c r="AN938" s="39" t="s">
        <v>509</v>
      </c>
      <c r="AO938" t="s">
        <v>481</v>
      </c>
    </row>
    <row r="939" spans="37:41" x14ac:dyDescent="0.25">
      <c r="AK939" t="s">
        <v>49</v>
      </c>
      <c r="AL939" t="s">
        <v>231</v>
      </c>
      <c r="AM939" t="s">
        <v>292</v>
      </c>
      <c r="AN939" t="s">
        <v>510</v>
      </c>
      <c r="AO939" t="s">
        <v>483</v>
      </c>
    </row>
    <row r="940" spans="37:41" x14ac:dyDescent="0.25">
      <c r="AK940" t="s">
        <v>49</v>
      </c>
      <c r="AL940" t="s">
        <v>231</v>
      </c>
      <c r="AM940" s="37" t="s">
        <v>364</v>
      </c>
      <c r="AN940" s="39" t="s">
        <v>497</v>
      </c>
      <c r="AO940" t="s">
        <v>473</v>
      </c>
    </row>
    <row r="941" spans="37:41" x14ac:dyDescent="0.25">
      <c r="AK941" t="s">
        <v>49</v>
      </c>
      <c r="AL941" t="s">
        <v>231</v>
      </c>
      <c r="AM941" s="37" t="s">
        <v>366</v>
      </c>
      <c r="AN941" s="39" t="s">
        <v>501</v>
      </c>
      <c r="AO941" t="s">
        <v>475</v>
      </c>
    </row>
    <row r="942" spans="37:41" x14ac:dyDescent="0.25">
      <c r="AK942" t="s">
        <v>49</v>
      </c>
      <c r="AL942" t="s">
        <v>231</v>
      </c>
      <c r="AM942" s="37" t="s">
        <v>310</v>
      </c>
      <c r="AN942" s="39" t="s">
        <v>504</v>
      </c>
      <c r="AO942" t="s">
        <v>477</v>
      </c>
    </row>
    <row r="943" spans="37:41" x14ac:dyDescent="0.25">
      <c r="AK943" t="s">
        <v>49</v>
      </c>
      <c r="AL943" t="s">
        <v>231</v>
      </c>
      <c r="AM943" s="37" t="s">
        <v>306</v>
      </c>
      <c r="AN943" s="39" t="s">
        <v>511</v>
      </c>
      <c r="AO943" t="s">
        <v>479</v>
      </c>
    </row>
    <row r="944" spans="37:41" x14ac:dyDescent="0.25">
      <c r="AK944" t="s">
        <v>49</v>
      </c>
      <c r="AL944" t="s">
        <v>231</v>
      </c>
      <c r="AM944" t="s">
        <v>302</v>
      </c>
      <c r="AN944" t="s">
        <v>512</v>
      </c>
      <c r="AO944" t="s">
        <v>483</v>
      </c>
    </row>
    <row r="945" spans="37:41" x14ac:dyDescent="0.25">
      <c r="AK945" t="s">
        <v>49</v>
      </c>
      <c r="AL945" t="s">
        <v>231</v>
      </c>
      <c r="AM945" s="37" t="s">
        <v>368</v>
      </c>
      <c r="AN945" s="39" t="s">
        <v>513</v>
      </c>
      <c r="AO945" t="s">
        <v>473</v>
      </c>
    </row>
    <row r="946" spans="37:41" x14ac:dyDescent="0.25">
      <c r="AK946" t="s">
        <v>49</v>
      </c>
      <c r="AL946" t="s">
        <v>231</v>
      </c>
      <c r="AM946" s="37" t="s">
        <v>370</v>
      </c>
      <c r="AN946" s="39" t="s">
        <v>502</v>
      </c>
      <c r="AO946" t="s">
        <v>475</v>
      </c>
    </row>
    <row r="947" spans="37:41" x14ac:dyDescent="0.25">
      <c r="AK947" t="s">
        <v>49</v>
      </c>
      <c r="AL947" t="s">
        <v>231</v>
      </c>
      <c r="AM947" s="37" t="s">
        <v>321</v>
      </c>
      <c r="AN947" s="39" t="s">
        <v>505</v>
      </c>
      <c r="AO947" t="s">
        <v>477</v>
      </c>
    </row>
    <row r="948" spans="37:41" x14ac:dyDescent="0.25">
      <c r="AK948" t="s">
        <v>49</v>
      </c>
      <c r="AL948" t="s">
        <v>231</v>
      </c>
      <c r="AM948" s="37" t="s">
        <v>318</v>
      </c>
      <c r="AN948" s="39" t="s">
        <v>510</v>
      </c>
      <c r="AO948" t="s">
        <v>479</v>
      </c>
    </row>
    <row r="949" spans="37:41" x14ac:dyDescent="0.25">
      <c r="AK949" t="s">
        <v>49</v>
      </c>
      <c r="AL949" t="s">
        <v>231</v>
      </c>
      <c r="AM949" s="37" t="s">
        <v>314</v>
      </c>
      <c r="AN949" s="39" t="s">
        <v>512</v>
      </c>
      <c r="AO949" t="s">
        <v>481</v>
      </c>
    </row>
    <row r="951" spans="37:41" x14ac:dyDescent="0.25">
      <c r="AK951" t="s">
        <v>49</v>
      </c>
      <c r="AL951" t="s">
        <v>236</v>
      </c>
      <c r="AM951" t="s">
        <v>50</v>
      </c>
      <c r="AN951" t="s">
        <v>464</v>
      </c>
      <c r="AO951" t="s">
        <v>465</v>
      </c>
    </row>
    <row r="952" spans="37:41" x14ac:dyDescent="0.25">
      <c r="AK952" t="s">
        <v>49</v>
      </c>
      <c r="AL952" t="s">
        <v>236</v>
      </c>
      <c r="AM952" t="s">
        <v>78</v>
      </c>
      <c r="AN952" t="s">
        <v>466</v>
      </c>
      <c r="AO952" t="s">
        <v>467</v>
      </c>
    </row>
    <row r="953" spans="37:41" x14ac:dyDescent="0.25">
      <c r="AK953" t="s">
        <v>49</v>
      </c>
      <c r="AL953" t="s">
        <v>236</v>
      </c>
      <c r="AM953" t="s">
        <v>100</v>
      </c>
      <c r="AN953" t="s">
        <v>468</v>
      </c>
      <c r="AO953" t="s">
        <v>469</v>
      </c>
    </row>
    <row r="954" spans="37:41" x14ac:dyDescent="0.25">
      <c r="AK954" t="s">
        <v>49</v>
      </c>
      <c r="AL954" t="s">
        <v>236</v>
      </c>
      <c r="AM954" t="s">
        <v>112</v>
      </c>
      <c r="AN954" t="s">
        <v>470</v>
      </c>
      <c r="AO954" t="s">
        <v>471</v>
      </c>
    </row>
    <row r="955" spans="37:41" x14ac:dyDescent="0.25">
      <c r="AK955" t="s">
        <v>49</v>
      </c>
      <c r="AL955" t="s">
        <v>236</v>
      </c>
      <c r="AM955" t="s">
        <v>127</v>
      </c>
      <c r="AN955" t="s">
        <v>472</v>
      </c>
      <c r="AO955" t="s">
        <v>473</v>
      </c>
    </row>
    <row r="956" spans="37:41" x14ac:dyDescent="0.25">
      <c r="AK956" t="s">
        <v>49</v>
      </c>
      <c r="AL956" t="s">
        <v>236</v>
      </c>
      <c r="AM956" t="s">
        <v>140</v>
      </c>
      <c r="AN956" t="s">
        <v>474</v>
      </c>
      <c r="AO956" t="s">
        <v>475</v>
      </c>
    </row>
    <row r="957" spans="37:41" x14ac:dyDescent="0.25">
      <c r="AK957" t="s">
        <v>49</v>
      </c>
      <c r="AL957" t="s">
        <v>236</v>
      </c>
      <c r="AM957" t="s">
        <v>152</v>
      </c>
      <c r="AN957" t="s">
        <v>476</v>
      </c>
      <c r="AO957" t="s">
        <v>477</v>
      </c>
    </row>
    <row r="958" spans="37:41" x14ac:dyDescent="0.25">
      <c r="AK958" t="s">
        <v>49</v>
      </c>
      <c r="AL958" t="s">
        <v>236</v>
      </c>
      <c r="AM958" t="s">
        <v>164</v>
      </c>
      <c r="AN958" t="s">
        <v>478</v>
      </c>
      <c r="AO958" t="s">
        <v>479</v>
      </c>
    </row>
    <row r="959" spans="37:41" x14ac:dyDescent="0.25">
      <c r="AK959" t="s">
        <v>49</v>
      </c>
      <c r="AL959" t="s">
        <v>236</v>
      </c>
      <c r="AM959" t="s">
        <v>179</v>
      </c>
      <c r="AN959" t="s">
        <v>480</v>
      </c>
      <c r="AO959" t="s">
        <v>481</v>
      </c>
    </row>
    <row r="960" spans="37:41" x14ac:dyDescent="0.25">
      <c r="AK960" t="s">
        <v>49</v>
      </c>
      <c r="AL960" t="s">
        <v>236</v>
      </c>
      <c r="AM960" t="s">
        <v>193</v>
      </c>
      <c r="AN960" t="s">
        <v>482</v>
      </c>
      <c r="AO960" t="s">
        <v>483</v>
      </c>
    </row>
    <row r="961" spans="37:41" x14ac:dyDescent="0.25">
      <c r="AK961" t="s">
        <v>49</v>
      </c>
      <c r="AL961" t="s">
        <v>236</v>
      </c>
      <c r="AM961" t="s">
        <v>206</v>
      </c>
      <c r="AN961" t="s">
        <v>484</v>
      </c>
      <c r="AO961" t="s">
        <v>469</v>
      </c>
    </row>
    <row r="962" spans="37:41" x14ac:dyDescent="0.25">
      <c r="AK962" t="s">
        <v>49</v>
      </c>
      <c r="AL962" t="s">
        <v>236</v>
      </c>
      <c r="AM962" t="s">
        <v>218</v>
      </c>
      <c r="AN962" t="s">
        <v>485</v>
      </c>
      <c r="AO962" t="s">
        <v>471</v>
      </c>
    </row>
    <row r="963" spans="37:41" x14ac:dyDescent="0.25">
      <c r="AK963" t="s">
        <v>49</v>
      </c>
      <c r="AL963" t="s">
        <v>236</v>
      </c>
      <c r="AM963" t="s">
        <v>224</v>
      </c>
      <c r="AN963" t="s">
        <v>486</v>
      </c>
      <c r="AO963" t="s">
        <v>473</v>
      </c>
    </row>
    <row r="964" spans="37:41" x14ac:dyDescent="0.25">
      <c r="AK964" t="s">
        <v>49</v>
      </c>
      <c r="AL964" t="s">
        <v>236</v>
      </c>
      <c r="AM964" s="37" t="s">
        <v>325</v>
      </c>
      <c r="AN964" t="s">
        <v>484</v>
      </c>
      <c r="AO964" t="s">
        <v>467</v>
      </c>
    </row>
    <row r="965" spans="37:41" x14ac:dyDescent="0.25">
      <c r="AK965" t="s">
        <v>49</v>
      </c>
      <c r="AL965" t="s">
        <v>236</v>
      </c>
      <c r="AM965" t="s">
        <v>228</v>
      </c>
      <c r="AN965" t="s">
        <v>487</v>
      </c>
      <c r="AO965" t="s">
        <v>471</v>
      </c>
    </row>
    <row r="966" spans="37:41" x14ac:dyDescent="0.25">
      <c r="AK966" t="s">
        <v>49</v>
      </c>
      <c r="AL966" t="s">
        <v>236</v>
      </c>
      <c r="AM966" t="s">
        <v>232</v>
      </c>
      <c r="AN966" t="s">
        <v>488</v>
      </c>
      <c r="AO966" t="s">
        <v>473</v>
      </c>
    </row>
    <row r="967" spans="37:41" x14ac:dyDescent="0.25">
      <c r="AK967" t="s">
        <v>49</v>
      </c>
      <c r="AL967" t="s">
        <v>236</v>
      </c>
      <c r="AM967" t="s">
        <v>237</v>
      </c>
      <c r="AN967" t="s">
        <v>489</v>
      </c>
      <c r="AO967" t="s">
        <v>475</v>
      </c>
    </row>
    <row r="968" spans="37:41" x14ac:dyDescent="0.25">
      <c r="AK968" t="s">
        <v>49</v>
      </c>
      <c r="AL968" t="s">
        <v>236</v>
      </c>
      <c r="AM968" t="s">
        <v>327</v>
      </c>
      <c r="AN968" t="s">
        <v>490</v>
      </c>
      <c r="AO968" t="s">
        <v>477</v>
      </c>
    </row>
    <row r="969" spans="37:41" x14ac:dyDescent="0.25">
      <c r="AK969" t="s">
        <v>49</v>
      </c>
      <c r="AL969" t="s">
        <v>236</v>
      </c>
      <c r="AM969" s="37" t="s">
        <v>329</v>
      </c>
      <c r="AN969" t="s">
        <v>485</v>
      </c>
      <c r="AO969" t="s">
        <v>467</v>
      </c>
    </row>
    <row r="970" spans="37:41" x14ac:dyDescent="0.25">
      <c r="AK970" t="s">
        <v>49</v>
      </c>
      <c r="AL970" t="s">
        <v>236</v>
      </c>
      <c r="AM970" s="37" t="s">
        <v>331</v>
      </c>
      <c r="AN970" t="s">
        <v>487</v>
      </c>
      <c r="AO970" t="s">
        <v>469</v>
      </c>
    </row>
    <row r="971" spans="37:41" x14ac:dyDescent="0.25">
      <c r="AK971" t="s">
        <v>49</v>
      </c>
      <c r="AL971" t="s">
        <v>236</v>
      </c>
      <c r="AM971" t="s">
        <v>242</v>
      </c>
      <c r="AN971" t="s">
        <v>491</v>
      </c>
      <c r="AO971" t="s">
        <v>473</v>
      </c>
    </row>
    <row r="972" spans="37:41" x14ac:dyDescent="0.25">
      <c r="AK972" t="s">
        <v>49</v>
      </c>
      <c r="AL972" t="s">
        <v>236</v>
      </c>
      <c r="AM972" t="s">
        <v>247</v>
      </c>
      <c r="AN972" t="s">
        <v>492</v>
      </c>
      <c r="AO972" t="s">
        <v>475</v>
      </c>
    </row>
    <row r="973" spans="37:41" x14ac:dyDescent="0.25">
      <c r="AK973" t="s">
        <v>49</v>
      </c>
      <c r="AL973" t="s">
        <v>236</v>
      </c>
      <c r="AM973" t="s">
        <v>251</v>
      </c>
      <c r="AN973" t="s">
        <v>493</v>
      </c>
      <c r="AO973" t="s">
        <v>477</v>
      </c>
    </row>
    <row r="974" spans="37:41" x14ac:dyDescent="0.25">
      <c r="AK974" t="s">
        <v>49</v>
      </c>
      <c r="AL974" t="s">
        <v>236</v>
      </c>
      <c r="AM974" s="37" t="s">
        <v>333</v>
      </c>
      <c r="AN974" s="39" t="s">
        <v>486</v>
      </c>
      <c r="AO974" t="s">
        <v>467</v>
      </c>
    </row>
    <row r="975" spans="37:41" x14ac:dyDescent="0.25">
      <c r="AK975" t="s">
        <v>49</v>
      </c>
      <c r="AL975" t="s">
        <v>236</v>
      </c>
      <c r="AM975" s="37" t="s">
        <v>335</v>
      </c>
      <c r="AN975" s="39" t="s">
        <v>488</v>
      </c>
      <c r="AO975" t="s">
        <v>469</v>
      </c>
    </row>
    <row r="976" spans="37:41" x14ac:dyDescent="0.25">
      <c r="AK976" t="s">
        <v>49</v>
      </c>
      <c r="AL976" t="s">
        <v>236</v>
      </c>
      <c r="AM976" s="37" t="s">
        <v>337</v>
      </c>
      <c r="AN976" s="39" t="s">
        <v>491</v>
      </c>
      <c r="AO976" t="s">
        <v>471</v>
      </c>
    </row>
    <row r="977" spans="37:41" x14ac:dyDescent="0.25">
      <c r="AK977" t="s">
        <v>49</v>
      </c>
      <c r="AL977" t="s">
        <v>236</v>
      </c>
      <c r="AM977" s="37" t="s">
        <v>255</v>
      </c>
      <c r="AN977" s="39" t="s">
        <v>494</v>
      </c>
      <c r="AO977" t="s">
        <v>475</v>
      </c>
    </row>
    <row r="978" spans="37:41" x14ac:dyDescent="0.25">
      <c r="AK978" t="s">
        <v>49</v>
      </c>
      <c r="AL978" t="s">
        <v>236</v>
      </c>
      <c r="AM978" t="s">
        <v>259</v>
      </c>
      <c r="AN978" t="s">
        <v>495</v>
      </c>
      <c r="AO978" t="s">
        <v>477</v>
      </c>
    </row>
    <row r="979" spans="37:41" x14ac:dyDescent="0.25">
      <c r="AK979" t="s">
        <v>49</v>
      </c>
      <c r="AL979" t="s">
        <v>236</v>
      </c>
      <c r="AM979" s="37" t="s">
        <v>263</v>
      </c>
      <c r="AN979" s="39" t="s">
        <v>496</v>
      </c>
      <c r="AO979" t="s">
        <v>479</v>
      </c>
    </row>
    <row r="980" spans="37:41" x14ac:dyDescent="0.25">
      <c r="AK980" t="s">
        <v>49</v>
      </c>
      <c r="AL980" t="s">
        <v>236</v>
      </c>
      <c r="AM980" t="s">
        <v>340</v>
      </c>
      <c r="AN980" t="s">
        <v>497</v>
      </c>
      <c r="AO980" t="s">
        <v>481</v>
      </c>
    </row>
    <row r="981" spans="37:41" x14ac:dyDescent="0.25">
      <c r="AK981" t="s">
        <v>49</v>
      </c>
      <c r="AL981" t="s">
        <v>236</v>
      </c>
      <c r="AM981" s="37" t="s">
        <v>342</v>
      </c>
      <c r="AN981" s="39" t="s">
        <v>489</v>
      </c>
      <c r="AO981" t="s">
        <v>469</v>
      </c>
    </row>
    <row r="982" spans="37:41" x14ac:dyDescent="0.25">
      <c r="AK982" t="s">
        <v>49</v>
      </c>
      <c r="AL982" t="s">
        <v>236</v>
      </c>
      <c r="AM982" s="37" t="s">
        <v>344</v>
      </c>
      <c r="AN982" s="59" t="s">
        <v>492</v>
      </c>
      <c r="AO982" t="s">
        <v>471</v>
      </c>
    </row>
    <row r="983" spans="37:41" x14ac:dyDescent="0.25">
      <c r="AK983" t="s">
        <v>49</v>
      </c>
      <c r="AL983" t="s">
        <v>236</v>
      </c>
      <c r="AM983" s="37" t="s">
        <v>346</v>
      </c>
      <c r="AN983" s="39" t="s">
        <v>498</v>
      </c>
      <c r="AO983" t="s">
        <v>473</v>
      </c>
    </row>
    <row r="984" spans="37:41" x14ac:dyDescent="0.25">
      <c r="AK984" t="s">
        <v>49</v>
      </c>
      <c r="AL984" t="s">
        <v>236</v>
      </c>
      <c r="AM984" t="s">
        <v>267</v>
      </c>
      <c r="AN984" t="s">
        <v>499</v>
      </c>
      <c r="AO984" t="s">
        <v>477</v>
      </c>
    </row>
    <row r="985" spans="37:41" x14ac:dyDescent="0.25">
      <c r="AK985" t="s">
        <v>49</v>
      </c>
      <c r="AL985" t="s">
        <v>236</v>
      </c>
      <c r="AM985" s="37" t="s">
        <v>271</v>
      </c>
      <c r="AN985" s="39" t="s">
        <v>500</v>
      </c>
      <c r="AO985" t="s">
        <v>479</v>
      </c>
    </row>
    <row r="986" spans="37:41" x14ac:dyDescent="0.25">
      <c r="AK986" t="s">
        <v>49</v>
      </c>
      <c r="AL986" t="s">
        <v>236</v>
      </c>
      <c r="AM986" t="s">
        <v>274</v>
      </c>
      <c r="AN986" t="s">
        <v>501</v>
      </c>
      <c r="AO986" t="s">
        <v>481</v>
      </c>
    </row>
    <row r="987" spans="37:41" x14ac:dyDescent="0.25">
      <c r="AK987" t="s">
        <v>49</v>
      </c>
      <c r="AL987" t="s">
        <v>236</v>
      </c>
      <c r="AM987" t="s">
        <v>348</v>
      </c>
      <c r="AN987" t="s">
        <v>502</v>
      </c>
      <c r="AO987" t="s">
        <v>483</v>
      </c>
    </row>
    <row r="988" spans="37:41" x14ac:dyDescent="0.25">
      <c r="AK988" t="s">
        <v>49</v>
      </c>
      <c r="AL988" t="s">
        <v>236</v>
      </c>
      <c r="AM988" s="37" t="s">
        <v>350</v>
      </c>
      <c r="AN988" s="39" t="s">
        <v>490</v>
      </c>
      <c r="AO988" t="s">
        <v>469</v>
      </c>
    </row>
    <row r="989" spans="37:41" x14ac:dyDescent="0.25">
      <c r="AK989" t="s">
        <v>49</v>
      </c>
      <c r="AL989" t="s">
        <v>236</v>
      </c>
      <c r="AM989" s="37" t="s">
        <v>352</v>
      </c>
      <c r="AN989" s="39" t="s">
        <v>493</v>
      </c>
      <c r="AO989" t="s">
        <v>471</v>
      </c>
    </row>
    <row r="990" spans="37:41" x14ac:dyDescent="0.25">
      <c r="AK990" t="s">
        <v>49</v>
      </c>
      <c r="AL990" t="s">
        <v>236</v>
      </c>
      <c r="AM990" s="37" t="s">
        <v>354</v>
      </c>
      <c r="AN990" s="39" t="s">
        <v>495</v>
      </c>
      <c r="AO990" t="s">
        <v>473</v>
      </c>
    </row>
    <row r="991" spans="37:41" x14ac:dyDescent="0.25">
      <c r="AK991" t="s">
        <v>49</v>
      </c>
      <c r="AL991" t="s">
        <v>236</v>
      </c>
      <c r="AM991" s="37" t="s">
        <v>356</v>
      </c>
      <c r="AN991" s="39" t="s">
        <v>499</v>
      </c>
      <c r="AO991" t="s">
        <v>475</v>
      </c>
    </row>
    <row r="992" spans="37:41" x14ac:dyDescent="0.25">
      <c r="AK992" t="s">
        <v>49</v>
      </c>
      <c r="AL992" t="s">
        <v>236</v>
      </c>
      <c r="AM992" t="s">
        <v>277</v>
      </c>
      <c r="AN992" t="s">
        <v>503</v>
      </c>
      <c r="AO992" t="s">
        <v>479</v>
      </c>
    </row>
    <row r="993" spans="37:41" x14ac:dyDescent="0.25">
      <c r="AK993" t="s">
        <v>49</v>
      </c>
      <c r="AL993" t="s">
        <v>236</v>
      </c>
      <c r="AM993" t="s">
        <v>281</v>
      </c>
      <c r="AN993" t="s">
        <v>504</v>
      </c>
      <c r="AO993" t="s">
        <v>481</v>
      </c>
    </row>
    <row r="994" spans="37:41" x14ac:dyDescent="0.25">
      <c r="AK994" t="s">
        <v>49</v>
      </c>
      <c r="AL994" t="s">
        <v>236</v>
      </c>
      <c r="AM994" t="s">
        <v>285</v>
      </c>
      <c r="AN994" t="s">
        <v>505</v>
      </c>
      <c r="AO994" t="s">
        <v>483</v>
      </c>
    </row>
    <row r="995" spans="37:41" x14ac:dyDescent="0.25">
      <c r="AK995" t="s">
        <v>49</v>
      </c>
      <c r="AL995" t="s">
        <v>236</v>
      </c>
      <c r="AM995" s="37" t="s">
        <v>358</v>
      </c>
      <c r="AN995" s="39" t="s">
        <v>506</v>
      </c>
      <c r="AO995" t="s">
        <v>471</v>
      </c>
    </row>
    <row r="996" spans="37:41" x14ac:dyDescent="0.25">
      <c r="AK996" t="s">
        <v>49</v>
      </c>
      <c r="AL996" t="s">
        <v>236</v>
      </c>
      <c r="AM996" s="37" t="s">
        <v>360</v>
      </c>
      <c r="AN996" s="39" t="s">
        <v>507</v>
      </c>
      <c r="AO996" t="s">
        <v>473</v>
      </c>
    </row>
    <row r="997" spans="37:41" x14ac:dyDescent="0.25">
      <c r="AK997" t="s">
        <v>49</v>
      </c>
      <c r="AL997" t="s">
        <v>236</v>
      </c>
      <c r="AM997" s="37" t="s">
        <v>362</v>
      </c>
      <c r="AN997" s="39" t="s">
        <v>508</v>
      </c>
      <c r="AO997" t="s">
        <v>475</v>
      </c>
    </row>
    <row r="998" spans="37:41" x14ac:dyDescent="0.25">
      <c r="AK998" t="s">
        <v>49</v>
      </c>
      <c r="AL998" t="s">
        <v>236</v>
      </c>
      <c r="AM998" s="37" t="s">
        <v>297</v>
      </c>
      <c r="AN998" s="39" t="s">
        <v>503</v>
      </c>
      <c r="AO998" t="s">
        <v>477</v>
      </c>
    </row>
    <row r="999" spans="37:41" x14ac:dyDescent="0.25">
      <c r="AK999" t="s">
        <v>49</v>
      </c>
      <c r="AL999" t="s">
        <v>236</v>
      </c>
      <c r="AM999" s="37" t="s">
        <v>288</v>
      </c>
      <c r="AN999" s="39" t="s">
        <v>509</v>
      </c>
      <c r="AO999" t="s">
        <v>481</v>
      </c>
    </row>
    <row r="1000" spans="37:41" x14ac:dyDescent="0.25">
      <c r="AK1000" t="s">
        <v>49</v>
      </c>
      <c r="AL1000" t="s">
        <v>236</v>
      </c>
      <c r="AM1000" t="s">
        <v>292</v>
      </c>
      <c r="AN1000" t="s">
        <v>510</v>
      </c>
      <c r="AO1000" t="s">
        <v>483</v>
      </c>
    </row>
    <row r="1001" spans="37:41" x14ac:dyDescent="0.25">
      <c r="AK1001" t="s">
        <v>49</v>
      </c>
      <c r="AL1001" t="s">
        <v>236</v>
      </c>
      <c r="AM1001" s="37" t="s">
        <v>364</v>
      </c>
      <c r="AN1001" s="39" t="s">
        <v>497</v>
      </c>
      <c r="AO1001" t="s">
        <v>473</v>
      </c>
    </row>
    <row r="1002" spans="37:41" x14ac:dyDescent="0.25">
      <c r="AK1002" t="s">
        <v>49</v>
      </c>
      <c r="AL1002" t="s">
        <v>236</v>
      </c>
      <c r="AM1002" s="37" t="s">
        <v>366</v>
      </c>
      <c r="AN1002" s="39" t="s">
        <v>501</v>
      </c>
      <c r="AO1002" t="s">
        <v>475</v>
      </c>
    </row>
    <row r="1003" spans="37:41" x14ac:dyDescent="0.25">
      <c r="AK1003" t="s">
        <v>49</v>
      </c>
      <c r="AL1003" t="s">
        <v>236</v>
      </c>
      <c r="AM1003" s="37" t="s">
        <v>310</v>
      </c>
      <c r="AN1003" s="39" t="s">
        <v>504</v>
      </c>
      <c r="AO1003" t="s">
        <v>477</v>
      </c>
    </row>
    <row r="1004" spans="37:41" x14ac:dyDescent="0.25">
      <c r="AK1004" t="s">
        <v>49</v>
      </c>
      <c r="AL1004" t="s">
        <v>236</v>
      </c>
      <c r="AM1004" s="37" t="s">
        <v>306</v>
      </c>
      <c r="AN1004" s="39" t="s">
        <v>511</v>
      </c>
      <c r="AO1004" t="s">
        <v>479</v>
      </c>
    </row>
    <row r="1005" spans="37:41" x14ac:dyDescent="0.25">
      <c r="AK1005" t="s">
        <v>49</v>
      </c>
      <c r="AL1005" t="s">
        <v>236</v>
      </c>
      <c r="AM1005" t="s">
        <v>302</v>
      </c>
      <c r="AN1005" t="s">
        <v>512</v>
      </c>
      <c r="AO1005" t="s">
        <v>483</v>
      </c>
    </row>
    <row r="1006" spans="37:41" x14ac:dyDescent="0.25">
      <c r="AK1006" t="s">
        <v>49</v>
      </c>
      <c r="AL1006" t="s">
        <v>236</v>
      </c>
      <c r="AM1006" s="37" t="s">
        <v>368</v>
      </c>
      <c r="AN1006" s="39" t="s">
        <v>513</v>
      </c>
      <c r="AO1006" t="s">
        <v>473</v>
      </c>
    </row>
    <row r="1007" spans="37:41" x14ac:dyDescent="0.25">
      <c r="AK1007" t="s">
        <v>49</v>
      </c>
      <c r="AL1007" t="s">
        <v>236</v>
      </c>
      <c r="AM1007" s="37" t="s">
        <v>370</v>
      </c>
      <c r="AN1007" s="39" t="s">
        <v>502</v>
      </c>
      <c r="AO1007" t="s">
        <v>475</v>
      </c>
    </row>
    <row r="1008" spans="37:41" x14ac:dyDescent="0.25">
      <c r="AK1008" t="s">
        <v>49</v>
      </c>
      <c r="AL1008" t="s">
        <v>236</v>
      </c>
      <c r="AM1008" s="37" t="s">
        <v>321</v>
      </c>
      <c r="AN1008" s="39" t="s">
        <v>505</v>
      </c>
      <c r="AO1008" t="s">
        <v>477</v>
      </c>
    </row>
    <row r="1009" spans="37:41" x14ac:dyDescent="0.25">
      <c r="AK1009" t="s">
        <v>49</v>
      </c>
      <c r="AL1009" t="s">
        <v>236</v>
      </c>
      <c r="AM1009" s="37" t="s">
        <v>318</v>
      </c>
      <c r="AN1009" s="39" t="s">
        <v>510</v>
      </c>
      <c r="AO1009" t="s">
        <v>479</v>
      </c>
    </row>
    <row r="1010" spans="37:41" x14ac:dyDescent="0.25">
      <c r="AK1010" t="s">
        <v>49</v>
      </c>
      <c r="AL1010" t="s">
        <v>236</v>
      </c>
      <c r="AM1010" s="37" t="s">
        <v>314</v>
      </c>
      <c r="AN1010" s="39" t="s">
        <v>512</v>
      </c>
      <c r="AO1010" t="s">
        <v>481</v>
      </c>
    </row>
    <row r="1012" spans="37:41" x14ac:dyDescent="0.25">
      <c r="AK1012" t="s">
        <v>49</v>
      </c>
      <c r="AL1012" s="54" t="s">
        <v>241</v>
      </c>
      <c r="AM1012" t="s">
        <v>50</v>
      </c>
      <c r="AN1012" t="s">
        <v>464</v>
      </c>
      <c r="AO1012" t="s">
        <v>465</v>
      </c>
    </row>
    <row r="1013" spans="37:41" x14ac:dyDescent="0.25">
      <c r="AK1013" t="s">
        <v>49</v>
      </c>
      <c r="AL1013" s="54" t="s">
        <v>241</v>
      </c>
      <c r="AM1013" t="s">
        <v>78</v>
      </c>
      <c r="AN1013" t="s">
        <v>466</v>
      </c>
      <c r="AO1013" t="s">
        <v>467</v>
      </c>
    </row>
    <row r="1014" spans="37:41" x14ac:dyDescent="0.25">
      <c r="AK1014" t="s">
        <v>49</v>
      </c>
      <c r="AL1014" s="54" t="s">
        <v>241</v>
      </c>
      <c r="AM1014" t="s">
        <v>100</v>
      </c>
      <c r="AN1014" t="s">
        <v>468</v>
      </c>
      <c r="AO1014" t="s">
        <v>469</v>
      </c>
    </row>
    <row r="1015" spans="37:41" x14ac:dyDescent="0.25">
      <c r="AK1015" t="s">
        <v>49</v>
      </c>
      <c r="AL1015" s="54" t="s">
        <v>241</v>
      </c>
      <c r="AM1015" t="s">
        <v>112</v>
      </c>
      <c r="AN1015" t="s">
        <v>470</v>
      </c>
      <c r="AO1015" t="s">
        <v>471</v>
      </c>
    </row>
    <row r="1016" spans="37:41" x14ac:dyDescent="0.25">
      <c r="AK1016" t="s">
        <v>49</v>
      </c>
      <c r="AL1016" s="54" t="s">
        <v>241</v>
      </c>
      <c r="AM1016" t="s">
        <v>127</v>
      </c>
      <c r="AN1016" t="s">
        <v>472</v>
      </c>
      <c r="AO1016" t="s">
        <v>473</v>
      </c>
    </row>
    <row r="1017" spans="37:41" x14ac:dyDescent="0.25">
      <c r="AK1017" t="s">
        <v>49</v>
      </c>
      <c r="AL1017" s="54" t="s">
        <v>241</v>
      </c>
      <c r="AM1017" t="s">
        <v>140</v>
      </c>
      <c r="AN1017" t="s">
        <v>474</v>
      </c>
      <c r="AO1017" t="s">
        <v>475</v>
      </c>
    </row>
    <row r="1018" spans="37:41" x14ac:dyDescent="0.25">
      <c r="AK1018" t="s">
        <v>49</v>
      </c>
      <c r="AL1018" s="54" t="s">
        <v>241</v>
      </c>
      <c r="AM1018" t="s">
        <v>152</v>
      </c>
      <c r="AN1018" t="s">
        <v>476</v>
      </c>
      <c r="AO1018" t="s">
        <v>477</v>
      </c>
    </row>
    <row r="1019" spans="37:41" x14ac:dyDescent="0.25">
      <c r="AK1019" t="s">
        <v>49</v>
      </c>
      <c r="AL1019" s="54" t="s">
        <v>241</v>
      </c>
      <c r="AM1019" t="s">
        <v>164</v>
      </c>
      <c r="AN1019" t="s">
        <v>478</v>
      </c>
      <c r="AO1019" t="s">
        <v>479</v>
      </c>
    </row>
    <row r="1020" spans="37:41" x14ac:dyDescent="0.25">
      <c r="AK1020" t="s">
        <v>49</v>
      </c>
      <c r="AL1020" s="54" t="s">
        <v>241</v>
      </c>
      <c r="AM1020" t="s">
        <v>179</v>
      </c>
      <c r="AN1020" t="s">
        <v>480</v>
      </c>
      <c r="AO1020" t="s">
        <v>481</v>
      </c>
    </row>
    <row r="1021" spans="37:41" x14ac:dyDescent="0.25">
      <c r="AK1021" t="s">
        <v>49</v>
      </c>
      <c r="AL1021" s="54" t="s">
        <v>241</v>
      </c>
      <c r="AM1021" t="s">
        <v>193</v>
      </c>
      <c r="AN1021" t="s">
        <v>482</v>
      </c>
      <c r="AO1021" t="s">
        <v>483</v>
      </c>
    </row>
    <row r="1022" spans="37:41" x14ac:dyDescent="0.25">
      <c r="AK1022" t="s">
        <v>49</v>
      </c>
      <c r="AL1022" s="54" t="s">
        <v>241</v>
      </c>
      <c r="AM1022" t="s">
        <v>206</v>
      </c>
      <c r="AN1022" t="s">
        <v>484</v>
      </c>
      <c r="AO1022" t="s">
        <v>469</v>
      </c>
    </row>
    <row r="1023" spans="37:41" x14ac:dyDescent="0.25">
      <c r="AK1023" t="s">
        <v>49</v>
      </c>
      <c r="AL1023" s="54" t="s">
        <v>241</v>
      </c>
      <c r="AM1023" t="s">
        <v>218</v>
      </c>
      <c r="AN1023" t="s">
        <v>485</v>
      </c>
      <c r="AO1023" t="s">
        <v>471</v>
      </c>
    </row>
    <row r="1024" spans="37:41" x14ac:dyDescent="0.25">
      <c r="AK1024" t="s">
        <v>49</v>
      </c>
      <c r="AL1024" s="54" t="s">
        <v>241</v>
      </c>
      <c r="AM1024" t="s">
        <v>224</v>
      </c>
      <c r="AN1024" t="s">
        <v>486</v>
      </c>
      <c r="AO1024" t="s">
        <v>473</v>
      </c>
    </row>
    <row r="1025" spans="37:41" x14ac:dyDescent="0.25">
      <c r="AK1025" t="s">
        <v>49</v>
      </c>
      <c r="AL1025" s="54" t="s">
        <v>241</v>
      </c>
      <c r="AM1025" s="37" t="s">
        <v>325</v>
      </c>
      <c r="AN1025" t="s">
        <v>484</v>
      </c>
      <c r="AO1025" t="s">
        <v>467</v>
      </c>
    </row>
    <row r="1026" spans="37:41" x14ac:dyDescent="0.25">
      <c r="AK1026" t="s">
        <v>49</v>
      </c>
      <c r="AL1026" s="54" t="s">
        <v>241</v>
      </c>
      <c r="AM1026" t="s">
        <v>228</v>
      </c>
      <c r="AN1026" t="s">
        <v>487</v>
      </c>
      <c r="AO1026" t="s">
        <v>471</v>
      </c>
    </row>
    <row r="1027" spans="37:41" x14ac:dyDescent="0.25">
      <c r="AK1027" t="s">
        <v>49</v>
      </c>
      <c r="AL1027" s="54" t="s">
        <v>241</v>
      </c>
      <c r="AM1027" t="s">
        <v>232</v>
      </c>
      <c r="AN1027" t="s">
        <v>488</v>
      </c>
      <c r="AO1027" t="s">
        <v>473</v>
      </c>
    </row>
    <row r="1028" spans="37:41" x14ac:dyDescent="0.25">
      <c r="AK1028" t="s">
        <v>49</v>
      </c>
      <c r="AL1028" s="54" t="s">
        <v>241</v>
      </c>
      <c r="AM1028" t="s">
        <v>237</v>
      </c>
      <c r="AN1028" t="s">
        <v>489</v>
      </c>
      <c r="AO1028" t="s">
        <v>475</v>
      </c>
    </row>
    <row r="1029" spans="37:41" x14ac:dyDescent="0.25">
      <c r="AK1029" t="s">
        <v>49</v>
      </c>
      <c r="AL1029" s="54" t="s">
        <v>241</v>
      </c>
      <c r="AM1029" t="s">
        <v>327</v>
      </c>
      <c r="AN1029" t="s">
        <v>490</v>
      </c>
      <c r="AO1029" t="s">
        <v>477</v>
      </c>
    </row>
    <row r="1030" spans="37:41" x14ac:dyDescent="0.25">
      <c r="AK1030" t="s">
        <v>49</v>
      </c>
      <c r="AL1030" s="54" t="s">
        <v>241</v>
      </c>
      <c r="AM1030" s="37" t="s">
        <v>329</v>
      </c>
      <c r="AN1030" t="s">
        <v>485</v>
      </c>
      <c r="AO1030" t="s">
        <v>467</v>
      </c>
    </row>
    <row r="1031" spans="37:41" x14ac:dyDescent="0.25">
      <c r="AK1031" t="s">
        <v>49</v>
      </c>
      <c r="AL1031" s="54" t="s">
        <v>241</v>
      </c>
      <c r="AM1031" s="37" t="s">
        <v>331</v>
      </c>
      <c r="AN1031" t="s">
        <v>487</v>
      </c>
      <c r="AO1031" t="s">
        <v>469</v>
      </c>
    </row>
    <row r="1032" spans="37:41" x14ac:dyDescent="0.25">
      <c r="AK1032" t="s">
        <v>49</v>
      </c>
      <c r="AL1032" s="54" t="s">
        <v>241</v>
      </c>
      <c r="AM1032" t="s">
        <v>242</v>
      </c>
      <c r="AN1032" t="s">
        <v>491</v>
      </c>
      <c r="AO1032" t="s">
        <v>473</v>
      </c>
    </row>
    <row r="1033" spans="37:41" x14ac:dyDescent="0.25">
      <c r="AK1033" t="s">
        <v>49</v>
      </c>
      <c r="AL1033" s="54" t="s">
        <v>241</v>
      </c>
      <c r="AM1033" t="s">
        <v>247</v>
      </c>
      <c r="AN1033" t="s">
        <v>492</v>
      </c>
      <c r="AO1033" t="s">
        <v>475</v>
      </c>
    </row>
    <row r="1034" spans="37:41" x14ac:dyDescent="0.25">
      <c r="AK1034" t="s">
        <v>49</v>
      </c>
      <c r="AL1034" s="54" t="s">
        <v>241</v>
      </c>
      <c r="AM1034" t="s">
        <v>251</v>
      </c>
      <c r="AN1034" t="s">
        <v>493</v>
      </c>
      <c r="AO1034" t="s">
        <v>477</v>
      </c>
    </row>
    <row r="1035" spans="37:41" x14ac:dyDescent="0.25">
      <c r="AK1035" t="s">
        <v>49</v>
      </c>
      <c r="AL1035" s="54" t="s">
        <v>241</v>
      </c>
      <c r="AM1035" s="37" t="s">
        <v>333</v>
      </c>
      <c r="AN1035" s="39" t="s">
        <v>486</v>
      </c>
      <c r="AO1035" t="s">
        <v>467</v>
      </c>
    </row>
    <row r="1036" spans="37:41" x14ac:dyDescent="0.25">
      <c r="AK1036" t="s">
        <v>49</v>
      </c>
      <c r="AL1036" s="54" t="s">
        <v>241</v>
      </c>
      <c r="AM1036" s="37" t="s">
        <v>335</v>
      </c>
      <c r="AN1036" s="39" t="s">
        <v>488</v>
      </c>
      <c r="AO1036" t="s">
        <v>469</v>
      </c>
    </row>
    <row r="1037" spans="37:41" x14ac:dyDescent="0.25">
      <c r="AK1037" t="s">
        <v>49</v>
      </c>
      <c r="AL1037" s="54" t="s">
        <v>241</v>
      </c>
      <c r="AM1037" s="37" t="s">
        <v>337</v>
      </c>
      <c r="AN1037" s="39" t="s">
        <v>491</v>
      </c>
      <c r="AO1037" t="s">
        <v>471</v>
      </c>
    </row>
    <row r="1038" spans="37:41" x14ac:dyDescent="0.25">
      <c r="AK1038" t="s">
        <v>49</v>
      </c>
      <c r="AL1038" s="54" t="s">
        <v>241</v>
      </c>
      <c r="AM1038" s="37" t="s">
        <v>255</v>
      </c>
      <c r="AN1038" s="39" t="s">
        <v>494</v>
      </c>
      <c r="AO1038" t="s">
        <v>475</v>
      </c>
    </row>
    <row r="1039" spans="37:41" x14ac:dyDescent="0.25">
      <c r="AK1039" t="s">
        <v>49</v>
      </c>
      <c r="AL1039" s="54" t="s">
        <v>241</v>
      </c>
      <c r="AM1039" t="s">
        <v>259</v>
      </c>
      <c r="AN1039" t="s">
        <v>495</v>
      </c>
      <c r="AO1039" t="s">
        <v>477</v>
      </c>
    </row>
    <row r="1040" spans="37:41" x14ac:dyDescent="0.25">
      <c r="AK1040" t="s">
        <v>49</v>
      </c>
      <c r="AL1040" s="54" t="s">
        <v>241</v>
      </c>
      <c r="AM1040" s="37" t="s">
        <v>263</v>
      </c>
      <c r="AN1040" s="39" t="s">
        <v>496</v>
      </c>
      <c r="AO1040" t="s">
        <v>479</v>
      </c>
    </row>
    <row r="1041" spans="37:41" x14ac:dyDescent="0.25">
      <c r="AK1041" t="s">
        <v>49</v>
      </c>
      <c r="AL1041" s="54" t="s">
        <v>241</v>
      </c>
      <c r="AM1041" t="s">
        <v>340</v>
      </c>
      <c r="AN1041" t="s">
        <v>497</v>
      </c>
      <c r="AO1041" t="s">
        <v>481</v>
      </c>
    </row>
    <row r="1042" spans="37:41" x14ac:dyDescent="0.25">
      <c r="AK1042" t="s">
        <v>49</v>
      </c>
      <c r="AL1042" s="54" t="s">
        <v>241</v>
      </c>
      <c r="AM1042" s="37" t="s">
        <v>342</v>
      </c>
      <c r="AN1042" s="39" t="s">
        <v>489</v>
      </c>
      <c r="AO1042" t="s">
        <v>469</v>
      </c>
    </row>
    <row r="1043" spans="37:41" x14ac:dyDescent="0.25">
      <c r="AK1043" t="s">
        <v>49</v>
      </c>
      <c r="AL1043" s="54" t="s">
        <v>241</v>
      </c>
      <c r="AM1043" s="37" t="s">
        <v>344</v>
      </c>
      <c r="AN1043" s="59" t="s">
        <v>492</v>
      </c>
      <c r="AO1043" t="s">
        <v>471</v>
      </c>
    </row>
    <row r="1044" spans="37:41" x14ac:dyDescent="0.25">
      <c r="AK1044" t="s">
        <v>49</v>
      </c>
      <c r="AL1044" s="54" t="s">
        <v>241</v>
      </c>
      <c r="AM1044" s="37" t="s">
        <v>346</v>
      </c>
      <c r="AN1044" s="39" t="s">
        <v>498</v>
      </c>
      <c r="AO1044" t="s">
        <v>473</v>
      </c>
    </row>
    <row r="1045" spans="37:41" x14ac:dyDescent="0.25">
      <c r="AK1045" t="s">
        <v>49</v>
      </c>
      <c r="AL1045" s="54" t="s">
        <v>241</v>
      </c>
      <c r="AM1045" t="s">
        <v>267</v>
      </c>
      <c r="AN1045" t="s">
        <v>499</v>
      </c>
      <c r="AO1045" t="s">
        <v>477</v>
      </c>
    </row>
    <row r="1046" spans="37:41" x14ac:dyDescent="0.25">
      <c r="AK1046" t="s">
        <v>49</v>
      </c>
      <c r="AL1046" s="54" t="s">
        <v>241</v>
      </c>
      <c r="AM1046" s="37" t="s">
        <v>271</v>
      </c>
      <c r="AN1046" s="39" t="s">
        <v>500</v>
      </c>
      <c r="AO1046" t="s">
        <v>479</v>
      </c>
    </row>
    <row r="1047" spans="37:41" x14ac:dyDescent="0.25">
      <c r="AK1047" t="s">
        <v>49</v>
      </c>
      <c r="AL1047" s="54" t="s">
        <v>241</v>
      </c>
      <c r="AM1047" t="s">
        <v>274</v>
      </c>
      <c r="AN1047" t="s">
        <v>501</v>
      </c>
      <c r="AO1047" t="s">
        <v>481</v>
      </c>
    </row>
    <row r="1048" spans="37:41" x14ac:dyDescent="0.25">
      <c r="AK1048" t="s">
        <v>49</v>
      </c>
      <c r="AL1048" s="54" t="s">
        <v>241</v>
      </c>
      <c r="AM1048" t="s">
        <v>348</v>
      </c>
      <c r="AN1048" t="s">
        <v>502</v>
      </c>
      <c r="AO1048" t="s">
        <v>483</v>
      </c>
    </row>
    <row r="1049" spans="37:41" x14ac:dyDescent="0.25">
      <c r="AK1049" t="s">
        <v>49</v>
      </c>
      <c r="AL1049" s="54" t="s">
        <v>241</v>
      </c>
      <c r="AM1049" s="37" t="s">
        <v>350</v>
      </c>
      <c r="AN1049" s="39" t="s">
        <v>490</v>
      </c>
      <c r="AO1049" t="s">
        <v>469</v>
      </c>
    </row>
    <row r="1050" spans="37:41" x14ac:dyDescent="0.25">
      <c r="AK1050" t="s">
        <v>49</v>
      </c>
      <c r="AL1050" s="54" t="s">
        <v>241</v>
      </c>
      <c r="AM1050" s="37" t="s">
        <v>352</v>
      </c>
      <c r="AN1050" s="39" t="s">
        <v>493</v>
      </c>
      <c r="AO1050" t="s">
        <v>471</v>
      </c>
    </row>
    <row r="1051" spans="37:41" x14ac:dyDescent="0.25">
      <c r="AK1051" t="s">
        <v>49</v>
      </c>
      <c r="AL1051" s="54" t="s">
        <v>241</v>
      </c>
      <c r="AM1051" s="37" t="s">
        <v>354</v>
      </c>
      <c r="AN1051" s="39" t="s">
        <v>495</v>
      </c>
      <c r="AO1051" t="s">
        <v>473</v>
      </c>
    </row>
    <row r="1052" spans="37:41" x14ac:dyDescent="0.25">
      <c r="AK1052" t="s">
        <v>49</v>
      </c>
      <c r="AL1052" s="54" t="s">
        <v>241</v>
      </c>
      <c r="AM1052" s="37" t="s">
        <v>356</v>
      </c>
      <c r="AN1052" s="39" t="s">
        <v>499</v>
      </c>
      <c r="AO1052" t="s">
        <v>475</v>
      </c>
    </row>
    <row r="1053" spans="37:41" x14ac:dyDescent="0.25">
      <c r="AK1053" t="s">
        <v>49</v>
      </c>
      <c r="AL1053" s="54" t="s">
        <v>241</v>
      </c>
      <c r="AM1053" t="s">
        <v>277</v>
      </c>
      <c r="AN1053" t="s">
        <v>503</v>
      </c>
      <c r="AO1053" t="s">
        <v>479</v>
      </c>
    </row>
    <row r="1054" spans="37:41" x14ac:dyDescent="0.25">
      <c r="AK1054" t="s">
        <v>49</v>
      </c>
      <c r="AL1054" s="54" t="s">
        <v>241</v>
      </c>
      <c r="AM1054" t="s">
        <v>281</v>
      </c>
      <c r="AN1054" t="s">
        <v>504</v>
      </c>
      <c r="AO1054" t="s">
        <v>481</v>
      </c>
    </row>
    <row r="1055" spans="37:41" x14ac:dyDescent="0.25">
      <c r="AK1055" t="s">
        <v>49</v>
      </c>
      <c r="AL1055" s="54" t="s">
        <v>241</v>
      </c>
      <c r="AM1055" t="s">
        <v>285</v>
      </c>
      <c r="AN1055" t="s">
        <v>505</v>
      </c>
      <c r="AO1055" t="s">
        <v>483</v>
      </c>
    </row>
    <row r="1056" spans="37:41" x14ac:dyDescent="0.25">
      <c r="AK1056" t="s">
        <v>49</v>
      </c>
      <c r="AL1056" s="54" t="s">
        <v>241</v>
      </c>
      <c r="AM1056" s="37" t="s">
        <v>358</v>
      </c>
      <c r="AN1056" s="39" t="s">
        <v>506</v>
      </c>
      <c r="AO1056" t="s">
        <v>471</v>
      </c>
    </row>
    <row r="1057" spans="37:41" x14ac:dyDescent="0.25">
      <c r="AK1057" t="s">
        <v>49</v>
      </c>
      <c r="AL1057" s="54" t="s">
        <v>241</v>
      </c>
      <c r="AM1057" s="37" t="s">
        <v>360</v>
      </c>
      <c r="AN1057" s="39" t="s">
        <v>507</v>
      </c>
      <c r="AO1057" t="s">
        <v>473</v>
      </c>
    </row>
    <row r="1058" spans="37:41" x14ac:dyDescent="0.25">
      <c r="AK1058" t="s">
        <v>49</v>
      </c>
      <c r="AL1058" s="54" t="s">
        <v>241</v>
      </c>
      <c r="AM1058" s="37" t="s">
        <v>362</v>
      </c>
      <c r="AN1058" s="39" t="s">
        <v>508</v>
      </c>
      <c r="AO1058" t="s">
        <v>475</v>
      </c>
    </row>
    <row r="1059" spans="37:41" x14ac:dyDescent="0.25">
      <c r="AK1059" t="s">
        <v>49</v>
      </c>
      <c r="AL1059" s="54" t="s">
        <v>241</v>
      </c>
      <c r="AM1059" s="37" t="s">
        <v>297</v>
      </c>
      <c r="AN1059" s="39" t="s">
        <v>503</v>
      </c>
      <c r="AO1059" t="s">
        <v>477</v>
      </c>
    </row>
    <row r="1060" spans="37:41" x14ac:dyDescent="0.25">
      <c r="AK1060" t="s">
        <v>49</v>
      </c>
      <c r="AL1060" s="54" t="s">
        <v>241</v>
      </c>
      <c r="AM1060" s="37" t="s">
        <v>288</v>
      </c>
      <c r="AN1060" s="39" t="s">
        <v>509</v>
      </c>
      <c r="AO1060" t="s">
        <v>481</v>
      </c>
    </row>
    <row r="1061" spans="37:41" x14ac:dyDescent="0.25">
      <c r="AK1061" t="s">
        <v>49</v>
      </c>
      <c r="AL1061" s="54" t="s">
        <v>241</v>
      </c>
      <c r="AM1061" t="s">
        <v>292</v>
      </c>
      <c r="AN1061" t="s">
        <v>510</v>
      </c>
      <c r="AO1061" t="s">
        <v>483</v>
      </c>
    </row>
    <row r="1062" spans="37:41" x14ac:dyDescent="0.25">
      <c r="AK1062" t="s">
        <v>49</v>
      </c>
      <c r="AL1062" s="54" t="s">
        <v>241</v>
      </c>
      <c r="AM1062" s="37" t="s">
        <v>364</v>
      </c>
      <c r="AN1062" s="39" t="s">
        <v>497</v>
      </c>
      <c r="AO1062" t="s">
        <v>473</v>
      </c>
    </row>
    <row r="1063" spans="37:41" x14ac:dyDescent="0.25">
      <c r="AK1063" t="s">
        <v>49</v>
      </c>
      <c r="AL1063" s="54" t="s">
        <v>241</v>
      </c>
      <c r="AM1063" s="37" t="s">
        <v>366</v>
      </c>
      <c r="AN1063" s="39" t="s">
        <v>501</v>
      </c>
      <c r="AO1063" t="s">
        <v>475</v>
      </c>
    </row>
    <row r="1064" spans="37:41" x14ac:dyDescent="0.25">
      <c r="AK1064" t="s">
        <v>49</v>
      </c>
      <c r="AL1064" s="54" t="s">
        <v>241</v>
      </c>
      <c r="AM1064" s="37" t="s">
        <v>310</v>
      </c>
      <c r="AN1064" s="39" t="s">
        <v>504</v>
      </c>
      <c r="AO1064" t="s">
        <v>477</v>
      </c>
    </row>
    <row r="1065" spans="37:41" x14ac:dyDescent="0.25">
      <c r="AK1065" t="s">
        <v>49</v>
      </c>
      <c r="AL1065" s="54" t="s">
        <v>241</v>
      </c>
      <c r="AM1065" s="37" t="s">
        <v>306</v>
      </c>
      <c r="AN1065" s="39" t="s">
        <v>511</v>
      </c>
      <c r="AO1065" t="s">
        <v>479</v>
      </c>
    </row>
    <row r="1066" spans="37:41" x14ac:dyDescent="0.25">
      <c r="AK1066" t="s">
        <v>49</v>
      </c>
      <c r="AL1066" s="54" t="s">
        <v>241</v>
      </c>
      <c r="AM1066" t="s">
        <v>302</v>
      </c>
      <c r="AN1066" t="s">
        <v>512</v>
      </c>
      <c r="AO1066" t="s">
        <v>483</v>
      </c>
    </row>
    <row r="1067" spans="37:41" x14ac:dyDescent="0.25">
      <c r="AK1067" t="s">
        <v>49</v>
      </c>
      <c r="AL1067" s="54" t="s">
        <v>241</v>
      </c>
      <c r="AM1067" s="37" t="s">
        <v>368</v>
      </c>
      <c r="AN1067" s="39" t="s">
        <v>513</v>
      </c>
      <c r="AO1067" t="s">
        <v>473</v>
      </c>
    </row>
    <row r="1068" spans="37:41" x14ac:dyDescent="0.25">
      <c r="AK1068" t="s">
        <v>49</v>
      </c>
      <c r="AL1068" s="54" t="s">
        <v>241</v>
      </c>
      <c r="AM1068" s="37" t="s">
        <v>370</v>
      </c>
      <c r="AN1068" s="39" t="s">
        <v>502</v>
      </c>
      <c r="AO1068" t="s">
        <v>475</v>
      </c>
    </row>
    <row r="1069" spans="37:41" x14ac:dyDescent="0.25">
      <c r="AK1069" t="s">
        <v>49</v>
      </c>
      <c r="AL1069" s="54" t="s">
        <v>241</v>
      </c>
      <c r="AM1069" s="37" t="s">
        <v>321</v>
      </c>
      <c r="AN1069" s="39" t="s">
        <v>505</v>
      </c>
      <c r="AO1069" t="s">
        <v>477</v>
      </c>
    </row>
    <row r="1070" spans="37:41" x14ac:dyDescent="0.25">
      <c r="AK1070" t="s">
        <v>49</v>
      </c>
      <c r="AL1070" s="54" t="s">
        <v>241</v>
      </c>
      <c r="AM1070" s="37" t="s">
        <v>318</v>
      </c>
      <c r="AN1070" s="39" t="s">
        <v>510</v>
      </c>
      <c r="AO1070" t="s">
        <v>479</v>
      </c>
    </row>
    <row r="1071" spans="37:41" x14ac:dyDescent="0.25">
      <c r="AK1071" t="s">
        <v>49</v>
      </c>
      <c r="AL1071" s="54" t="s">
        <v>241</v>
      </c>
      <c r="AM1071" s="37" t="s">
        <v>314</v>
      </c>
      <c r="AN1071" s="39" t="s">
        <v>512</v>
      </c>
      <c r="AO1071" t="s">
        <v>481</v>
      </c>
    </row>
    <row r="1073" spans="37:41" x14ac:dyDescent="0.25">
      <c r="AK1073" t="s">
        <v>49</v>
      </c>
      <c r="AL1073" s="54" t="s">
        <v>246</v>
      </c>
      <c r="AM1073" t="s">
        <v>50</v>
      </c>
      <c r="AN1073" t="s">
        <v>464</v>
      </c>
      <c r="AO1073" t="s">
        <v>465</v>
      </c>
    </row>
    <row r="1074" spans="37:41" x14ac:dyDescent="0.25">
      <c r="AK1074" t="s">
        <v>49</v>
      </c>
      <c r="AL1074" s="54" t="s">
        <v>246</v>
      </c>
      <c r="AM1074" t="s">
        <v>78</v>
      </c>
      <c r="AN1074" t="s">
        <v>466</v>
      </c>
      <c r="AO1074" t="s">
        <v>467</v>
      </c>
    </row>
    <row r="1075" spans="37:41" x14ac:dyDescent="0.25">
      <c r="AK1075" t="s">
        <v>49</v>
      </c>
      <c r="AL1075" s="54" t="s">
        <v>246</v>
      </c>
      <c r="AM1075" t="s">
        <v>100</v>
      </c>
      <c r="AN1075" t="s">
        <v>468</v>
      </c>
      <c r="AO1075" t="s">
        <v>469</v>
      </c>
    </row>
    <row r="1076" spans="37:41" x14ac:dyDescent="0.25">
      <c r="AK1076" t="s">
        <v>49</v>
      </c>
      <c r="AL1076" s="54" t="s">
        <v>246</v>
      </c>
      <c r="AM1076" t="s">
        <v>112</v>
      </c>
      <c r="AN1076" t="s">
        <v>470</v>
      </c>
      <c r="AO1076" t="s">
        <v>471</v>
      </c>
    </row>
    <row r="1077" spans="37:41" x14ac:dyDescent="0.25">
      <c r="AK1077" t="s">
        <v>49</v>
      </c>
      <c r="AL1077" s="54" t="s">
        <v>246</v>
      </c>
      <c r="AM1077" t="s">
        <v>127</v>
      </c>
      <c r="AN1077" t="s">
        <v>472</v>
      </c>
      <c r="AO1077" t="s">
        <v>473</v>
      </c>
    </row>
    <row r="1078" spans="37:41" x14ac:dyDescent="0.25">
      <c r="AK1078" t="s">
        <v>49</v>
      </c>
      <c r="AL1078" s="54" t="s">
        <v>246</v>
      </c>
      <c r="AM1078" t="s">
        <v>140</v>
      </c>
      <c r="AN1078" t="s">
        <v>474</v>
      </c>
      <c r="AO1078" t="s">
        <v>475</v>
      </c>
    </row>
    <row r="1079" spans="37:41" x14ac:dyDescent="0.25">
      <c r="AK1079" t="s">
        <v>49</v>
      </c>
      <c r="AL1079" s="54" t="s">
        <v>246</v>
      </c>
      <c r="AM1079" t="s">
        <v>152</v>
      </c>
      <c r="AN1079" t="s">
        <v>476</v>
      </c>
      <c r="AO1079" t="s">
        <v>477</v>
      </c>
    </row>
    <row r="1080" spans="37:41" x14ac:dyDescent="0.25">
      <c r="AK1080" t="s">
        <v>49</v>
      </c>
      <c r="AL1080" s="54" t="s">
        <v>246</v>
      </c>
      <c r="AM1080" t="s">
        <v>164</v>
      </c>
      <c r="AN1080" t="s">
        <v>478</v>
      </c>
      <c r="AO1080" t="s">
        <v>479</v>
      </c>
    </row>
    <row r="1081" spans="37:41" x14ac:dyDescent="0.25">
      <c r="AK1081" t="s">
        <v>49</v>
      </c>
      <c r="AL1081" s="54" t="s">
        <v>246</v>
      </c>
      <c r="AM1081" t="s">
        <v>179</v>
      </c>
      <c r="AN1081" t="s">
        <v>480</v>
      </c>
      <c r="AO1081" t="s">
        <v>481</v>
      </c>
    </row>
    <row r="1082" spans="37:41" x14ac:dyDescent="0.25">
      <c r="AK1082" t="s">
        <v>49</v>
      </c>
      <c r="AL1082" s="54" t="s">
        <v>246</v>
      </c>
      <c r="AM1082" t="s">
        <v>193</v>
      </c>
      <c r="AN1082" t="s">
        <v>482</v>
      </c>
      <c r="AO1082" t="s">
        <v>483</v>
      </c>
    </row>
    <row r="1083" spans="37:41" x14ac:dyDescent="0.25">
      <c r="AK1083" t="s">
        <v>49</v>
      </c>
      <c r="AL1083" s="54" t="s">
        <v>246</v>
      </c>
      <c r="AM1083" t="s">
        <v>206</v>
      </c>
      <c r="AN1083" t="s">
        <v>484</v>
      </c>
      <c r="AO1083" t="s">
        <v>469</v>
      </c>
    </row>
    <row r="1084" spans="37:41" x14ac:dyDescent="0.25">
      <c r="AK1084" t="s">
        <v>49</v>
      </c>
      <c r="AL1084" s="54" t="s">
        <v>246</v>
      </c>
      <c r="AM1084" t="s">
        <v>218</v>
      </c>
      <c r="AN1084" t="s">
        <v>485</v>
      </c>
      <c r="AO1084" t="s">
        <v>471</v>
      </c>
    </row>
    <row r="1085" spans="37:41" x14ac:dyDescent="0.25">
      <c r="AK1085" t="s">
        <v>49</v>
      </c>
      <c r="AL1085" s="54" t="s">
        <v>246</v>
      </c>
      <c r="AM1085" t="s">
        <v>224</v>
      </c>
      <c r="AN1085" t="s">
        <v>486</v>
      </c>
      <c r="AO1085" t="s">
        <v>473</v>
      </c>
    </row>
    <row r="1086" spans="37:41" x14ac:dyDescent="0.25">
      <c r="AK1086" t="s">
        <v>49</v>
      </c>
      <c r="AL1086" s="54" t="s">
        <v>246</v>
      </c>
      <c r="AM1086" s="37" t="s">
        <v>325</v>
      </c>
      <c r="AN1086" t="s">
        <v>484</v>
      </c>
      <c r="AO1086" t="s">
        <v>467</v>
      </c>
    </row>
    <row r="1087" spans="37:41" x14ac:dyDescent="0.25">
      <c r="AK1087" t="s">
        <v>49</v>
      </c>
      <c r="AL1087" s="54" t="s">
        <v>246</v>
      </c>
      <c r="AM1087" t="s">
        <v>228</v>
      </c>
      <c r="AN1087" t="s">
        <v>487</v>
      </c>
      <c r="AO1087" t="s">
        <v>471</v>
      </c>
    </row>
    <row r="1088" spans="37:41" x14ac:dyDescent="0.25">
      <c r="AK1088" t="s">
        <v>49</v>
      </c>
      <c r="AL1088" s="54" t="s">
        <v>246</v>
      </c>
      <c r="AM1088" t="s">
        <v>232</v>
      </c>
      <c r="AN1088" t="s">
        <v>488</v>
      </c>
      <c r="AO1088" t="s">
        <v>473</v>
      </c>
    </row>
    <row r="1089" spans="37:41" x14ac:dyDescent="0.25">
      <c r="AK1089" t="s">
        <v>49</v>
      </c>
      <c r="AL1089" s="54" t="s">
        <v>246</v>
      </c>
      <c r="AM1089" t="s">
        <v>237</v>
      </c>
      <c r="AN1089" t="s">
        <v>489</v>
      </c>
      <c r="AO1089" t="s">
        <v>475</v>
      </c>
    </row>
    <row r="1090" spans="37:41" x14ac:dyDescent="0.25">
      <c r="AK1090" t="s">
        <v>49</v>
      </c>
      <c r="AL1090" s="54" t="s">
        <v>246</v>
      </c>
      <c r="AM1090" t="s">
        <v>327</v>
      </c>
      <c r="AN1090" t="s">
        <v>490</v>
      </c>
      <c r="AO1090" t="s">
        <v>477</v>
      </c>
    </row>
    <row r="1091" spans="37:41" x14ac:dyDescent="0.25">
      <c r="AK1091" t="s">
        <v>49</v>
      </c>
      <c r="AL1091" s="54" t="s">
        <v>246</v>
      </c>
      <c r="AM1091" s="37" t="s">
        <v>329</v>
      </c>
      <c r="AN1091" t="s">
        <v>485</v>
      </c>
      <c r="AO1091" t="s">
        <v>467</v>
      </c>
    </row>
    <row r="1092" spans="37:41" x14ac:dyDescent="0.25">
      <c r="AK1092" t="s">
        <v>49</v>
      </c>
      <c r="AL1092" s="54" t="s">
        <v>246</v>
      </c>
      <c r="AM1092" s="37" t="s">
        <v>331</v>
      </c>
      <c r="AN1092" t="s">
        <v>487</v>
      </c>
      <c r="AO1092" t="s">
        <v>469</v>
      </c>
    </row>
    <row r="1093" spans="37:41" x14ac:dyDescent="0.25">
      <c r="AK1093" t="s">
        <v>49</v>
      </c>
      <c r="AL1093" s="54" t="s">
        <v>246</v>
      </c>
      <c r="AM1093" t="s">
        <v>242</v>
      </c>
      <c r="AN1093" t="s">
        <v>491</v>
      </c>
      <c r="AO1093" t="s">
        <v>473</v>
      </c>
    </row>
    <row r="1094" spans="37:41" x14ac:dyDescent="0.25">
      <c r="AK1094" t="s">
        <v>49</v>
      </c>
      <c r="AL1094" s="54" t="s">
        <v>246</v>
      </c>
      <c r="AM1094" t="s">
        <v>247</v>
      </c>
      <c r="AN1094" t="s">
        <v>492</v>
      </c>
      <c r="AO1094" t="s">
        <v>475</v>
      </c>
    </row>
    <row r="1095" spans="37:41" x14ac:dyDescent="0.25">
      <c r="AK1095" t="s">
        <v>49</v>
      </c>
      <c r="AL1095" s="54" t="s">
        <v>246</v>
      </c>
      <c r="AM1095" t="s">
        <v>251</v>
      </c>
      <c r="AN1095" t="s">
        <v>493</v>
      </c>
      <c r="AO1095" t="s">
        <v>477</v>
      </c>
    </row>
    <row r="1096" spans="37:41" x14ac:dyDescent="0.25">
      <c r="AK1096" t="s">
        <v>49</v>
      </c>
      <c r="AL1096" s="54" t="s">
        <v>246</v>
      </c>
      <c r="AM1096" s="37" t="s">
        <v>333</v>
      </c>
      <c r="AN1096" s="39" t="s">
        <v>486</v>
      </c>
      <c r="AO1096" t="s">
        <v>467</v>
      </c>
    </row>
    <row r="1097" spans="37:41" x14ac:dyDescent="0.25">
      <c r="AK1097" t="s">
        <v>49</v>
      </c>
      <c r="AL1097" s="54" t="s">
        <v>246</v>
      </c>
      <c r="AM1097" s="37" t="s">
        <v>335</v>
      </c>
      <c r="AN1097" s="39" t="s">
        <v>488</v>
      </c>
      <c r="AO1097" t="s">
        <v>469</v>
      </c>
    </row>
    <row r="1098" spans="37:41" x14ac:dyDescent="0.25">
      <c r="AK1098" t="s">
        <v>49</v>
      </c>
      <c r="AL1098" s="54" t="s">
        <v>246</v>
      </c>
      <c r="AM1098" s="37" t="s">
        <v>337</v>
      </c>
      <c r="AN1098" s="39" t="s">
        <v>491</v>
      </c>
      <c r="AO1098" t="s">
        <v>471</v>
      </c>
    </row>
    <row r="1099" spans="37:41" x14ac:dyDescent="0.25">
      <c r="AK1099" t="s">
        <v>49</v>
      </c>
      <c r="AL1099" s="54" t="s">
        <v>246</v>
      </c>
      <c r="AM1099" s="37" t="s">
        <v>255</v>
      </c>
      <c r="AN1099" s="39" t="s">
        <v>494</v>
      </c>
      <c r="AO1099" t="s">
        <v>475</v>
      </c>
    </row>
    <row r="1100" spans="37:41" x14ac:dyDescent="0.25">
      <c r="AK1100" t="s">
        <v>49</v>
      </c>
      <c r="AL1100" s="54" t="s">
        <v>246</v>
      </c>
      <c r="AM1100" t="s">
        <v>259</v>
      </c>
      <c r="AN1100" t="s">
        <v>495</v>
      </c>
      <c r="AO1100" t="s">
        <v>477</v>
      </c>
    </row>
    <row r="1101" spans="37:41" x14ac:dyDescent="0.25">
      <c r="AK1101" t="s">
        <v>49</v>
      </c>
      <c r="AL1101" s="54" t="s">
        <v>246</v>
      </c>
      <c r="AM1101" s="37" t="s">
        <v>263</v>
      </c>
      <c r="AN1101" s="39" t="s">
        <v>496</v>
      </c>
      <c r="AO1101" t="s">
        <v>479</v>
      </c>
    </row>
    <row r="1102" spans="37:41" x14ac:dyDescent="0.25">
      <c r="AK1102" t="s">
        <v>49</v>
      </c>
      <c r="AL1102" s="54" t="s">
        <v>246</v>
      </c>
      <c r="AM1102" t="s">
        <v>340</v>
      </c>
      <c r="AN1102" t="s">
        <v>497</v>
      </c>
      <c r="AO1102" t="s">
        <v>481</v>
      </c>
    </row>
    <row r="1103" spans="37:41" x14ac:dyDescent="0.25">
      <c r="AK1103" t="s">
        <v>49</v>
      </c>
      <c r="AL1103" s="54" t="s">
        <v>246</v>
      </c>
      <c r="AM1103" s="37" t="s">
        <v>342</v>
      </c>
      <c r="AN1103" s="39" t="s">
        <v>489</v>
      </c>
      <c r="AO1103" t="s">
        <v>469</v>
      </c>
    </row>
    <row r="1104" spans="37:41" x14ac:dyDescent="0.25">
      <c r="AK1104" t="s">
        <v>49</v>
      </c>
      <c r="AL1104" s="54" t="s">
        <v>246</v>
      </c>
      <c r="AM1104" s="37" t="s">
        <v>344</v>
      </c>
      <c r="AN1104" s="59" t="s">
        <v>492</v>
      </c>
      <c r="AO1104" t="s">
        <v>471</v>
      </c>
    </row>
    <row r="1105" spans="37:41" x14ac:dyDescent="0.25">
      <c r="AK1105" t="s">
        <v>49</v>
      </c>
      <c r="AL1105" s="54" t="s">
        <v>246</v>
      </c>
      <c r="AM1105" s="37" t="s">
        <v>346</v>
      </c>
      <c r="AN1105" s="39" t="s">
        <v>498</v>
      </c>
      <c r="AO1105" t="s">
        <v>473</v>
      </c>
    </row>
    <row r="1106" spans="37:41" x14ac:dyDescent="0.25">
      <c r="AK1106" t="s">
        <v>49</v>
      </c>
      <c r="AL1106" s="54" t="s">
        <v>246</v>
      </c>
      <c r="AM1106" t="s">
        <v>267</v>
      </c>
      <c r="AN1106" t="s">
        <v>499</v>
      </c>
      <c r="AO1106" t="s">
        <v>477</v>
      </c>
    </row>
    <row r="1107" spans="37:41" x14ac:dyDescent="0.25">
      <c r="AK1107" t="s">
        <v>49</v>
      </c>
      <c r="AL1107" s="54" t="s">
        <v>246</v>
      </c>
      <c r="AM1107" s="37" t="s">
        <v>271</v>
      </c>
      <c r="AN1107" s="39" t="s">
        <v>500</v>
      </c>
      <c r="AO1107" t="s">
        <v>479</v>
      </c>
    </row>
    <row r="1108" spans="37:41" x14ac:dyDescent="0.25">
      <c r="AK1108" t="s">
        <v>49</v>
      </c>
      <c r="AL1108" s="54" t="s">
        <v>246</v>
      </c>
      <c r="AM1108" t="s">
        <v>274</v>
      </c>
      <c r="AN1108" t="s">
        <v>501</v>
      </c>
      <c r="AO1108" t="s">
        <v>481</v>
      </c>
    </row>
    <row r="1109" spans="37:41" x14ac:dyDescent="0.25">
      <c r="AK1109" t="s">
        <v>49</v>
      </c>
      <c r="AL1109" s="54" t="s">
        <v>246</v>
      </c>
      <c r="AM1109" t="s">
        <v>348</v>
      </c>
      <c r="AN1109" t="s">
        <v>502</v>
      </c>
      <c r="AO1109" t="s">
        <v>483</v>
      </c>
    </row>
    <row r="1110" spans="37:41" x14ac:dyDescent="0.25">
      <c r="AK1110" t="s">
        <v>49</v>
      </c>
      <c r="AL1110" s="54" t="s">
        <v>246</v>
      </c>
      <c r="AM1110" s="37" t="s">
        <v>350</v>
      </c>
      <c r="AN1110" s="39" t="s">
        <v>490</v>
      </c>
      <c r="AO1110" t="s">
        <v>469</v>
      </c>
    </row>
    <row r="1111" spans="37:41" x14ac:dyDescent="0.25">
      <c r="AK1111" t="s">
        <v>49</v>
      </c>
      <c r="AL1111" s="54" t="s">
        <v>246</v>
      </c>
      <c r="AM1111" s="37" t="s">
        <v>352</v>
      </c>
      <c r="AN1111" s="39" t="s">
        <v>493</v>
      </c>
      <c r="AO1111" t="s">
        <v>471</v>
      </c>
    </row>
    <row r="1112" spans="37:41" x14ac:dyDescent="0.25">
      <c r="AK1112" t="s">
        <v>49</v>
      </c>
      <c r="AL1112" s="54" t="s">
        <v>246</v>
      </c>
      <c r="AM1112" s="37" t="s">
        <v>354</v>
      </c>
      <c r="AN1112" s="39" t="s">
        <v>495</v>
      </c>
      <c r="AO1112" t="s">
        <v>473</v>
      </c>
    </row>
    <row r="1113" spans="37:41" x14ac:dyDescent="0.25">
      <c r="AK1113" t="s">
        <v>49</v>
      </c>
      <c r="AL1113" s="54" t="s">
        <v>246</v>
      </c>
      <c r="AM1113" s="37" t="s">
        <v>356</v>
      </c>
      <c r="AN1113" s="39" t="s">
        <v>499</v>
      </c>
      <c r="AO1113" t="s">
        <v>475</v>
      </c>
    </row>
    <row r="1114" spans="37:41" x14ac:dyDescent="0.25">
      <c r="AK1114" t="s">
        <v>49</v>
      </c>
      <c r="AL1114" s="54" t="s">
        <v>246</v>
      </c>
      <c r="AM1114" t="s">
        <v>277</v>
      </c>
      <c r="AN1114" t="s">
        <v>503</v>
      </c>
      <c r="AO1114" t="s">
        <v>479</v>
      </c>
    </row>
    <row r="1115" spans="37:41" x14ac:dyDescent="0.25">
      <c r="AK1115" t="s">
        <v>49</v>
      </c>
      <c r="AL1115" s="54" t="s">
        <v>246</v>
      </c>
      <c r="AM1115" t="s">
        <v>281</v>
      </c>
      <c r="AN1115" t="s">
        <v>504</v>
      </c>
      <c r="AO1115" t="s">
        <v>481</v>
      </c>
    </row>
    <row r="1116" spans="37:41" x14ac:dyDescent="0.25">
      <c r="AK1116" t="s">
        <v>49</v>
      </c>
      <c r="AL1116" s="54" t="s">
        <v>246</v>
      </c>
      <c r="AM1116" t="s">
        <v>285</v>
      </c>
      <c r="AN1116" t="s">
        <v>505</v>
      </c>
      <c r="AO1116" t="s">
        <v>483</v>
      </c>
    </row>
    <row r="1117" spans="37:41" x14ac:dyDescent="0.25">
      <c r="AK1117" t="s">
        <v>49</v>
      </c>
      <c r="AL1117" s="54" t="s">
        <v>246</v>
      </c>
      <c r="AM1117" s="37" t="s">
        <v>358</v>
      </c>
      <c r="AN1117" s="39" t="s">
        <v>506</v>
      </c>
      <c r="AO1117" t="s">
        <v>471</v>
      </c>
    </row>
    <row r="1118" spans="37:41" x14ac:dyDescent="0.25">
      <c r="AK1118" t="s">
        <v>49</v>
      </c>
      <c r="AL1118" s="54" t="s">
        <v>246</v>
      </c>
      <c r="AM1118" s="37" t="s">
        <v>360</v>
      </c>
      <c r="AN1118" s="39" t="s">
        <v>507</v>
      </c>
      <c r="AO1118" t="s">
        <v>473</v>
      </c>
    </row>
    <row r="1119" spans="37:41" x14ac:dyDescent="0.25">
      <c r="AK1119" t="s">
        <v>49</v>
      </c>
      <c r="AL1119" s="54" t="s">
        <v>246</v>
      </c>
      <c r="AM1119" s="37" t="s">
        <v>362</v>
      </c>
      <c r="AN1119" s="39" t="s">
        <v>508</v>
      </c>
      <c r="AO1119" t="s">
        <v>475</v>
      </c>
    </row>
    <row r="1120" spans="37:41" x14ac:dyDescent="0.25">
      <c r="AK1120" t="s">
        <v>49</v>
      </c>
      <c r="AL1120" s="54" t="s">
        <v>246</v>
      </c>
      <c r="AM1120" s="37" t="s">
        <v>297</v>
      </c>
      <c r="AN1120" s="39" t="s">
        <v>503</v>
      </c>
      <c r="AO1120" t="s">
        <v>477</v>
      </c>
    </row>
    <row r="1121" spans="37:41" x14ac:dyDescent="0.25">
      <c r="AK1121" t="s">
        <v>49</v>
      </c>
      <c r="AL1121" s="54" t="s">
        <v>246</v>
      </c>
      <c r="AM1121" s="37" t="s">
        <v>288</v>
      </c>
      <c r="AN1121" s="39" t="s">
        <v>509</v>
      </c>
      <c r="AO1121" t="s">
        <v>481</v>
      </c>
    </row>
    <row r="1122" spans="37:41" x14ac:dyDescent="0.25">
      <c r="AK1122" t="s">
        <v>49</v>
      </c>
      <c r="AL1122" s="54" t="s">
        <v>246</v>
      </c>
      <c r="AM1122" t="s">
        <v>292</v>
      </c>
      <c r="AN1122" t="s">
        <v>510</v>
      </c>
      <c r="AO1122" t="s">
        <v>483</v>
      </c>
    </row>
    <row r="1123" spans="37:41" x14ac:dyDescent="0.25">
      <c r="AK1123" t="s">
        <v>49</v>
      </c>
      <c r="AL1123" s="54" t="s">
        <v>246</v>
      </c>
      <c r="AM1123" s="37" t="s">
        <v>364</v>
      </c>
      <c r="AN1123" s="39" t="s">
        <v>497</v>
      </c>
      <c r="AO1123" t="s">
        <v>473</v>
      </c>
    </row>
    <row r="1124" spans="37:41" x14ac:dyDescent="0.25">
      <c r="AK1124" t="s">
        <v>49</v>
      </c>
      <c r="AL1124" s="54" t="s">
        <v>246</v>
      </c>
      <c r="AM1124" s="37" t="s">
        <v>366</v>
      </c>
      <c r="AN1124" s="39" t="s">
        <v>501</v>
      </c>
      <c r="AO1124" t="s">
        <v>475</v>
      </c>
    </row>
    <row r="1125" spans="37:41" x14ac:dyDescent="0.25">
      <c r="AK1125" t="s">
        <v>49</v>
      </c>
      <c r="AL1125" s="54" t="s">
        <v>246</v>
      </c>
      <c r="AM1125" s="37" t="s">
        <v>310</v>
      </c>
      <c r="AN1125" s="39" t="s">
        <v>504</v>
      </c>
      <c r="AO1125" t="s">
        <v>477</v>
      </c>
    </row>
    <row r="1126" spans="37:41" x14ac:dyDescent="0.25">
      <c r="AK1126" t="s">
        <v>49</v>
      </c>
      <c r="AL1126" s="54" t="s">
        <v>246</v>
      </c>
      <c r="AM1126" s="37" t="s">
        <v>306</v>
      </c>
      <c r="AN1126" s="39" t="s">
        <v>511</v>
      </c>
      <c r="AO1126" t="s">
        <v>479</v>
      </c>
    </row>
    <row r="1127" spans="37:41" x14ac:dyDescent="0.25">
      <c r="AK1127" t="s">
        <v>49</v>
      </c>
      <c r="AL1127" s="54" t="s">
        <v>246</v>
      </c>
      <c r="AM1127" t="s">
        <v>302</v>
      </c>
      <c r="AN1127" t="s">
        <v>512</v>
      </c>
      <c r="AO1127" t="s">
        <v>483</v>
      </c>
    </row>
    <row r="1128" spans="37:41" x14ac:dyDescent="0.25">
      <c r="AK1128" t="s">
        <v>49</v>
      </c>
      <c r="AL1128" s="54" t="s">
        <v>246</v>
      </c>
      <c r="AM1128" s="37" t="s">
        <v>368</v>
      </c>
      <c r="AN1128" s="39" t="s">
        <v>513</v>
      </c>
      <c r="AO1128" t="s">
        <v>473</v>
      </c>
    </row>
    <row r="1129" spans="37:41" x14ac:dyDescent="0.25">
      <c r="AK1129" t="s">
        <v>49</v>
      </c>
      <c r="AL1129" s="54" t="s">
        <v>246</v>
      </c>
      <c r="AM1129" s="37" t="s">
        <v>370</v>
      </c>
      <c r="AN1129" s="39" t="s">
        <v>502</v>
      </c>
      <c r="AO1129" t="s">
        <v>475</v>
      </c>
    </row>
    <row r="1130" spans="37:41" x14ac:dyDescent="0.25">
      <c r="AK1130" t="s">
        <v>49</v>
      </c>
      <c r="AL1130" s="54" t="s">
        <v>246</v>
      </c>
      <c r="AM1130" s="37" t="s">
        <v>321</v>
      </c>
      <c r="AN1130" s="39" t="s">
        <v>505</v>
      </c>
      <c r="AO1130" t="s">
        <v>477</v>
      </c>
    </row>
    <row r="1131" spans="37:41" x14ac:dyDescent="0.25">
      <c r="AK1131" t="s">
        <v>49</v>
      </c>
      <c r="AL1131" s="54" t="s">
        <v>246</v>
      </c>
      <c r="AM1131" s="37" t="s">
        <v>318</v>
      </c>
      <c r="AN1131" s="39" t="s">
        <v>510</v>
      </c>
      <c r="AO1131" t="s">
        <v>479</v>
      </c>
    </row>
    <row r="1132" spans="37:41" x14ac:dyDescent="0.25">
      <c r="AK1132" t="s">
        <v>49</v>
      </c>
      <c r="AL1132" s="54" t="s">
        <v>246</v>
      </c>
      <c r="AM1132" s="37" t="s">
        <v>314</v>
      </c>
      <c r="AN1132" s="39" t="s">
        <v>512</v>
      </c>
      <c r="AO1132" t="s">
        <v>481</v>
      </c>
    </row>
    <row r="1134" spans="37:41" x14ac:dyDescent="0.25">
      <c r="AK1134" t="s">
        <v>49</v>
      </c>
      <c r="AL1134" t="s">
        <v>250</v>
      </c>
      <c r="AM1134" t="s">
        <v>50</v>
      </c>
      <c r="AN1134" t="s">
        <v>464</v>
      </c>
      <c r="AO1134" t="s">
        <v>465</v>
      </c>
    </row>
    <row r="1135" spans="37:41" x14ac:dyDescent="0.25">
      <c r="AK1135" t="s">
        <v>49</v>
      </c>
      <c r="AL1135" t="s">
        <v>250</v>
      </c>
      <c r="AM1135" t="s">
        <v>78</v>
      </c>
      <c r="AN1135" t="s">
        <v>466</v>
      </c>
      <c r="AO1135" t="s">
        <v>467</v>
      </c>
    </row>
    <row r="1136" spans="37:41" x14ac:dyDescent="0.25">
      <c r="AK1136" t="s">
        <v>49</v>
      </c>
      <c r="AL1136" t="s">
        <v>250</v>
      </c>
      <c r="AM1136" t="s">
        <v>100</v>
      </c>
      <c r="AN1136" t="s">
        <v>468</v>
      </c>
      <c r="AO1136" t="s">
        <v>469</v>
      </c>
    </row>
    <row r="1137" spans="37:41" x14ac:dyDescent="0.25">
      <c r="AK1137" t="s">
        <v>49</v>
      </c>
      <c r="AL1137" t="s">
        <v>250</v>
      </c>
      <c r="AM1137" t="s">
        <v>112</v>
      </c>
      <c r="AN1137" t="s">
        <v>470</v>
      </c>
      <c r="AO1137" t="s">
        <v>471</v>
      </c>
    </row>
    <row r="1138" spans="37:41" x14ac:dyDescent="0.25">
      <c r="AK1138" t="s">
        <v>49</v>
      </c>
      <c r="AL1138" t="s">
        <v>250</v>
      </c>
      <c r="AM1138" t="s">
        <v>127</v>
      </c>
      <c r="AN1138" t="s">
        <v>472</v>
      </c>
      <c r="AO1138" t="s">
        <v>473</v>
      </c>
    </row>
    <row r="1139" spans="37:41" x14ac:dyDescent="0.25">
      <c r="AK1139" t="s">
        <v>49</v>
      </c>
      <c r="AL1139" t="s">
        <v>250</v>
      </c>
      <c r="AM1139" t="s">
        <v>140</v>
      </c>
      <c r="AN1139" t="s">
        <v>474</v>
      </c>
      <c r="AO1139" t="s">
        <v>475</v>
      </c>
    </row>
    <row r="1140" spans="37:41" x14ac:dyDescent="0.25">
      <c r="AK1140" t="s">
        <v>49</v>
      </c>
      <c r="AL1140" t="s">
        <v>250</v>
      </c>
      <c r="AM1140" t="s">
        <v>152</v>
      </c>
      <c r="AN1140" t="s">
        <v>476</v>
      </c>
      <c r="AO1140" t="s">
        <v>477</v>
      </c>
    </row>
    <row r="1141" spans="37:41" x14ac:dyDescent="0.25">
      <c r="AK1141" t="s">
        <v>49</v>
      </c>
      <c r="AL1141" t="s">
        <v>250</v>
      </c>
      <c r="AM1141" t="s">
        <v>164</v>
      </c>
      <c r="AN1141" t="s">
        <v>478</v>
      </c>
      <c r="AO1141" t="s">
        <v>479</v>
      </c>
    </row>
    <row r="1142" spans="37:41" x14ac:dyDescent="0.25">
      <c r="AK1142" t="s">
        <v>49</v>
      </c>
      <c r="AL1142" t="s">
        <v>250</v>
      </c>
      <c r="AM1142" t="s">
        <v>179</v>
      </c>
      <c r="AN1142" t="s">
        <v>480</v>
      </c>
      <c r="AO1142" t="s">
        <v>481</v>
      </c>
    </row>
    <row r="1143" spans="37:41" x14ac:dyDescent="0.25">
      <c r="AK1143" t="s">
        <v>49</v>
      </c>
      <c r="AL1143" t="s">
        <v>250</v>
      </c>
      <c r="AM1143" t="s">
        <v>193</v>
      </c>
      <c r="AN1143" t="s">
        <v>482</v>
      </c>
      <c r="AO1143" t="s">
        <v>483</v>
      </c>
    </row>
    <row r="1144" spans="37:41" x14ac:dyDescent="0.25">
      <c r="AK1144" t="s">
        <v>49</v>
      </c>
      <c r="AL1144" t="s">
        <v>250</v>
      </c>
      <c r="AM1144" t="s">
        <v>206</v>
      </c>
      <c r="AN1144" t="s">
        <v>484</v>
      </c>
      <c r="AO1144" t="s">
        <v>469</v>
      </c>
    </row>
    <row r="1145" spans="37:41" x14ac:dyDescent="0.25">
      <c r="AK1145" t="s">
        <v>49</v>
      </c>
      <c r="AL1145" t="s">
        <v>250</v>
      </c>
      <c r="AM1145" t="s">
        <v>218</v>
      </c>
      <c r="AN1145" t="s">
        <v>485</v>
      </c>
      <c r="AO1145" t="s">
        <v>471</v>
      </c>
    </row>
    <row r="1146" spans="37:41" x14ac:dyDescent="0.25">
      <c r="AK1146" t="s">
        <v>49</v>
      </c>
      <c r="AL1146" t="s">
        <v>250</v>
      </c>
      <c r="AM1146" t="s">
        <v>224</v>
      </c>
      <c r="AN1146" t="s">
        <v>486</v>
      </c>
      <c r="AO1146" t="s">
        <v>473</v>
      </c>
    </row>
    <row r="1147" spans="37:41" x14ac:dyDescent="0.25">
      <c r="AK1147" t="s">
        <v>49</v>
      </c>
      <c r="AL1147" t="s">
        <v>250</v>
      </c>
      <c r="AM1147" s="37" t="s">
        <v>325</v>
      </c>
      <c r="AN1147" t="s">
        <v>484</v>
      </c>
      <c r="AO1147" t="s">
        <v>467</v>
      </c>
    </row>
    <row r="1148" spans="37:41" x14ac:dyDescent="0.25">
      <c r="AK1148" t="s">
        <v>49</v>
      </c>
      <c r="AL1148" t="s">
        <v>250</v>
      </c>
      <c r="AM1148" t="s">
        <v>228</v>
      </c>
      <c r="AN1148" t="s">
        <v>487</v>
      </c>
      <c r="AO1148" t="s">
        <v>471</v>
      </c>
    </row>
    <row r="1149" spans="37:41" x14ac:dyDescent="0.25">
      <c r="AK1149" t="s">
        <v>49</v>
      </c>
      <c r="AL1149" t="s">
        <v>250</v>
      </c>
      <c r="AM1149" t="s">
        <v>232</v>
      </c>
      <c r="AN1149" t="s">
        <v>488</v>
      </c>
      <c r="AO1149" t="s">
        <v>473</v>
      </c>
    </row>
    <row r="1150" spans="37:41" x14ac:dyDescent="0.25">
      <c r="AK1150" t="s">
        <v>49</v>
      </c>
      <c r="AL1150" t="s">
        <v>250</v>
      </c>
      <c r="AM1150" t="s">
        <v>237</v>
      </c>
      <c r="AN1150" t="s">
        <v>489</v>
      </c>
      <c r="AO1150" t="s">
        <v>475</v>
      </c>
    </row>
    <row r="1151" spans="37:41" x14ac:dyDescent="0.25">
      <c r="AK1151" t="s">
        <v>49</v>
      </c>
      <c r="AL1151" t="s">
        <v>250</v>
      </c>
      <c r="AM1151" t="s">
        <v>327</v>
      </c>
      <c r="AN1151" t="s">
        <v>490</v>
      </c>
      <c r="AO1151" t="s">
        <v>477</v>
      </c>
    </row>
    <row r="1152" spans="37:41" x14ac:dyDescent="0.25">
      <c r="AK1152" t="s">
        <v>49</v>
      </c>
      <c r="AL1152" t="s">
        <v>250</v>
      </c>
      <c r="AM1152" s="37" t="s">
        <v>329</v>
      </c>
      <c r="AN1152" t="s">
        <v>485</v>
      </c>
      <c r="AO1152" t="s">
        <v>467</v>
      </c>
    </row>
    <row r="1153" spans="37:41" x14ac:dyDescent="0.25">
      <c r="AK1153" t="s">
        <v>49</v>
      </c>
      <c r="AL1153" t="s">
        <v>250</v>
      </c>
      <c r="AM1153" s="37" t="s">
        <v>331</v>
      </c>
      <c r="AN1153" t="s">
        <v>487</v>
      </c>
      <c r="AO1153" t="s">
        <v>469</v>
      </c>
    </row>
    <row r="1154" spans="37:41" x14ac:dyDescent="0.25">
      <c r="AK1154" t="s">
        <v>49</v>
      </c>
      <c r="AL1154" t="s">
        <v>250</v>
      </c>
      <c r="AM1154" t="s">
        <v>242</v>
      </c>
      <c r="AN1154" t="s">
        <v>491</v>
      </c>
      <c r="AO1154" t="s">
        <v>473</v>
      </c>
    </row>
    <row r="1155" spans="37:41" x14ac:dyDescent="0.25">
      <c r="AK1155" t="s">
        <v>49</v>
      </c>
      <c r="AL1155" t="s">
        <v>250</v>
      </c>
      <c r="AM1155" t="s">
        <v>247</v>
      </c>
      <c r="AN1155" t="s">
        <v>492</v>
      </c>
      <c r="AO1155" t="s">
        <v>475</v>
      </c>
    </row>
    <row r="1156" spans="37:41" x14ac:dyDescent="0.25">
      <c r="AK1156" t="s">
        <v>49</v>
      </c>
      <c r="AL1156" t="s">
        <v>250</v>
      </c>
      <c r="AM1156" t="s">
        <v>251</v>
      </c>
      <c r="AN1156" t="s">
        <v>493</v>
      </c>
      <c r="AO1156" t="s">
        <v>477</v>
      </c>
    </row>
    <row r="1157" spans="37:41" x14ac:dyDescent="0.25">
      <c r="AK1157" t="s">
        <v>49</v>
      </c>
      <c r="AL1157" t="s">
        <v>250</v>
      </c>
      <c r="AM1157" s="37" t="s">
        <v>333</v>
      </c>
      <c r="AN1157" s="39" t="s">
        <v>486</v>
      </c>
      <c r="AO1157" t="s">
        <v>467</v>
      </c>
    </row>
    <row r="1158" spans="37:41" x14ac:dyDescent="0.25">
      <c r="AK1158" t="s">
        <v>49</v>
      </c>
      <c r="AL1158" t="s">
        <v>250</v>
      </c>
      <c r="AM1158" s="37" t="s">
        <v>335</v>
      </c>
      <c r="AN1158" s="39" t="s">
        <v>488</v>
      </c>
      <c r="AO1158" t="s">
        <v>469</v>
      </c>
    </row>
    <row r="1159" spans="37:41" x14ac:dyDescent="0.25">
      <c r="AK1159" t="s">
        <v>49</v>
      </c>
      <c r="AL1159" t="s">
        <v>250</v>
      </c>
      <c r="AM1159" s="37" t="s">
        <v>337</v>
      </c>
      <c r="AN1159" s="39" t="s">
        <v>491</v>
      </c>
      <c r="AO1159" t="s">
        <v>471</v>
      </c>
    </row>
    <row r="1160" spans="37:41" x14ac:dyDescent="0.25">
      <c r="AK1160" t="s">
        <v>49</v>
      </c>
      <c r="AL1160" t="s">
        <v>250</v>
      </c>
      <c r="AM1160" s="37" t="s">
        <v>255</v>
      </c>
      <c r="AN1160" s="39" t="s">
        <v>494</v>
      </c>
      <c r="AO1160" t="s">
        <v>475</v>
      </c>
    </row>
    <row r="1161" spans="37:41" x14ac:dyDescent="0.25">
      <c r="AK1161" t="s">
        <v>49</v>
      </c>
      <c r="AL1161" t="s">
        <v>250</v>
      </c>
      <c r="AM1161" t="s">
        <v>259</v>
      </c>
      <c r="AN1161" t="s">
        <v>495</v>
      </c>
      <c r="AO1161" t="s">
        <v>477</v>
      </c>
    </row>
    <row r="1162" spans="37:41" x14ac:dyDescent="0.25">
      <c r="AK1162" t="s">
        <v>49</v>
      </c>
      <c r="AL1162" t="s">
        <v>250</v>
      </c>
      <c r="AM1162" s="37" t="s">
        <v>263</v>
      </c>
      <c r="AN1162" s="39" t="s">
        <v>496</v>
      </c>
      <c r="AO1162" t="s">
        <v>479</v>
      </c>
    </row>
    <row r="1163" spans="37:41" x14ac:dyDescent="0.25">
      <c r="AK1163" t="s">
        <v>49</v>
      </c>
      <c r="AL1163" t="s">
        <v>250</v>
      </c>
      <c r="AM1163" t="s">
        <v>340</v>
      </c>
      <c r="AN1163" t="s">
        <v>497</v>
      </c>
      <c r="AO1163" t="s">
        <v>481</v>
      </c>
    </row>
    <row r="1164" spans="37:41" x14ac:dyDescent="0.25">
      <c r="AK1164" t="s">
        <v>49</v>
      </c>
      <c r="AL1164" t="s">
        <v>250</v>
      </c>
      <c r="AM1164" s="37" t="s">
        <v>342</v>
      </c>
      <c r="AN1164" s="39" t="s">
        <v>489</v>
      </c>
      <c r="AO1164" t="s">
        <v>469</v>
      </c>
    </row>
    <row r="1165" spans="37:41" x14ac:dyDescent="0.25">
      <c r="AK1165" t="s">
        <v>49</v>
      </c>
      <c r="AL1165" t="s">
        <v>250</v>
      </c>
      <c r="AM1165" s="37" t="s">
        <v>344</v>
      </c>
      <c r="AN1165" s="59" t="s">
        <v>492</v>
      </c>
      <c r="AO1165" t="s">
        <v>471</v>
      </c>
    </row>
    <row r="1166" spans="37:41" x14ac:dyDescent="0.25">
      <c r="AK1166" t="s">
        <v>49</v>
      </c>
      <c r="AL1166" t="s">
        <v>250</v>
      </c>
      <c r="AM1166" s="37" t="s">
        <v>346</v>
      </c>
      <c r="AN1166" s="39" t="s">
        <v>498</v>
      </c>
      <c r="AO1166" t="s">
        <v>473</v>
      </c>
    </row>
    <row r="1167" spans="37:41" x14ac:dyDescent="0.25">
      <c r="AK1167" t="s">
        <v>49</v>
      </c>
      <c r="AL1167" t="s">
        <v>250</v>
      </c>
      <c r="AM1167" t="s">
        <v>267</v>
      </c>
      <c r="AN1167" t="s">
        <v>499</v>
      </c>
      <c r="AO1167" t="s">
        <v>477</v>
      </c>
    </row>
    <row r="1168" spans="37:41" x14ac:dyDescent="0.25">
      <c r="AK1168" t="s">
        <v>49</v>
      </c>
      <c r="AL1168" t="s">
        <v>250</v>
      </c>
      <c r="AM1168" s="37" t="s">
        <v>271</v>
      </c>
      <c r="AN1168" s="39" t="s">
        <v>500</v>
      </c>
      <c r="AO1168" t="s">
        <v>479</v>
      </c>
    </row>
    <row r="1169" spans="37:41" x14ac:dyDescent="0.25">
      <c r="AK1169" t="s">
        <v>49</v>
      </c>
      <c r="AL1169" t="s">
        <v>250</v>
      </c>
      <c r="AM1169" t="s">
        <v>274</v>
      </c>
      <c r="AN1169" t="s">
        <v>501</v>
      </c>
      <c r="AO1169" t="s">
        <v>481</v>
      </c>
    </row>
    <row r="1170" spans="37:41" x14ac:dyDescent="0.25">
      <c r="AK1170" t="s">
        <v>49</v>
      </c>
      <c r="AL1170" t="s">
        <v>250</v>
      </c>
      <c r="AM1170" t="s">
        <v>348</v>
      </c>
      <c r="AN1170" t="s">
        <v>502</v>
      </c>
      <c r="AO1170" t="s">
        <v>483</v>
      </c>
    </row>
    <row r="1171" spans="37:41" x14ac:dyDescent="0.25">
      <c r="AK1171" t="s">
        <v>49</v>
      </c>
      <c r="AL1171" t="s">
        <v>250</v>
      </c>
      <c r="AM1171" s="37" t="s">
        <v>350</v>
      </c>
      <c r="AN1171" s="39" t="s">
        <v>490</v>
      </c>
      <c r="AO1171" t="s">
        <v>469</v>
      </c>
    </row>
    <row r="1172" spans="37:41" x14ac:dyDescent="0.25">
      <c r="AK1172" t="s">
        <v>49</v>
      </c>
      <c r="AL1172" t="s">
        <v>250</v>
      </c>
      <c r="AM1172" s="37" t="s">
        <v>352</v>
      </c>
      <c r="AN1172" s="39" t="s">
        <v>493</v>
      </c>
      <c r="AO1172" t="s">
        <v>471</v>
      </c>
    </row>
    <row r="1173" spans="37:41" x14ac:dyDescent="0.25">
      <c r="AK1173" t="s">
        <v>49</v>
      </c>
      <c r="AL1173" t="s">
        <v>250</v>
      </c>
      <c r="AM1173" s="37" t="s">
        <v>354</v>
      </c>
      <c r="AN1173" s="39" t="s">
        <v>495</v>
      </c>
      <c r="AO1173" t="s">
        <v>473</v>
      </c>
    </row>
    <row r="1174" spans="37:41" x14ac:dyDescent="0.25">
      <c r="AK1174" t="s">
        <v>49</v>
      </c>
      <c r="AL1174" t="s">
        <v>250</v>
      </c>
      <c r="AM1174" s="37" t="s">
        <v>356</v>
      </c>
      <c r="AN1174" s="39" t="s">
        <v>499</v>
      </c>
      <c r="AO1174" t="s">
        <v>475</v>
      </c>
    </row>
    <row r="1175" spans="37:41" x14ac:dyDescent="0.25">
      <c r="AK1175" t="s">
        <v>49</v>
      </c>
      <c r="AL1175" t="s">
        <v>250</v>
      </c>
      <c r="AM1175" t="s">
        <v>277</v>
      </c>
      <c r="AN1175" t="s">
        <v>503</v>
      </c>
      <c r="AO1175" t="s">
        <v>479</v>
      </c>
    </row>
    <row r="1176" spans="37:41" x14ac:dyDescent="0.25">
      <c r="AK1176" t="s">
        <v>49</v>
      </c>
      <c r="AL1176" t="s">
        <v>250</v>
      </c>
      <c r="AM1176" t="s">
        <v>281</v>
      </c>
      <c r="AN1176" t="s">
        <v>504</v>
      </c>
      <c r="AO1176" t="s">
        <v>481</v>
      </c>
    </row>
    <row r="1177" spans="37:41" x14ac:dyDescent="0.25">
      <c r="AK1177" t="s">
        <v>49</v>
      </c>
      <c r="AL1177" t="s">
        <v>250</v>
      </c>
      <c r="AM1177" t="s">
        <v>285</v>
      </c>
      <c r="AN1177" t="s">
        <v>505</v>
      </c>
      <c r="AO1177" t="s">
        <v>483</v>
      </c>
    </row>
    <row r="1178" spans="37:41" x14ac:dyDescent="0.25">
      <c r="AK1178" t="s">
        <v>49</v>
      </c>
      <c r="AL1178" t="s">
        <v>250</v>
      </c>
      <c r="AM1178" s="37" t="s">
        <v>358</v>
      </c>
      <c r="AN1178" s="39" t="s">
        <v>506</v>
      </c>
      <c r="AO1178" t="s">
        <v>471</v>
      </c>
    </row>
    <row r="1179" spans="37:41" x14ac:dyDescent="0.25">
      <c r="AK1179" t="s">
        <v>49</v>
      </c>
      <c r="AL1179" t="s">
        <v>250</v>
      </c>
      <c r="AM1179" s="37" t="s">
        <v>360</v>
      </c>
      <c r="AN1179" s="39" t="s">
        <v>507</v>
      </c>
      <c r="AO1179" t="s">
        <v>473</v>
      </c>
    </row>
    <row r="1180" spans="37:41" x14ac:dyDescent="0.25">
      <c r="AK1180" t="s">
        <v>49</v>
      </c>
      <c r="AL1180" t="s">
        <v>250</v>
      </c>
      <c r="AM1180" s="37" t="s">
        <v>362</v>
      </c>
      <c r="AN1180" s="39" t="s">
        <v>508</v>
      </c>
      <c r="AO1180" t="s">
        <v>475</v>
      </c>
    </row>
    <row r="1181" spans="37:41" x14ac:dyDescent="0.25">
      <c r="AK1181" t="s">
        <v>49</v>
      </c>
      <c r="AL1181" t="s">
        <v>250</v>
      </c>
      <c r="AM1181" s="37" t="s">
        <v>297</v>
      </c>
      <c r="AN1181" s="39" t="s">
        <v>503</v>
      </c>
      <c r="AO1181" t="s">
        <v>477</v>
      </c>
    </row>
    <row r="1182" spans="37:41" x14ac:dyDescent="0.25">
      <c r="AK1182" t="s">
        <v>49</v>
      </c>
      <c r="AL1182" t="s">
        <v>250</v>
      </c>
      <c r="AM1182" s="37" t="s">
        <v>288</v>
      </c>
      <c r="AN1182" s="39" t="s">
        <v>509</v>
      </c>
      <c r="AO1182" t="s">
        <v>481</v>
      </c>
    </row>
    <row r="1183" spans="37:41" x14ac:dyDescent="0.25">
      <c r="AK1183" t="s">
        <v>49</v>
      </c>
      <c r="AL1183" t="s">
        <v>250</v>
      </c>
      <c r="AM1183" t="s">
        <v>292</v>
      </c>
      <c r="AN1183" t="s">
        <v>510</v>
      </c>
      <c r="AO1183" t="s">
        <v>483</v>
      </c>
    </row>
    <row r="1184" spans="37:41" x14ac:dyDescent="0.25">
      <c r="AK1184" t="s">
        <v>49</v>
      </c>
      <c r="AL1184" t="s">
        <v>250</v>
      </c>
      <c r="AM1184" s="37" t="s">
        <v>364</v>
      </c>
      <c r="AN1184" s="39" t="s">
        <v>497</v>
      </c>
      <c r="AO1184" t="s">
        <v>473</v>
      </c>
    </row>
    <row r="1185" spans="37:41" x14ac:dyDescent="0.25">
      <c r="AK1185" t="s">
        <v>49</v>
      </c>
      <c r="AL1185" t="s">
        <v>250</v>
      </c>
      <c r="AM1185" s="37" t="s">
        <v>366</v>
      </c>
      <c r="AN1185" s="39" t="s">
        <v>501</v>
      </c>
      <c r="AO1185" t="s">
        <v>475</v>
      </c>
    </row>
    <row r="1186" spans="37:41" x14ac:dyDescent="0.25">
      <c r="AK1186" t="s">
        <v>49</v>
      </c>
      <c r="AL1186" t="s">
        <v>250</v>
      </c>
      <c r="AM1186" s="37" t="s">
        <v>310</v>
      </c>
      <c r="AN1186" s="39" t="s">
        <v>504</v>
      </c>
      <c r="AO1186" t="s">
        <v>477</v>
      </c>
    </row>
    <row r="1187" spans="37:41" x14ac:dyDescent="0.25">
      <c r="AK1187" t="s">
        <v>49</v>
      </c>
      <c r="AL1187" t="s">
        <v>250</v>
      </c>
      <c r="AM1187" s="37" t="s">
        <v>306</v>
      </c>
      <c r="AN1187" s="39" t="s">
        <v>511</v>
      </c>
      <c r="AO1187" t="s">
        <v>479</v>
      </c>
    </row>
    <row r="1188" spans="37:41" x14ac:dyDescent="0.25">
      <c r="AK1188" t="s">
        <v>49</v>
      </c>
      <c r="AL1188" t="s">
        <v>250</v>
      </c>
      <c r="AM1188" t="s">
        <v>302</v>
      </c>
      <c r="AN1188" t="s">
        <v>512</v>
      </c>
      <c r="AO1188" t="s">
        <v>483</v>
      </c>
    </row>
    <row r="1189" spans="37:41" x14ac:dyDescent="0.25">
      <c r="AK1189" t="s">
        <v>49</v>
      </c>
      <c r="AL1189" t="s">
        <v>250</v>
      </c>
      <c r="AM1189" s="37" t="s">
        <v>368</v>
      </c>
      <c r="AN1189" s="39" t="s">
        <v>513</v>
      </c>
      <c r="AO1189" t="s">
        <v>473</v>
      </c>
    </row>
    <row r="1190" spans="37:41" x14ac:dyDescent="0.25">
      <c r="AK1190" t="s">
        <v>49</v>
      </c>
      <c r="AL1190" t="s">
        <v>250</v>
      </c>
      <c r="AM1190" s="37" t="s">
        <v>370</v>
      </c>
      <c r="AN1190" s="39" t="s">
        <v>502</v>
      </c>
      <c r="AO1190" t="s">
        <v>475</v>
      </c>
    </row>
    <row r="1191" spans="37:41" x14ac:dyDescent="0.25">
      <c r="AK1191" t="s">
        <v>49</v>
      </c>
      <c r="AL1191" t="s">
        <v>250</v>
      </c>
      <c r="AM1191" s="37" t="s">
        <v>321</v>
      </c>
      <c r="AN1191" s="39" t="s">
        <v>505</v>
      </c>
      <c r="AO1191" t="s">
        <v>477</v>
      </c>
    </row>
    <row r="1192" spans="37:41" x14ac:dyDescent="0.25">
      <c r="AK1192" t="s">
        <v>49</v>
      </c>
      <c r="AL1192" t="s">
        <v>250</v>
      </c>
      <c r="AM1192" s="37" t="s">
        <v>318</v>
      </c>
      <c r="AN1192" s="39" t="s">
        <v>510</v>
      </c>
      <c r="AO1192" t="s">
        <v>479</v>
      </c>
    </row>
    <row r="1193" spans="37:41" x14ac:dyDescent="0.25">
      <c r="AK1193" t="s">
        <v>49</v>
      </c>
      <c r="AL1193" t="s">
        <v>250</v>
      </c>
      <c r="AM1193" s="37" t="s">
        <v>314</v>
      </c>
      <c r="AN1193" s="39" t="s">
        <v>512</v>
      </c>
      <c r="AO1193" t="s">
        <v>481</v>
      </c>
    </row>
    <row r="1195" spans="37:41" x14ac:dyDescent="0.25">
      <c r="AK1195" t="s">
        <v>49</v>
      </c>
      <c r="AL1195" t="s">
        <v>254</v>
      </c>
      <c r="AM1195" t="s">
        <v>50</v>
      </c>
      <c r="AN1195" t="s">
        <v>464</v>
      </c>
      <c r="AO1195" t="s">
        <v>465</v>
      </c>
    </row>
    <row r="1196" spans="37:41" x14ac:dyDescent="0.25">
      <c r="AK1196" t="s">
        <v>49</v>
      </c>
      <c r="AL1196" t="s">
        <v>254</v>
      </c>
      <c r="AM1196" t="s">
        <v>78</v>
      </c>
      <c r="AN1196" t="s">
        <v>466</v>
      </c>
      <c r="AO1196" t="s">
        <v>467</v>
      </c>
    </row>
    <row r="1197" spans="37:41" x14ac:dyDescent="0.25">
      <c r="AK1197" t="s">
        <v>49</v>
      </c>
      <c r="AL1197" t="s">
        <v>254</v>
      </c>
      <c r="AM1197" t="s">
        <v>100</v>
      </c>
      <c r="AN1197" t="s">
        <v>468</v>
      </c>
      <c r="AO1197" t="s">
        <v>469</v>
      </c>
    </row>
    <row r="1198" spans="37:41" x14ac:dyDescent="0.25">
      <c r="AK1198" t="s">
        <v>49</v>
      </c>
      <c r="AL1198" t="s">
        <v>254</v>
      </c>
      <c r="AM1198" t="s">
        <v>112</v>
      </c>
      <c r="AN1198" t="s">
        <v>470</v>
      </c>
      <c r="AO1198" t="s">
        <v>471</v>
      </c>
    </row>
    <row r="1199" spans="37:41" x14ac:dyDescent="0.25">
      <c r="AK1199" t="s">
        <v>49</v>
      </c>
      <c r="AL1199" t="s">
        <v>254</v>
      </c>
      <c r="AM1199" t="s">
        <v>127</v>
      </c>
      <c r="AN1199" t="s">
        <v>472</v>
      </c>
      <c r="AO1199" t="s">
        <v>473</v>
      </c>
    </row>
    <row r="1200" spans="37:41" x14ac:dyDescent="0.25">
      <c r="AK1200" t="s">
        <v>49</v>
      </c>
      <c r="AL1200" t="s">
        <v>254</v>
      </c>
      <c r="AM1200" t="s">
        <v>140</v>
      </c>
      <c r="AN1200" t="s">
        <v>474</v>
      </c>
      <c r="AO1200" t="s">
        <v>475</v>
      </c>
    </row>
    <row r="1201" spans="37:41" x14ac:dyDescent="0.25">
      <c r="AK1201" t="s">
        <v>49</v>
      </c>
      <c r="AL1201" t="s">
        <v>254</v>
      </c>
      <c r="AM1201" t="s">
        <v>152</v>
      </c>
      <c r="AN1201" t="s">
        <v>476</v>
      </c>
      <c r="AO1201" t="s">
        <v>477</v>
      </c>
    </row>
    <row r="1202" spans="37:41" x14ac:dyDescent="0.25">
      <c r="AK1202" t="s">
        <v>49</v>
      </c>
      <c r="AL1202" t="s">
        <v>254</v>
      </c>
      <c r="AM1202" t="s">
        <v>164</v>
      </c>
      <c r="AN1202" t="s">
        <v>478</v>
      </c>
      <c r="AO1202" t="s">
        <v>479</v>
      </c>
    </row>
    <row r="1203" spans="37:41" x14ac:dyDescent="0.25">
      <c r="AK1203" t="s">
        <v>49</v>
      </c>
      <c r="AL1203" t="s">
        <v>254</v>
      </c>
      <c r="AM1203" t="s">
        <v>179</v>
      </c>
      <c r="AN1203" t="s">
        <v>480</v>
      </c>
      <c r="AO1203" t="s">
        <v>481</v>
      </c>
    </row>
    <row r="1204" spans="37:41" x14ac:dyDescent="0.25">
      <c r="AK1204" t="s">
        <v>49</v>
      </c>
      <c r="AL1204" t="s">
        <v>254</v>
      </c>
      <c r="AM1204" t="s">
        <v>193</v>
      </c>
      <c r="AN1204" t="s">
        <v>482</v>
      </c>
      <c r="AO1204" t="s">
        <v>483</v>
      </c>
    </row>
    <row r="1205" spans="37:41" x14ac:dyDescent="0.25">
      <c r="AK1205" t="s">
        <v>49</v>
      </c>
      <c r="AL1205" t="s">
        <v>254</v>
      </c>
      <c r="AM1205" t="s">
        <v>206</v>
      </c>
      <c r="AN1205" t="s">
        <v>484</v>
      </c>
      <c r="AO1205" t="s">
        <v>469</v>
      </c>
    </row>
    <row r="1206" spans="37:41" x14ac:dyDescent="0.25">
      <c r="AK1206" t="s">
        <v>49</v>
      </c>
      <c r="AL1206" t="s">
        <v>254</v>
      </c>
      <c r="AM1206" t="s">
        <v>218</v>
      </c>
      <c r="AN1206" t="s">
        <v>485</v>
      </c>
      <c r="AO1206" t="s">
        <v>471</v>
      </c>
    </row>
    <row r="1207" spans="37:41" x14ac:dyDescent="0.25">
      <c r="AK1207" t="s">
        <v>49</v>
      </c>
      <c r="AL1207" t="s">
        <v>254</v>
      </c>
      <c r="AM1207" t="s">
        <v>224</v>
      </c>
      <c r="AN1207" t="s">
        <v>486</v>
      </c>
      <c r="AO1207" t="s">
        <v>473</v>
      </c>
    </row>
    <row r="1208" spans="37:41" x14ac:dyDescent="0.25">
      <c r="AK1208" t="s">
        <v>49</v>
      </c>
      <c r="AL1208" t="s">
        <v>254</v>
      </c>
      <c r="AM1208" s="37" t="s">
        <v>325</v>
      </c>
      <c r="AN1208" t="s">
        <v>484</v>
      </c>
      <c r="AO1208" t="s">
        <v>467</v>
      </c>
    </row>
    <row r="1209" spans="37:41" x14ac:dyDescent="0.25">
      <c r="AK1209" t="s">
        <v>49</v>
      </c>
      <c r="AL1209" t="s">
        <v>254</v>
      </c>
      <c r="AM1209" t="s">
        <v>228</v>
      </c>
      <c r="AN1209" t="s">
        <v>487</v>
      </c>
      <c r="AO1209" t="s">
        <v>471</v>
      </c>
    </row>
    <row r="1210" spans="37:41" x14ac:dyDescent="0.25">
      <c r="AK1210" t="s">
        <v>49</v>
      </c>
      <c r="AL1210" t="s">
        <v>254</v>
      </c>
      <c r="AM1210" t="s">
        <v>232</v>
      </c>
      <c r="AN1210" t="s">
        <v>488</v>
      </c>
      <c r="AO1210" t="s">
        <v>473</v>
      </c>
    </row>
    <row r="1211" spans="37:41" x14ac:dyDescent="0.25">
      <c r="AK1211" t="s">
        <v>49</v>
      </c>
      <c r="AL1211" t="s">
        <v>254</v>
      </c>
      <c r="AM1211" t="s">
        <v>237</v>
      </c>
      <c r="AN1211" t="s">
        <v>489</v>
      </c>
      <c r="AO1211" t="s">
        <v>475</v>
      </c>
    </row>
    <row r="1212" spans="37:41" x14ac:dyDescent="0.25">
      <c r="AK1212" t="s">
        <v>49</v>
      </c>
      <c r="AL1212" t="s">
        <v>254</v>
      </c>
      <c r="AM1212" t="s">
        <v>327</v>
      </c>
      <c r="AN1212" t="s">
        <v>490</v>
      </c>
      <c r="AO1212" t="s">
        <v>477</v>
      </c>
    </row>
    <row r="1213" spans="37:41" x14ac:dyDescent="0.25">
      <c r="AK1213" t="s">
        <v>49</v>
      </c>
      <c r="AL1213" t="s">
        <v>254</v>
      </c>
      <c r="AM1213" s="37" t="s">
        <v>329</v>
      </c>
      <c r="AN1213" t="s">
        <v>485</v>
      </c>
      <c r="AO1213" t="s">
        <v>467</v>
      </c>
    </row>
    <row r="1214" spans="37:41" x14ac:dyDescent="0.25">
      <c r="AK1214" t="s">
        <v>49</v>
      </c>
      <c r="AL1214" t="s">
        <v>254</v>
      </c>
      <c r="AM1214" s="37" t="s">
        <v>331</v>
      </c>
      <c r="AN1214" t="s">
        <v>487</v>
      </c>
      <c r="AO1214" t="s">
        <v>469</v>
      </c>
    </row>
    <row r="1215" spans="37:41" x14ac:dyDescent="0.25">
      <c r="AK1215" t="s">
        <v>49</v>
      </c>
      <c r="AL1215" t="s">
        <v>254</v>
      </c>
      <c r="AM1215" t="s">
        <v>242</v>
      </c>
      <c r="AN1215" t="s">
        <v>491</v>
      </c>
      <c r="AO1215" t="s">
        <v>473</v>
      </c>
    </row>
    <row r="1216" spans="37:41" x14ac:dyDescent="0.25">
      <c r="AK1216" t="s">
        <v>49</v>
      </c>
      <c r="AL1216" t="s">
        <v>254</v>
      </c>
      <c r="AM1216" t="s">
        <v>247</v>
      </c>
      <c r="AN1216" t="s">
        <v>492</v>
      </c>
      <c r="AO1216" t="s">
        <v>475</v>
      </c>
    </row>
    <row r="1217" spans="37:41" x14ac:dyDescent="0.25">
      <c r="AK1217" t="s">
        <v>49</v>
      </c>
      <c r="AL1217" t="s">
        <v>254</v>
      </c>
      <c r="AM1217" t="s">
        <v>251</v>
      </c>
      <c r="AN1217" t="s">
        <v>493</v>
      </c>
      <c r="AO1217" t="s">
        <v>477</v>
      </c>
    </row>
    <row r="1218" spans="37:41" x14ac:dyDescent="0.25">
      <c r="AK1218" t="s">
        <v>49</v>
      </c>
      <c r="AL1218" t="s">
        <v>254</v>
      </c>
      <c r="AM1218" s="37" t="s">
        <v>333</v>
      </c>
      <c r="AN1218" s="39" t="s">
        <v>486</v>
      </c>
      <c r="AO1218" t="s">
        <v>467</v>
      </c>
    </row>
    <row r="1219" spans="37:41" x14ac:dyDescent="0.25">
      <c r="AK1219" t="s">
        <v>49</v>
      </c>
      <c r="AL1219" t="s">
        <v>254</v>
      </c>
      <c r="AM1219" s="37" t="s">
        <v>335</v>
      </c>
      <c r="AN1219" s="39" t="s">
        <v>488</v>
      </c>
      <c r="AO1219" t="s">
        <v>469</v>
      </c>
    </row>
    <row r="1220" spans="37:41" x14ac:dyDescent="0.25">
      <c r="AK1220" t="s">
        <v>49</v>
      </c>
      <c r="AL1220" t="s">
        <v>254</v>
      </c>
      <c r="AM1220" s="37" t="s">
        <v>337</v>
      </c>
      <c r="AN1220" s="39" t="s">
        <v>491</v>
      </c>
      <c r="AO1220" t="s">
        <v>471</v>
      </c>
    </row>
    <row r="1221" spans="37:41" x14ac:dyDescent="0.25">
      <c r="AK1221" t="s">
        <v>49</v>
      </c>
      <c r="AL1221" t="s">
        <v>254</v>
      </c>
      <c r="AM1221" s="37" t="s">
        <v>255</v>
      </c>
      <c r="AN1221" s="39" t="s">
        <v>494</v>
      </c>
      <c r="AO1221" t="s">
        <v>475</v>
      </c>
    </row>
    <row r="1222" spans="37:41" x14ac:dyDescent="0.25">
      <c r="AK1222" t="s">
        <v>49</v>
      </c>
      <c r="AL1222" t="s">
        <v>254</v>
      </c>
      <c r="AM1222" t="s">
        <v>259</v>
      </c>
      <c r="AN1222" t="s">
        <v>495</v>
      </c>
      <c r="AO1222" t="s">
        <v>477</v>
      </c>
    </row>
    <row r="1223" spans="37:41" x14ac:dyDescent="0.25">
      <c r="AK1223" t="s">
        <v>49</v>
      </c>
      <c r="AL1223" t="s">
        <v>254</v>
      </c>
      <c r="AM1223" s="37" t="s">
        <v>263</v>
      </c>
      <c r="AN1223" s="39" t="s">
        <v>496</v>
      </c>
      <c r="AO1223" t="s">
        <v>479</v>
      </c>
    </row>
    <row r="1224" spans="37:41" x14ac:dyDescent="0.25">
      <c r="AK1224" t="s">
        <v>49</v>
      </c>
      <c r="AL1224" t="s">
        <v>254</v>
      </c>
      <c r="AM1224" t="s">
        <v>340</v>
      </c>
      <c r="AN1224" t="s">
        <v>497</v>
      </c>
      <c r="AO1224" t="s">
        <v>481</v>
      </c>
    </row>
    <row r="1225" spans="37:41" x14ac:dyDescent="0.25">
      <c r="AK1225" t="s">
        <v>49</v>
      </c>
      <c r="AL1225" t="s">
        <v>254</v>
      </c>
      <c r="AM1225" s="37" t="s">
        <v>342</v>
      </c>
      <c r="AN1225" s="39" t="s">
        <v>489</v>
      </c>
      <c r="AO1225" t="s">
        <v>469</v>
      </c>
    </row>
    <row r="1226" spans="37:41" x14ac:dyDescent="0.25">
      <c r="AK1226" t="s">
        <v>49</v>
      </c>
      <c r="AL1226" t="s">
        <v>254</v>
      </c>
      <c r="AM1226" s="37" t="s">
        <v>344</v>
      </c>
      <c r="AN1226" s="59" t="s">
        <v>492</v>
      </c>
      <c r="AO1226" t="s">
        <v>471</v>
      </c>
    </row>
    <row r="1227" spans="37:41" x14ac:dyDescent="0.25">
      <c r="AK1227" t="s">
        <v>49</v>
      </c>
      <c r="AL1227" t="s">
        <v>254</v>
      </c>
      <c r="AM1227" s="37" t="s">
        <v>346</v>
      </c>
      <c r="AN1227" s="39" t="s">
        <v>498</v>
      </c>
      <c r="AO1227" t="s">
        <v>473</v>
      </c>
    </row>
    <row r="1228" spans="37:41" x14ac:dyDescent="0.25">
      <c r="AK1228" t="s">
        <v>49</v>
      </c>
      <c r="AL1228" t="s">
        <v>254</v>
      </c>
      <c r="AM1228" t="s">
        <v>267</v>
      </c>
      <c r="AN1228" t="s">
        <v>499</v>
      </c>
      <c r="AO1228" t="s">
        <v>477</v>
      </c>
    </row>
    <row r="1229" spans="37:41" x14ac:dyDescent="0.25">
      <c r="AK1229" t="s">
        <v>49</v>
      </c>
      <c r="AL1229" t="s">
        <v>254</v>
      </c>
      <c r="AM1229" s="37" t="s">
        <v>271</v>
      </c>
      <c r="AN1229" s="39" t="s">
        <v>500</v>
      </c>
      <c r="AO1229" t="s">
        <v>479</v>
      </c>
    </row>
    <row r="1230" spans="37:41" x14ac:dyDescent="0.25">
      <c r="AK1230" t="s">
        <v>49</v>
      </c>
      <c r="AL1230" t="s">
        <v>254</v>
      </c>
      <c r="AM1230" t="s">
        <v>274</v>
      </c>
      <c r="AN1230" t="s">
        <v>501</v>
      </c>
      <c r="AO1230" t="s">
        <v>481</v>
      </c>
    </row>
    <row r="1231" spans="37:41" x14ac:dyDescent="0.25">
      <c r="AK1231" t="s">
        <v>49</v>
      </c>
      <c r="AL1231" t="s">
        <v>254</v>
      </c>
      <c r="AM1231" t="s">
        <v>348</v>
      </c>
      <c r="AN1231" t="s">
        <v>502</v>
      </c>
      <c r="AO1231" t="s">
        <v>483</v>
      </c>
    </row>
    <row r="1232" spans="37:41" x14ac:dyDescent="0.25">
      <c r="AK1232" t="s">
        <v>49</v>
      </c>
      <c r="AL1232" t="s">
        <v>254</v>
      </c>
      <c r="AM1232" s="37" t="s">
        <v>350</v>
      </c>
      <c r="AN1232" s="39" t="s">
        <v>490</v>
      </c>
      <c r="AO1232" t="s">
        <v>469</v>
      </c>
    </row>
    <row r="1233" spans="37:41" x14ac:dyDescent="0.25">
      <c r="AK1233" t="s">
        <v>49</v>
      </c>
      <c r="AL1233" t="s">
        <v>254</v>
      </c>
      <c r="AM1233" s="37" t="s">
        <v>352</v>
      </c>
      <c r="AN1233" s="39" t="s">
        <v>493</v>
      </c>
      <c r="AO1233" t="s">
        <v>471</v>
      </c>
    </row>
    <row r="1234" spans="37:41" x14ac:dyDescent="0.25">
      <c r="AK1234" t="s">
        <v>49</v>
      </c>
      <c r="AL1234" t="s">
        <v>254</v>
      </c>
      <c r="AM1234" s="37" t="s">
        <v>354</v>
      </c>
      <c r="AN1234" s="39" t="s">
        <v>495</v>
      </c>
      <c r="AO1234" t="s">
        <v>473</v>
      </c>
    </row>
    <row r="1235" spans="37:41" x14ac:dyDescent="0.25">
      <c r="AK1235" t="s">
        <v>49</v>
      </c>
      <c r="AL1235" t="s">
        <v>254</v>
      </c>
      <c r="AM1235" s="37" t="s">
        <v>356</v>
      </c>
      <c r="AN1235" s="39" t="s">
        <v>499</v>
      </c>
      <c r="AO1235" t="s">
        <v>475</v>
      </c>
    </row>
    <row r="1236" spans="37:41" x14ac:dyDescent="0.25">
      <c r="AK1236" t="s">
        <v>49</v>
      </c>
      <c r="AL1236" t="s">
        <v>254</v>
      </c>
      <c r="AM1236" t="s">
        <v>277</v>
      </c>
      <c r="AN1236" t="s">
        <v>503</v>
      </c>
      <c r="AO1236" t="s">
        <v>479</v>
      </c>
    </row>
    <row r="1237" spans="37:41" x14ac:dyDescent="0.25">
      <c r="AK1237" t="s">
        <v>49</v>
      </c>
      <c r="AL1237" t="s">
        <v>254</v>
      </c>
      <c r="AM1237" t="s">
        <v>281</v>
      </c>
      <c r="AN1237" t="s">
        <v>504</v>
      </c>
      <c r="AO1237" t="s">
        <v>481</v>
      </c>
    </row>
    <row r="1238" spans="37:41" x14ac:dyDescent="0.25">
      <c r="AK1238" t="s">
        <v>49</v>
      </c>
      <c r="AL1238" t="s">
        <v>254</v>
      </c>
      <c r="AM1238" t="s">
        <v>285</v>
      </c>
      <c r="AN1238" t="s">
        <v>505</v>
      </c>
      <c r="AO1238" t="s">
        <v>483</v>
      </c>
    </row>
    <row r="1239" spans="37:41" x14ac:dyDescent="0.25">
      <c r="AK1239" t="s">
        <v>49</v>
      </c>
      <c r="AL1239" t="s">
        <v>254</v>
      </c>
      <c r="AM1239" s="37" t="s">
        <v>358</v>
      </c>
      <c r="AN1239" s="39" t="s">
        <v>506</v>
      </c>
      <c r="AO1239" t="s">
        <v>471</v>
      </c>
    </row>
    <row r="1240" spans="37:41" x14ac:dyDescent="0.25">
      <c r="AK1240" t="s">
        <v>49</v>
      </c>
      <c r="AL1240" t="s">
        <v>254</v>
      </c>
      <c r="AM1240" s="37" t="s">
        <v>360</v>
      </c>
      <c r="AN1240" s="39" t="s">
        <v>507</v>
      </c>
      <c r="AO1240" t="s">
        <v>473</v>
      </c>
    </row>
    <row r="1241" spans="37:41" x14ac:dyDescent="0.25">
      <c r="AK1241" t="s">
        <v>49</v>
      </c>
      <c r="AL1241" t="s">
        <v>254</v>
      </c>
      <c r="AM1241" s="37" t="s">
        <v>362</v>
      </c>
      <c r="AN1241" s="39" t="s">
        <v>508</v>
      </c>
      <c r="AO1241" t="s">
        <v>475</v>
      </c>
    </row>
    <row r="1242" spans="37:41" x14ac:dyDescent="0.25">
      <c r="AK1242" t="s">
        <v>49</v>
      </c>
      <c r="AL1242" t="s">
        <v>254</v>
      </c>
      <c r="AM1242" s="37" t="s">
        <v>297</v>
      </c>
      <c r="AN1242" s="39" t="s">
        <v>503</v>
      </c>
      <c r="AO1242" t="s">
        <v>477</v>
      </c>
    </row>
    <row r="1243" spans="37:41" x14ac:dyDescent="0.25">
      <c r="AK1243" t="s">
        <v>49</v>
      </c>
      <c r="AL1243" t="s">
        <v>254</v>
      </c>
      <c r="AM1243" s="37" t="s">
        <v>288</v>
      </c>
      <c r="AN1243" s="39" t="s">
        <v>509</v>
      </c>
      <c r="AO1243" t="s">
        <v>481</v>
      </c>
    </row>
    <row r="1244" spans="37:41" x14ac:dyDescent="0.25">
      <c r="AK1244" t="s">
        <v>49</v>
      </c>
      <c r="AL1244" t="s">
        <v>254</v>
      </c>
      <c r="AM1244" t="s">
        <v>292</v>
      </c>
      <c r="AN1244" t="s">
        <v>510</v>
      </c>
      <c r="AO1244" t="s">
        <v>483</v>
      </c>
    </row>
    <row r="1245" spans="37:41" x14ac:dyDescent="0.25">
      <c r="AK1245" t="s">
        <v>49</v>
      </c>
      <c r="AL1245" t="s">
        <v>254</v>
      </c>
      <c r="AM1245" s="37" t="s">
        <v>364</v>
      </c>
      <c r="AN1245" s="39" t="s">
        <v>497</v>
      </c>
      <c r="AO1245" t="s">
        <v>473</v>
      </c>
    </row>
    <row r="1246" spans="37:41" x14ac:dyDescent="0.25">
      <c r="AK1246" t="s">
        <v>49</v>
      </c>
      <c r="AL1246" t="s">
        <v>254</v>
      </c>
      <c r="AM1246" s="37" t="s">
        <v>366</v>
      </c>
      <c r="AN1246" s="39" t="s">
        <v>501</v>
      </c>
      <c r="AO1246" t="s">
        <v>475</v>
      </c>
    </row>
    <row r="1247" spans="37:41" x14ac:dyDescent="0.25">
      <c r="AK1247" t="s">
        <v>49</v>
      </c>
      <c r="AL1247" t="s">
        <v>254</v>
      </c>
      <c r="AM1247" s="37" t="s">
        <v>310</v>
      </c>
      <c r="AN1247" s="39" t="s">
        <v>504</v>
      </c>
      <c r="AO1247" t="s">
        <v>477</v>
      </c>
    </row>
    <row r="1248" spans="37:41" x14ac:dyDescent="0.25">
      <c r="AK1248" t="s">
        <v>49</v>
      </c>
      <c r="AL1248" t="s">
        <v>254</v>
      </c>
      <c r="AM1248" s="37" t="s">
        <v>306</v>
      </c>
      <c r="AN1248" s="39" t="s">
        <v>511</v>
      </c>
      <c r="AO1248" t="s">
        <v>479</v>
      </c>
    </row>
    <row r="1249" spans="37:41" x14ac:dyDescent="0.25">
      <c r="AK1249" t="s">
        <v>49</v>
      </c>
      <c r="AL1249" t="s">
        <v>254</v>
      </c>
      <c r="AM1249" t="s">
        <v>302</v>
      </c>
      <c r="AN1249" t="s">
        <v>512</v>
      </c>
      <c r="AO1249" t="s">
        <v>483</v>
      </c>
    </row>
    <row r="1250" spans="37:41" x14ac:dyDescent="0.25">
      <c r="AK1250" t="s">
        <v>49</v>
      </c>
      <c r="AL1250" t="s">
        <v>254</v>
      </c>
      <c r="AM1250" s="37" t="s">
        <v>368</v>
      </c>
      <c r="AN1250" s="39" t="s">
        <v>513</v>
      </c>
      <c r="AO1250" t="s">
        <v>473</v>
      </c>
    </row>
    <row r="1251" spans="37:41" x14ac:dyDescent="0.25">
      <c r="AK1251" t="s">
        <v>49</v>
      </c>
      <c r="AL1251" t="s">
        <v>254</v>
      </c>
      <c r="AM1251" s="37" t="s">
        <v>370</v>
      </c>
      <c r="AN1251" s="39" t="s">
        <v>502</v>
      </c>
      <c r="AO1251" t="s">
        <v>475</v>
      </c>
    </row>
    <row r="1252" spans="37:41" x14ac:dyDescent="0.25">
      <c r="AK1252" t="s">
        <v>49</v>
      </c>
      <c r="AL1252" t="s">
        <v>254</v>
      </c>
      <c r="AM1252" s="37" t="s">
        <v>321</v>
      </c>
      <c r="AN1252" s="39" t="s">
        <v>505</v>
      </c>
      <c r="AO1252" t="s">
        <v>477</v>
      </c>
    </row>
    <row r="1253" spans="37:41" x14ac:dyDescent="0.25">
      <c r="AK1253" t="s">
        <v>49</v>
      </c>
      <c r="AL1253" t="s">
        <v>254</v>
      </c>
      <c r="AM1253" s="37" t="s">
        <v>318</v>
      </c>
      <c r="AN1253" s="39" t="s">
        <v>510</v>
      </c>
      <c r="AO1253" t="s">
        <v>479</v>
      </c>
    </row>
    <row r="1254" spans="37:41" x14ac:dyDescent="0.25">
      <c r="AK1254" t="s">
        <v>49</v>
      </c>
      <c r="AL1254" t="s">
        <v>254</v>
      </c>
      <c r="AM1254" s="37" t="s">
        <v>314</v>
      </c>
      <c r="AN1254" s="39" t="s">
        <v>512</v>
      </c>
      <c r="AO1254" t="s">
        <v>481</v>
      </c>
    </row>
    <row r="1256" spans="37:41" x14ac:dyDescent="0.25">
      <c r="AK1256" t="s">
        <v>49</v>
      </c>
      <c r="AL1256" t="s">
        <v>258</v>
      </c>
      <c r="AM1256" t="s">
        <v>50</v>
      </c>
      <c r="AN1256" t="s">
        <v>464</v>
      </c>
    </row>
    <row r="1257" spans="37:41" x14ac:dyDescent="0.25">
      <c r="AK1257" t="s">
        <v>49</v>
      </c>
      <c r="AL1257" t="s">
        <v>258</v>
      </c>
      <c r="AM1257" t="s">
        <v>78</v>
      </c>
      <c r="AN1257" t="s">
        <v>466</v>
      </c>
    </row>
    <row r="1258" spans="37:41" x14ac:dyDescent="0.25">
      <c r="AK1258" t="s">
        <v>49</v>
      </c>
      <c r="AL1258" t="s">
        <v>258</v>
      </c>
      <c r="AM1258" t="s">
        <v>100</v>
      </c>
      <c r="AN1258" t="s">
        <v>468</v>
      </c>
    </row>
    <row r="1259" spans="37:41" x14ac:dyDescent="0.25">
      <c r="AK1259" t="s">
        <v>49</v>
      </c>
      <c r="AL1259" t="s">
        <v>258</v>
      </c>
      <c r="AM1259" t="s">
        <v>112</v>
      </c>
      <c r="AN1259" t="s">
        <v>470</v>
      </c>
    </row>
    <row r="1260" spans="37:41" x14ac:dyDescent="0.25">
      <c r="AK1260" t="s">
        <v>49</v>
      </c>
      <c r="AL1260" t="s">
        <v>258</v>
      </c>
      <c r="AM1260" t="s">
        <v>127</v>
      </c>
      <c r="AN1260" t="s">
        <v>472</v>
      </c>
    </row>
    <row r="1261" spans="37:41" x14ac:dyDescent="0.25">
      <c r="AK1261" t="s">
        <v>49</v>
      </c>
      <c r="AL1261" t="s">
        <v>258</v>
      </c>
      <c r="AM1261" t="s">
        <v>140</v>
      </c>
      <c r="AN1261" t="s">
        <v>474</v>
      </c>
    </row>
    <row r="1262" spans="37:41" x14ac:dyDescent="0.25">
      <c r="AK1262" t="s">
        <v>49</v>
      </c>
      <c r="AL1262" t="s">
        <v>258</v>
      </c>
      <c r="AM1262" t="s">
        <v>152</v>
      </c>
      <c r="AN1262" t="s">
        <v>476</v>
      </c>
    </row>
    <row r="1263" spans="37:41" x14ac:dyDescent="0.25">
      <c r="AK1263" t="s">
        <v>49</v>
      </c>
      <c r="AL1263" t="s">
        <v>258</v>
      </c>
      <c r="AM1263" t="s">
        <v>164</v>
      </c>
      <c r="AN1263" t="s">
        <v>478</v>
      </c>
    </row>
    <row r="1264" spans="37:41" x14ac:dyDescent="0.25">
      <c r="AK1264" t="s">
        <v>49</v>
      </c>
      <c r="AL1264" t="s">
        <v>258</v>
      </c>
      <c r="AM1264" t="s">
        <v>179</v>
      </c>
      <c r="AN1264" t="s">
        <v>480</v>
      </c>
    </row>
    <row r="1265" spans="37:40" x14ac:dyDescent="0.25">
      <c r="AK1265" t="s">
        <v>49</v>
      </c>
      <c r="AL1265" t="s">
        <v>258</v>
      </c>
      <c r="AM1265" t="s">
        <v>193</v>
      </c>
      <c r="AN1265" t="s">
        <v>482</v>
      </c>
    </row>
    <row r="1266" spans="37:40" x14ac:dyDescent="0.25">
      <c r="AK1266" t="s">
        <v>49</v>
      </c>
      <c r="AL1266" t="s">
        <v>258</v>
      </c>
      <c r="AM1266" t="s">
        <v>206</v>
      </c>
      <c r="AN1266" t="s">
        <v>484</v>
      </c>
    </row>
    <row r="1267" spans="37:40" x14ac:dyDescent="0.25">
      <c r="AK1267" t="s">
        <v>49</v>
      </c>
      <c r="AL1267" t="s">
        <v>258</v>
      </c>
      <c r="AM1267" t="s">
        <v>218</v>
      </c>
      <c r="AN1267" t="s">
        <v>485</v>
      </c>
    </row>
    <row r="1268" spans="37:40" x14ac:dyDescent="0.25">
      <c r="AK1268" t="s">
        <v>49</v>
      </c>
      <c r="AL1268" t="s">
        <v>258</v>
      </c>
      <c r="AM1268" t="s">
        <v>224</v>
      </c>
      <c r="AN1268" t="s">
        <v>486</v>
      </c>
    </row>
    <row r="1269" spans="37:40" x14ac:dyDescent="0.25">
      <c r="AK1269" t="s">
        <v>49</v>
      </c>
      <c r="AL1269" t="s">
        <v>258</v>
      </c>
      <c r="AM1269" s="37" t="s">
        <v>325</v>
      </c>
      <c r="AN1269" t="s">
        <v>484</v>
      </c>
    </row>
    <row r="1270" spans="37:40" x14ac:dyDescent="0.25">
      <c r="AK1270" t="s">
        <v>49</v>
      </c>
      <c r="AL1270" t="s">
        <v>258</v>
      </c>
      <c r="AM1270" t="s">
        <v>228</v>
      </c>
      <c r="AN1270" t="s">
        <v>487</v>
      </c>
    </row>
    <row r="1271" spans="37:40" x14ac:dyDescent="0.25">
      <c r="AK1271" t="s">
        <v>49</v>
      </c>
      <c r="AL1271" t="s">
        <v>258</v>
      </c>
      <c r="AM1271" t="s">
        <v>232</v>
      </c>
      <c r="AN1271" t="s">
        <v>488</v>
      </c>
    </row>
    <row r="1272" spans="37:40" x14ac:dyDescent="0.25">
      <c r="AK1272" t="s">
        <v>49</v>
      </c>
      <c r="AL1272" t="s">
        <v>258</v>
      </c>
      <c r="AM1272" t="s">
        <v>237</v>
      </c>
      <c r="AN1272" t="s">
        <v>489</v>
      </c>
    </row>
    <row r="1273" spans="37:40" x14ac:dyDescent="0.25">
      <c r="AK1273" t="s">
        <v>49</v>
      </c>
      <c r="AL1273" t="s">
        <v>258</v>
      </c>
      <c r="AM1273" t="s">
        <v>327</v>
      </c>
      <c r="AN1273" t="s">
        <v>490</v>
      </c>
    </row>
    <row r="1274" spans="37:40" x14ac:dyDescent="0.25">
      <c r="AK1274" t="s">
        <v>49</v>
      </c>
      <c r="AL1274" t="s">
        <v>258</v>
      </c>
      <c r="AM1274" s="37" t="s">
        <v>329</v>
      </c>
      <c r="AN1274" t="s">
        <v>485</v>
      </c>
    </row>
    <row r="1275" spans="37:40" x14ac:dyDescent="0.25">
      <c r="AK1275" t="s">
        <v>49</v>
      </c>
      <c r="AL1275" t="s">
        <v>258</v>
      </c>
      <c r="AM1275" s="37" t="s">
        <v>331</v>
      </c>
      <c r="AN1275" t="s">
        <v>487</v>
      </c>
    </row>
    <row r="1276" spans="37:40" x14ac:dyDescent="0.25">
      <c r="AK1276" t="s">
        <v>49</v>
      </c>
      <c r="AL1276" t="s">
        <v>258</v>
      </c>
      <c r="AM1276" t="s">
        <v>242</v>
      </c>
      <c r="AN1276" t="s">
        <v>491</v>
      </c>
    </row>
    <row r="1277" spans="37:40" x14ac:dyDescent="0.25">
      <c r="AK1277" t="s">
        <v>49</v>
      </c>
      <c r="AL1277" t="s">
        <v>258</v>
      </c>
      <c r="AM1277" t="s">
        <v>247</v>
      </c>
      <c r="AN1277" t="s">
        <v>492</v>
      </c>
    </row>
    <row r="1278" spans="37:40" x14ac:dyDescent="0.25">
      <c r="AK1278" t="s">
        <v>49</v>
      </c>
      <c r="AL1278" t="s">
        <v>258</v>
      </c>
      <c r="AM1278" t="s">
        <v>251</v>
      </c>
      <c r="AN1278" t="s">
        <v>493</v>
      </c>
    </row>
    <row r="1279" spans="37:40" x14ac:dyDescent="0.25">
      <c r="AK1279" t="s">
        <v>49</v>
      </c>
      <c r="AL1279" t="s">
        <v>258</v>
      </c>
      <c r="AM1279" s="37" t="s">
        <v>333</v>
      </c>
      <c r="AN1279" s="39" t="s">
        <v>486</v>
      </c>
    </row>
    <row r="1280" spans="37:40" x14ac:dyDescent="0.25">
      <c r="AK1280" t="s">
        <v>49</v>
      </c>
      <c r="AL1280" t="s">
        <v>258</v>
      </c>
      <c r="AM1280" s="37" t="s">
        <v>335</v>
      </c>
      <c r="AN1280" s="39" t="s">
        <v>488</v>
      </c>
    </row>
    <row r="1281" spans="37:40" x14ac:dyDescent="0.25">
      <c r="AK1281" t="s">
        <v>49</v>
      </c>
      <c r="AL1281" t="s">
        <v>258</v>
      </c>
      <c r="AM1281" s="37" t="s">
        <v>337</v>
      </c>
      <c r="AN1281" s="39" t="s">
        <v>491</v>
      </c>
    </row>
    <row r="1282" spans="37:40" x14ac:dyDescent="0.25">
      <c r="AK1282" t="s">
        <v>49</v>
      </c>
      <c r="AL1282" t="s">
        <v>258</v>
      </c>
      <c r="AM1282" s="37" t="s">
        <v>255</v>
      </c>
      <c r="AN1282" s="39" t="s">
        <v>494</v>
      </c>
    </row>
    <row r="1283" spans="37:40" x14ac:dyDescent="0.25">
      <c r="AK1283" t="s">
        <v>49</v>
      </c>
      <c r="AL1283" t="s">
        <v>258</v>
      </c>
      <c r="AM1283" t="s">
        <v>259</v>
      </c>
      <c r="AN1283" t="s">
        <v>495</v>
      </c>
    </row>
    <row r="1284" spans="37:40" x14ac:dyDescent="0.25">
      <c r="AK1284" t="s">
        <v>49</v>
      </c>
      <c r="AL1284" t="s">
        <v>258</v>
      </c>
      <c r="AM1284" s="37" t="s">
        <v>263</v>
      </c>
      <c r="AN1284" s="39" t="s">
        <v>496</v>
      </c>
    </row>
    <row r="1285" spans="37:40" x14ac:dyDescent="0.25">
      <c r="AK1285" t="s">
        <v>49</v>
      </c>
      <c r="AL1285" t="s">
        <v>258</v>
      </c>
      <c r="AM1285" t="s">
        <v>340</v>
      </c>
      <c r="AN1285" t="s">
        <v>497</v>
      </c>
    </row>
    <row r="1286" spans="37:40" x14ac:dyDescent="0.25">
      <c r="AK1286" t="s">
        <v>49</v>
      </c>
      <c r="AL1286" t="s">
        <v>258</v>
      </c>
      <c r="AM1286" s="37" t="s">
        <v>342</v>
      </c>
      <c r="AN1286" s="39" t="s">
        <v>489</v>
      </c>
    </row>
    <row r="1287" spans="37:40" x14ac:dyDescent="0.25">
      <c r="AK1287" t="s">
        <v>49</v>
      </c>
      <c r="AL1287" t="s">
        <v>258</v>
      </c>
      <c r="AM1287" s="37" t="s">
        <v>344</v>
      </c>
      <c r="AN1287" s="59" t="s">
        <v>492</v>
      </c>
    </row>
    <row r="1288" spans="37:40" x14ac:dyDescent="0.25">
      <c r="AK1288" t="s">
        <v>49</v>
      </c>
      <c r="AL1288" t="s">
        <v>258</v>
      </c>
      <c r="AM1288" s="37" t="s">
        <v>346</v>
      </c>
      <c r="AN1288" s="39" t="s">
        <v>498</v>
      </c>
    </row>
    <row r="1289" spans="37:40" x14ac:dyDescent="0.25">
      <c r="AK1289" t="s">
        <v>49</v>
      </c>
      <c r="AL1289" t="s">
        <v>258</v>
      </c>
      <c r="AM1289" t="s">
        <v>267</v>
      </c>
      <c r="AN1289" t="s">
        <v>499</v>
      </c>
    </row>
    <row r="1290" spans="37:40" x14ac:dyDescent="0.25">
      <c r="AK1290" t="s">
        <v>49</v>
      </c>
      <c r="AL1290" t="s">
        <v>258</v>
      </c>
      <c r="AM1290" s="37" t="s">
        <v>271</v>
      </c>
      <c r="AN1290" s="39" t="s">
        <v>500</v>
      </c>
    </row>
    <row r="1291" spans="37:40" x14ac:dyDescent="0.25">
      <c r="AK1291" t="s">
        <v>49</v>
      </c>
      <c r="AL1291" t="s">
        <v>258</v>
      </c>
      <c r="AM1291" t="s">
        <v>274</v>
      </c>
      <c r="AN1291" t="s">
        <v>501</v>
      </c>
    </row>
    <row r="1292" spans="37:40" x14ac:dyDescent="0.25">
      <c r="AK1292" t="s">
        <v>49</v>
      </c>
      <c r="AL1292" t="s">
        <v>258</v>
      </c>
      <c r="AM1292" t="s">
        <v>348</v>
      </c>
      <c r="AN1292" t="s">
        <v>502</v>
      </c>
    </row>
    <row r="1293" spans="37:40" x14ac:dyDescent="0.25">
      <c r="AK1293" t="s">
        <v>49</v>
      </c>
      <c r="AL1293" t="s">
        <v>258</v>
      </c>
      <c r="AM1293" s="37" t="s">
        <v>350</v>
      </c>
      <c r="AN1293" s="39" t="s">
        <v>490</v>
      </c>
    </row>
    <row r="1294" spans="37:40" x14ac:dyDescent="0.25">
      <c r="AK1294" t="s">
        <v>49</v>
      </c>
      <c r="AL1294" t="s">
        <v>258</v>
      </c>
      <c r="AM1294" s="37" t="s">
        <v>352</v>
      </c>
      <c r="AN1294" s="39" t="s">
        <v>493</v>
      </c>
    </row>
    <row r="1295" spans="37:40" x14ac:dyDescent="0.25">
      <c r="AK1295" t="s">
        <v>49</v>
      </c>
      <c r="AL1295" t="s">
        <v>258</v>
      </c>
      <c r="AM1295" s="37" t="s">
        <v>354</v>
      </c>
      <c r="AN1295" s="39" t="s">
        <v>495</v>
      </c>
    </row>
    <row r="1296" spans="37:40" x14ac:dyDescent="0.25">
      <c r="AK1296" t="s">
        <v>49</v>
      </c>
      <c r="AL1296" t="s">
        <v>258</v>
      </c>
      <c r="AM1296" s="37" t="s">
        <v>356</v>
      </c>
      <c r="AN1296" s="39" t="s">
        <v>499</v>
      </c>
    </row>
    <row r="1297" spans="37:40" x14ac:dyDescent="0.25">
      <c r="AK1297" t="s">
        <v>49</v>
      </c>
      <c r="AL1297" t="s">
        <v>258</v>
      </c>
      <c r="AM1297" t="s">
        <v>277</v>
      </c>
      <c r="AN1297" t="s">
        <v>503</v>
      </c>
    </row>
    <row r="1298" spans="37:40" x14ac:dyDescent="0.25">
      <c r="AK1298" t="s">
        <v>49</v>
      </c>
      <c r="AL1298" t="s">
        <v>258</v>
      </c>
      <c r="AM1298" t="s">
        <v>281</v>
      </c>
      <c r="AN1298" t="s">
        <v>504</v>
      </c>
    </row>
    <row r="1299" spans="37:40" x14ac:dyDescent="0.25">
      <c r="AK1299" t="s">
        <v>49</v>
      </c>
      <c r="AL1299" t="s">
        <v>258</v>
      </c>
      <c r="AM1299" t="s">
        <v>285</v>
      </c>
      <c r="AN1299" t="s">
        <v>505</v>
      </c>
    </row>
    <row r="1300" spans="37:40" x14ac:dyDescent="0.25">
      <c r="AK1300" t="s">
        <v>49</v>
      </c>
      <c r="AL1300" t="s">
        <v>258</v>
      </c>
      <c r="AM1300" s="37" t="s">
        <v>358</v>
      </c>
      <c r="AN1300" s="39" t="s">
        <v>506</v>
      </c>
    </row>
    <row r="1301" spans="37:40" x14ac:dyDescent="0.25">
      <c r="AK1301" t="s">
        <v>49</v>
      </c>
      <c r="AL1301" t="s">
        <v>258</v>
      </c>
      <c r="AM1301" s="37" t="s">
        <v>360</v>
      </c>
      <c r="AN1301" s="39" t="s">
        <v>507</v>
      </c>
    </row>
    <row r="1302" spans="37:40" x14ac:dyDescent="0.25">
      <c r="AK1302" t="s">
        <v>49</v>
      </c>
      <c r="AL1302" t="s">
        <v>258</v>
      </c>
      <c r="AM1302" s="37" t="s">
        <v>362</v>
      </c>
      <c r="AN1302" s="39" t="s">
        <v>508</v>
      </c>
    </row>
    <row r="1303" spans="37:40" x14ac:dyDescent="0.25">
      <c r="AK1303" t="s">
        <v>49</v>
      </c>
      <c r="AL1303" t="s">
        <v>258</v>
      </c>
      <c r="AM1303" s="37" t="s">
        <v>297</v>
      </c>
      <c r="AN1303" s="39" t="s">
        <v>503</v>
      </c>
    </row>
    <row r="1304" spans="37:40" x14ac:dyDescent="0.25">
      <c r="AK1304" t="s">
        <v>49</v>
      </c>
      <c r="AL1304" t="s">
        <v>258</v>
      </c>
      <c r="AM1304" s="37" t="s">
        <v>288</v>
      </c>
      <c r="AN1304" s="39" t="s">
        <v>509</v>
      </c>
    </row>
    <row r="1305" spans="37:40" x14ac:dyDescent="0.25">
      <c r="AK1305" t="s">
        <v>49</v>
      </c>
      <c r="AL1305" t="s">
        <v>258</v>
      </c>
      <c r="AM1305" t="s">
        <v>292</v>
      </c>
      <c r="AN1305" t="s">
        <v>510</v>
      </c>
    </row>
    <row r="1306" spans="37:40" x14ac:dyDescent="0.25">
      <c r="AK1306" t="s">
        <v>49</v>
      </c>
      <c r="AL1306" t="s">
        <v>258</v>
      </c>
      <c r="AM1306" s="37" t="s">
        <v>364</v>
      </c>
      <c r="AN1306" s="39" t="s">
        <v>497</v>
      </c>
    </row>
    <row r="1307" spans="37:40" x14ac:dyDescent="0.25">
      <c r="AK1307" t="s">
        <v>49</v>
      </c>
      <c r="AL1307" t="s">
        <v>258</v>
      </c>
      <c r="AM1307" s="37" t="s">
        <v>366</v>
      </c>
      <c r="AN1307" s="39" t="s">
        <v>501</v>
      </c>
    </row>
    <row r="1308" spans="37:40" x14ac:dyDescent="0.25">
      <c r="AK1308" t="s">
        <v>49</v>
      </c>
      <c r="AL1308" t="s">
        <v>258</v>
      </c>
      <c r="AM1308" s="37" t="s">
        <v>310</v>
      </c>
      <c r="AN1308" s="39" t="s">
        <v>504</v>
      </c>
    </row>
    <row r="1309" spans="37:40" x14ac:dyDescent="0.25">
      <c r="AK1309" t="s">
        <v>49</v>
      </c>
      <c r="AL1309" t="s">
        <v>258</v>
      </c>
      <c r="AM1309" s="37" t="s">
        <v>306</v>
      </c>
      <c r="AN1309" s="39" t="s">
        <v>511</v>
      </c>
    </row>
    <row r="1310" spans="37:40" x14ac:dyDescent="0.25">
      <c r="AK1310" t="s">
        <v>49</v>
      </c>
      <c r="AL1310" t="s">
        <v>258</v>
      </c>
      <c r="AM1310" t="s">
        <v>302</v>
      </c>
      <c r="AN1310" t="s">
        <v>512</v>
      </c>
    </row>
    <row r="1311" spans="37:40" x14ac:dyDescent="0.25">
      <c r="AK1311" t="s">
        <v>49</v>
      </c>
      <c r="AL1311" t="s">
        <v>258</v>
      </c>
      <c r="AM1311" s="37" t="s">
        <v>368</v>
      </c>
      <c r="AN1311" s="39" t="s">
        <v>513</v>
      </c>
    </row>
    <row r="1312" spans="37:40" x14ac:dyDescent="0.25">
      <c r="AK1312" t="s">
        <v>49</v>
      </c>
      <c r="AL1312" t="s">
        <v>258</v>
      </c>
      <c r="AM1312" s="37" t="s">
        <v>370</v>
      </c>
      <c r="AN1312" s="39" t="s">
        <v>502</v>
      </c>
    </row>
    <row r="1313" spans="37:40" x14ac:dyDescent="0.25">
      <c r="AK1313" t="s">
        <v>49</v>
      </c>
      <c r="AL1313" t="s">
        <v>258</v>
      </c>
      <c r="AM1313" s="37" t="s">
        <v>321</v>
      </c>
      <c r="AN1313" s="39" t="s">
        <v>505</v>
      </c>
    </row>
    <row r="1314" spans="37:40" x14ac:dyDescent="0.25">
      <c r="AK1314" t="s">
        <v>49</v>
      </c>
      <c r="AL1314" t="s">
        <v>258</v>
      </c>
      <c r="AM1314" s="37" t="s">
        <v>318</v>
      </c>
      <c r="AN1314" s="39" t="s">
        <v>510</v>
      </c>
    </row>
    <row r="1315" spans="37:40" x14ac:dyDescent="0.25">
      <c r="AK1315" t="s">
        <v>49</v>
      </c>
      <c r="AL1315" t="s">
        <v>258</v>
      </c>
      <c r="AM1315" s="37" t="s">
        <v>314</v>
      </c>
      <c r="AN1315" s="39" t="s">
        <v>512</v>
      </c>
    </row>
    <row r="1317" spans="37:40" x14ac:dyDescent="0.25">
      <c r="AK1317" s="32" t="s">
        <v>49</v>
      </c>
      <c r="AL1317" t="s">
        <v>262</v>
      </c>
      <c r="AM1317" t="s">
        <v>50</v>
      </c>
      <c r="AN1317" t="s">
        <v>51</v>
      </c>
    </row>
    <row r="1318" spans="37:40" x14ac:dyDescent="0.25">
      <c r="AK1318" s="32" t="s">
        <v>49</v>
      </c>
      <c r="AL1318" t="s">
        <v>262</v>
      </c>
      <c r="AM1318" t="s">
        <v>78</v>
      </c>
      <c r="AN1318" t="s">
        <v>79</v>
      </c>
    </row>
    <row r="1319" spans="37:40" x14ac:dyDescent="0.25">
      <c r="AK1319" s="32" t="s">
        <v>49</v>
      </c>
      <c r="AL1319" t="s">
        <v>262</v>
      </c>
      <c r="AM1319" t="s">
        <v>100</v>
      </c>
      <c r="AN1319" t="s">
        <v>101</v>
      </c>
    </row>
    <row r="1320" spans="37:40" x14ac:dyDescent="0.25">
      <c r="AK1320" s="32" t="s">
        <v>49</v>
      </c>
      <c r="AL1320" t="s">
        <v>262</v>
      </c>
      <c r="AM1320" t="s">
        <v>112</v>
      </c>
      <c r="AN1320" t="s">
        <v>113</v>
      </c>
    </row>
    <row r="1321" spans="37:40" x14ac:dyDescent="0.25">
      <c r="AK1321" s="32" t="s">
        <v>49</v>
      </c>
      <c r="AL1321" t="s">
        <v>262</v>
      </c>
      <c r="AM1321" t="s">
        <v>127</v>
      </c>
      <c r="AN1321" t="s">
        <v>128</v>
      </c>
    </row>
    <row r="1322" spans="37:40" x14ac:dyDescent="0.25">
      <c r="AK1322" s="32" t="s">
        <v>49</v>
      </c>
      <c r="AL1322" t="s">
        <v>262</v>
      </c>
      <c r="AM1322" t="s">
        <v>140</v>
      </c>
      <c r="AN1322" t="s">
        <v>141</v>
      </c>
    </row>
    <row r="1323" spans="37:40" x14ac:dyDescent="0.25">
      <c r="AK1323" s="32" t="s">
        <v>49</v>
      </c>
      <c r="AL1323" t="s">
        <v>262</v>
      </c>
      <c r="AM1323" t="s">
        <v>152</v>
      </c>
      <c r="AN1323" t="s">
        <v>153</v>
      </c>
    </row>
    <row r="1324" spans="37:40" x14ac:dyDescent="0.25">
      <c r="AK1324" s="32" t="s">
        <v>49</v>
      </c>
      <c r="AL1324" t="s">
        <v>262</v>
      </c>
      <c r="AM1324" t="s">
        <v>164</v>
      </c>
      <c r="AN1324" t="s">
        <v>165</v>
      </c>
    </row>
    <row r="1325" spans="37:40" x14ac:dyDescent="0.25">
      <c r="AK1325" s="32" t="s">
        <v>49</v>
      </c>
      <c r="AL1325" t="s">
        <v>262</v>
      </c>
      <c r="AM1325" t="s">
        <v>179</v>
      </c>
      <c r="AN1325" t="s">
        <v>180</v>
      </c>
    </row>
    <row r="1326" spans="37:40" x14ac:dyDescent="0.25">
      <c r="AK1326" s="32" t="s">
        <v>49</v>
      </c>
      <c r="AL1326" t="s">
        <v>262</v>
      </c>
      <c r="AM1326" t="s">
        <v>193</v>
      </c>
      <c r="AN1326" t="s">
        <v>194</v>
      </c>
    </row>
    <row r="1327" spans="37:40" x14ac:dyDescent="0.25">
      <c r="AK1327" s="32" t="s">
        <v>49</v>
      </c>
      <c r="AL1327" t="s">
        <v>262</v>
      </c>
      <c r="AM1327" t="s">
        <v>206</v>
      </c>
      <c r="AN1327" t="s">
        <v>207</v>
      </c>
    </row>
    <row r="1328" spans="37:40" x14ac:dyDescent="0.25">
      <c r="AK1328" s="32" t="s">
        <v>49</v>
      </c>
      <c r="AL1328" t="s">
        <v>262</v>
      </c>
      <c r="AM1328" t="s">
        <v>218</v>
      </c>
      <c r="AN1328" t="s">
        <v>219</v>
      </c>
    </row>
    <row r="1329" spans="37:40" x14ac:dyDescent="0.25">
      <c r="AK1329" s="32" t="s">
        <v>49</v>
      </c>
      <c r="AL1329" t="s">
        <v>262</v>
      </c>
      <c r="AM1329" t="s">
        <v>224</v>
      </c>
      <c r="AN1329" t="s">
        <v>225</v>
      </c>
    </row>
    <row r="1330" spans="37:40" x14ac:dyDescent="0.25">
      <c r="AK1330" s="32" t="s">
        <v>49</v>
      </c>
      <c r="AL1330" t="s">
        <v>262</v>
      </c>
      <c r="AM1330" t="s">
        <v>228</v>
      </c>
      <c r="AN1330" t="s">
        <v>229</v>
      </c>
    </row>
    <row r="1331" spans="37:40" x14ac:dyDescent="0.25">
      <c r="AK1331" s="32" t="s">
        <v>49</v>
      </c>
      <c r="AL1331" t="s">
        <v>262</v>
      </c>
      <c r="AM1331" t="s">
        <v>232</v>
      </c>
      <c r="AN1331" t="s">
        <v>233</v>
      </c>
    </row>
    <row r="1332" spans="37:40" x14ac:dyDescent="0.25">
      <c r="AK1332" s="32" t="s">
        <v>49</v>
      </c>
      <c r="AL1332" t="s">
        <v>262</v>
      </c>
      <c r="AM1332" t="s">
        <v>237</v>
      </c>
      <c r="AN1332" t="s">
        <v>238</v>
      </c>
    </row>
    <row r="1333" spans="37:40" x14ac:dyDescent="0.25">
      <c r="AK1333" s="32" t="s">
        <v>49</v>
      </c>
      <c r="AL1333" t="s">
        <v>262</v>
      </c>
      <c r="AM1333" t="s">
        <v>242</v>
      </c>
      <c r="AN1333" t="s">
        <v>243</v>
      </c>
    </row>
    <row r="1334" spans="37:40" x14ac:dyDescent="0.25">
      <c r="AK1334" s="32" t="s">
        <v>49</v>
      </c>
      <c r="AL1334" t="s">
        <v>262</v>
      </c>
      <c r="AM1334" t="s">
        <v>247</v>
      </c>
      <c r="AN1334" t="s">
        <v>248</v>
      </c>
    </row>
    <row r="1335" spans="37:40" x14ac:dyDescent="0.25">
      <c r="AK1335" s="32" t="s">
        <v>49</v>
      </c>
      <c r="AL1335" t="s">
        <v>262</v>
      </c>
      <c r="AM1335" t="s">
        <v>251</v>
      </c>
      <c r="AN1335" t="s">
        <v>252</v>
      </c>
    </row>
    <row r="1336" spans="37:40" x14ac:dyDescent="0.25">
      <c r="AK1336" s="32" t="s">
        <v>49</v>
      </c>
      <c r="AL1336" t="s">
        <v>262</v>
      </c>
      <c r="AM1336" t="s">
        <v>255</v>
      </c>
      <c r="AN1336" t="s">
        <v>256</v>
      </c>
    </row>
    <row r="1337" spans="37:40" x14ac:dyDescent="0.25">
      <c r="AK1337" s="32" t="s">
        <v>49</v>
      </c>
      <c r="AL1337" t="s">
        <v>262</v>
      </c>
      <c r="AM1337" t="s">
        <v>259</v>
      </c>
      <c r="AN1337" t="s">
        <v>260</v>
      </c>
    </row>
    <row r="1338" spans="37:40" x14ac:dyDescent="0.25">
      <c r="AK1338" s="32" t="s">
        <v>49</v>
      </c>
      <c r="AL1338" t="s">
        <v>262</v>
      </c>
      <c r="AM1338" t="s">
        <v>263</v>
      </c>
      <c r="AN1338" t="s">
        <v>264</v>
      </c>
    </row>
    <row r="1339" spans="37:40" x14ac:dyDescent="0.25">
      <c r="AK1339" s="32" t="s">
        <v>49</v>
      </c>
      <c r="AL1339" t="s">
        <v>262</v>
      </c>
      <c r="AM1339" t="s">
        <v>267</v>
      </c>
      <c r="AN1339" t="s">
        <v>268</v>
      </c>
    </row>
    <row r="1340" spans="37:40" x14ac:dyDescent="0.25">
      <c r="AK1340" s="32" t="s">
        <v>49</v>
      </c>
      <c r="AL1340" t="s">
        <v>262</v>
      </c>
      <c r="AM1340" t="s">
        <v>271</v>
      </c>
      <c r="AN1340" t="s">
        <v>272</v>
      </c>
    </row>
    <row r="1341" spans="37:40" x14ac:dyDescent="0.25">
      <c r="AK1341" s="32" t="s">
        <v>49</v>
      </c>
      <c r="AL1341" t="s">
        <v>262</v>
      </c>
      <c r="AM1341" t="s">
        <v>274</v>
      </c>
      <c r="AN1341" t="s">
        <v>275</v>
      </c>
    </row>
    <row r="1342" spans="37:40" x14ac:dyDescent="0.25">
      <c r="AK1342" s="32" t="s">
        <v>49</v>
      </c>
      <c r="AL1342" t="s">
        <v>262</v>
      </c>
      <c r="AM1342" t="s">
        <v>277</v>
      </c>
      <c r="AN1342" t="s">
        <v>278</v>
      </c>
    </row>
    <row r="1343" spans="37:40" x14ac:dyDescent="0.25">
      <c r="AK1343" s="32" t="s">
        <v>49</v>
      </c>
      <c r="AL1343" t="s">
        <v>262</v>
      </c>
      <c r="AM1343" t="s">
        <v>281</v>
      </c>
      <c r="AN1343" t="s">
        <v>282</v>
      </c>
    </row>
    <row r="1344" spans="37:40" x14ac:dyDescent="0.25">
      <c r="AK1344" s="32" t="s">
        <v>49</v>
      </c>
      <c r="AL1344" t="s">
        <v>262</v>
      </c>
      <c r="AM1344" t="s">
        <v>285</v>
      </c>
      <c r="AN1344" t="s">
        <v>286</v>
      </c>
    </row>
    <row r="1345" spans="37:40" x14ac:dyDescent="0.25">
      <c r="AK1345" s="32" t="s">
        <v>49</v>
      </c>
      <c r="AL1345" t="s">
        <v>262</v>
      </c>
      <c r="AM1345" t="s">
        <v>288</v>
      </c>
      <c r="AN1345" t="s">
        <v>289</v>
      </c>
    </row>
    <row r="1346" spans="37:40" x14ac:dyDescent="0.25">
      <c r="AK1346" s="32" t="s">
        <v>49</v>
      </c>
      <c r="AL1346" t="s">
        <v>262</v>
      </c>
      <c r="AM1346" t="s">
        <v>292</v>
      </c>
      <c r="AN1346" t="s">
        <v>293</v>
      </c>
    </row>
    <row r="1347" spans="37:40" x14ac:dyDescent="0.25">
      <c r="AK1347" s="32" t="s">
        <v>49</v>
      </c>
      <c r="AL1347" t="s">
        <v>262</v>
      </c>
      <c r="AM1347" t="s">
        <v>297</v>
      </c>
      <c r="AN1347" t="s">
        <v>298</v>
      </c>
    </row>
    <row r="1348" spans="37:40" x14ac:dyDescent="0.25">
      <c r="AK1348" s="32" t="s">
        <v>49</v>
      </c>
      <c r="AL1348" t="s">
        <v>262</v>
      </c>
      <c r="AM1348" t="s">
        <v>302</v>
      </c>
      <c r="AN1348" t="s">
        <v>303</v>
      </c>
    </row>
    <row r="1349" spans="37:40" x14ac:dyDescent="0.25">
      <c r="AK1349" s="32" t="s">
        <v>49</v>
      </c>
      <c r="AL1349" t="s">
        <v>262</v>
      </c>
      <c r="AM1349" t="s">
        <v>306</v>
      </c>
      <c r="AN1349" t="s">
        <v>307</v>
      </c>
    </row>
    <row r="1350" spans="37:40" x14ac:dyDescent="0.25">
      <c r="AK1350" s="32" t="s">
        <v>49</v>
      </c>
      <c r="AL1350" t="s">
        <v>262</v>
      </c>
      <c r="AM1350" t="s">
        <v>310</v>
      </c>
      <c r="AN1350" t="s">
        <v>311</v>
      </c>
    </row>
    <row r="1351" spans="37:40" x14ac:dyDescent="0.25">
      <c r="AK1351" s="32" t="s">
        <v>49</v>
      </c>
      <c r="AL1351" t="s">
        <v>262</v>
      </c>
      <c r="AM1351" t="s">
        <v>314</v>
      </c>
      <c r="AN1351" t="s">
        <v>315</v>
      </c>
    </row>
    <row r="1352" spans="37:40" x14ac:dyDescent="0.25">
      <c r="AK1352" s="32" t="s">
        <v>49</v>
      </c>
      <c r="AL1352" t="s">
        <v>262</v>
      </c>
      <c r="AM1352" t="s">
        <v>318</v>
      </c>
      <c r="AN1352" t="s">
        <v>319</v>
      </c>
    </row>
    <row r="1353" spans="37:40" x14ac:dyDescent="0.25">
      <c r="AK1353" s="32" t="s">
        <v>49</v>
      </c>
      <c r="AL1353" t="s">
        <v>262</v>
      </c>
      <c r="AM1353" t="s">
        <v>321</v>
      </c>
      <c r="AN1353" t="s">
        <v>322</v>
      </c>
    </row>
    <row r="1354" spans="37:40" x14ac:dyDescent="0.25">
      <c r="AK1354" s="32" t="s">
        <v>49</v>
      </c>
      <c r="AL1354" t="s">
        <v>262</v>
      </c>
      <c r="AM1354" t="s">
        <v>325</v>
      </c>
      <c r="AN1354" t="s">
        <v>326</v>
      </c>
    </row>
    <row r="1355" spans="37:40" x14ac:dyDescent="0.25">
      <c r="AK1355" s="32" t="s">
        <v>49</v>
      </c>
      <c r="AL1355" t="s">
        <v>262</v>
      </c>
      <c r="AM1355" t="s">
        <v>327</v>
      </c>
      <c r="AN1355" t="s">
        <v>328</v>
      </c>
    </row>
    <row r="1356" spans="37:40" x14ac:dyDescent="0.25">
      <c r="AK1356" s="32" t="s">
        <v>49</v>
      </c>
      <c r="AL1356" t="s">
        <v>262</v>
      </c>
      <c r="AM1356" t="s">
        <v>329</v>
      </c>
      <c r="AN1356" t="s">
        <v>330</v>
      </c>
    </row>
    <row r="1357" spans="37:40" x14ac:dyDescent="0.25">
      <c r="AK1357" s="32" t="s">
        <v>49</v>
      </c>
      <c r="AL1357" t="s">
        <v>262</v>
      </c>
      <c r="AM1357" t="s">
        <v>331</v>
      </c>
      <c r="AN1357" t="s">
        <v>332</v>
      </c>
    </row>
    <row r="1358" spans="37:40" x14ac:dyDescent="0.25">
      <c r="AK1358" s="32" t="s">
        <v>49</v>
      </c>
      <c r="AL1358" t="s">
        <v>262</v>
      </c>
      <c r="AM1358" t="s">
        <v>333</v>
      </c>
      <c r="AN1358" t="s">
        <v>334</v>
      </c>
    </row>
    <row r="1359" spans="37:40" x14ac:dyDescent="0.25">
      <c r="AK1359" s="32" t="s">
        <v>49</v>
      </c>
      <c r="AL1359" t="s">
        <v>262</v>
      </c>
      <c r="AM1359" t="s">
        <v>335</v>
      </c>
      <c r="AN1359" t="s">
        <v>336</v>
      </c>
    </row>
    <row r="1360" spans="37:40" x14ac:dyDescent="0.25">
      <c r="AK1360" s="32" t="s">
        <v>49</v>
      </c>
      <c r="AL1360" t="s">
        <v>262</v>
      </c>
      <c r="AM1360" t="s">
        <v>337</v>
      </c>
      <c r="AN1360" t="s">
        <v>338</v>
      </c>
    </row>
    <row r="1361" spans="37:40" x14ac:dyDescent="0.25">
      <c r="AK1361" s="32" t="s">
        <v>49</v>
      </c>
      <c r="AL1361" t="s">
        <v>262</v>
      </c>
      <c r="AM1361" t="s">
        <v>340</v>
      </c>
      <c r="AN1361" t="s">
        <v>341</v>
      </c>
    </row>
    <row r="1362" spans="37:40" x14ac:dyDescent="0.25">
      <c r="AK1362" s="32" t="s">
        <v>49</v>
      </c>
      <c r="AL1362" t="s">
        <v>262</v>
      </c>
      <c r="AM1362" t="s">
        <v>342</v>
      </c>
      <c r="AN1362" t="s">
        <v>343</v>
      </c>
    </row>
    <row r="1363" spans="37:40" x14ac:dyDescent="0.25">
      <c r="AK1363" s="32" t="s">
        <v>49</v>
      </c>
      <c r="AL1363" t="s">
        <v>262</v>
      </c>
      <c r="AM1363" t="s">
        <v>344</v>
      </c>
      <c r="AN1363" t="s">
        <v>345</v>
      </c>
    </row>
    <row r="1364" spans="37:40" x14ac:dyDescent="0.25">
      <c r="AK1364" s="32" t="s">
        <v>49</v>
      </c>
      <c r="AL1364" t="s">
        <v>262</v>
      </c>
      <c r="AM1364" t="s">
        <v>346</v>
      </c>
      <c r="AN1364" t="s">
        <v>347</v>
      </c>
    </row>
    <row r="1365" spans="37:40" x14ac:dyDescent="0.25">
      <c r="AK1365" s="32" t="s">
        <v>49</v>
      </c>
      <c r="AL1365" t="s">
        <v>262</v>
      </c>
      <c r="AM1365" t="s">
        <v>348</v>
      </c>
      <c r="AN1365" t="s">
        <v>349</v>
      </c>
    </row>
    <row r="1366" spans="37:40" x14ac:dyDescent="0.25">
      <c r="AK1366" s="32" t="s">
        <v>49</v>
      </c>
      <c r="AL1366" t="s">
        <v>262</v>
      </c>
      <c r="AM1366" t="s">
        <v>350</v>
      </c>
      <c r="AN1366" t="s">
        <v>351</v>
      </c>
    </row>
    <row r="1367" spans="37:40" x14ac:dyDescent="0.25">
      <c r="AK1367" s="32" t="s">
        <v>49</v>
      </c>
      <c r="AL1367" t="s">
        <v>262</v>
      </c>
      <c r="AM1367" t="s">
        <v>352</v>
      </c>
      <c r="AN1367" t="s">
        <v>353</v>
      </c>
    </row>
    <row r="1368" spans="37:40" x14ac:dyDescent="0.25">
      <c r="AK1368" s="32" t="s">
        <v>49</v>
      </c>
      <c r="AL1368" t="s">
        <v>262</v>
      </c>
      <c r="AM1368" t="s">
        <v>354</v>
      </c>
      <c r="AN1368" t="s">
        <v>355</v>
      </c>
    </row>
    <row r="1369" spans="37:40" x14ac:dyDescent="0.25">
      <c r="AK1369" s="32" t="s">
        <v>49</v>
      </c>
      <c r="AL1369" t="s">
        <v>262</v>
      </c>
      <c r="AM1369" t="s">
        <v>356</v>
      </c>
      <c r="AN1369" t="s">
        <v>357</v>
      </c>
    </row>
    <row r="1370" spans="37:40" x14ac:dyDescent="0.25">
      <c r="AK1370" s="32" t="s">
        <v>49</v>
      </c>
      <c r="AL1370" t="s">
        <v>262</v>
      </c>
      <c r="AM1370" t="s">
        <v>358</v>
      </c>
      <c r="AN1370" t="s">
        <v>359</v>
      </c>
    </row>
    <row r="1371" spans="37:40" x14ac:dyDescent="0.25">
      <c r="AK1371" s="32" t="s">
        <v>49</v>
      </c>
      <c r="AL1371" t="s">
        <v>262</v>
      </c>
      <c r="AM1371" t="s">
        <v>360</v>
      </c>
      <c r="AN1371" t="s">
        <v>361</v>
      </c>
    </row>
    <row r="1372" spans="37:40" x14ac:dyDescent="0.25">
      <c r="AK1372" s="32" t="s">
        <v>49</v>
      </c>
      <c r="AL1372" t="s">
        <v>262</v>
      </c>
      <c r="AM1372" t="s">
        <v>362</v>
      </c>
      <c r="AN1372" t="s">
        <v>363</v>
      </c>
    </row>
    <row r="1373" spans="37:40" x14ac:dyDescent="0.25">
      <c r="AK1373" s="32" t="s">
        <v>49</v>
      </c>
      <c r="AL1373" t="s">
        <v>262</v>
      </c>
      <c r="AM1373" t="s">
        <v>364</v>
      </c>
      <c r="AN1373" t="s">
        <v>365</v>
      </c>
    </row>
    <row r="1374" spans="37:40" x14ac:dyDescent="0.25">
      <c r="AK1374" s="32" t="s">
        <v>49</v>
      </c>
      <c r="AL1374" t="s">
        <v>262</v>
      </c>
      <c r="AM1374" t="s">
        <v>366</v>
      </c>
      <c r="AN1374" t="s">
        <v>367</v>
      </c>
    </row>
    <row r="1375" spans="37:40" x14ac:dyDescent="0.25">
      <c r="AK1375" s="32" t="s">
        <v>49</v>
      </c>
      <c r="AL1375" t="s">
        <v>262</v>
      </c>
      <c r="AM1375" t="s">
        <v>368</v>
      </c>
      <c r="AN1375" t="s">
        <v>369</v>
      </c>
    </row>
    <row r="1376" spans="37:40" x14ac:dyDescent="0.25">
      <c r="AK1376" s="32" t="s">
        <v>49</v>
      </c>
      <c r="AL1376" t="s">
        <v>262</v>
      </c>
      <c r="AM1376" t="s">
        <v>370</v>
      </c>
      <c r="AN1376" t="s">
        <v>371</v>
      </c>
    </row>
    <row r="1379" spans="37:40" x14ac:dyDescent="0.25">
      <c r="AK1379" s="32" t="s">
        <v>49</v>
      </c>
      <c r="AL1379" t="s">
        <v>266</v>
      </c>
      <c r="AM1379" t="s">
        <v>50</v>
      </c>
      <c r="AN1379" t="s">
        <v>517</v>
      </c>
    </row>
    <row r="1380" spans="37:40" x14ac:dyDescent="0.25">
      <c r="AK1380" s="32" t="s">
        <v>49</v>
      </c>
      <c r="AL1380" t="s">
        <v>266</v>
      </c>
      <c r="AM1380" t="s">
        <v>78</v>
      </c>
      <c r="AN1380" t="s">
        <v>518</v>
      </c>
    </row>
    <row r="1381" spans="37:40" x14ac:dyDescent="0.25">
      <c r="AK1381" s="32" t="s">
        <v>49</v>
      </c>
      <c r="AL1381" t="s">
        <v>266</v>
      </c>
      <c r="AM1381" t="s">
        <v>100</v>
      </c>
      <c r="AN1381" t="s">
        <v>519</v>
      </c>
    </row>
    <row r="1382" spans="37:40" x14ac:dyDescent="0.25">
      <c r="AK1382" s="32" t="s">
        <v>49</v>
      </c>
      <c r="AL1382" t="s">
        <v>266</v>
      </c>
      <c r="AM1382" t="s">
        <v>112</v>
      </c>
      <c r="AN1382" t="s">
        <v>520</v>
      </c>
    </row>
    <row r="1383" spans="37:40" x14ac:dyDescent="0.25">
      <c r="AK1383" s="32" t="s">
        <v>49</v>
      </c>
      <c r="AL1383" t="s">
        <v>266</v>
      </c>
      <c r="AM1383" t="s">
        <v>127</v>
      </c>
      <c r="AN1383" t="s">
        <v>521</v>
      </c>
    </row>
    <row r="1384" spans="37:40" x14ac:dyDescent="0.25">
      <c r="AK1384" s="32" t="s">
        <v>49</v>
      </c>
      <c r="AL1384" t="s">
        <v>266</v>
      </c>
      <c r="AM1384" t="s">
        <v>140</v>
      </c>
      <c r="AN1384" t="s">
        <v>522</v>
      </c>
    </row>
    <row r="1385" spans="37:40" x14ac:dyDescent="0.25">
      <c r="AK1385" s="32" t="s">
        <v>49</v>
      </c>
      <c r="AL1385" t="s">
        <v>266</v>
      </c>
      <c r="AM1385" t="s">
        <v>152</v>
      </c>
      <c r="AN1385" t="s">
        <v>523</v>
      </c>
    </row>
    <row r="1386" spans="37:40" x14ac:dyDescent="0.25">
      <c r="AK1386" s="32" t="s">
        <v>49</v>
      </c>
      <c r="AL1386" t="s">
        <v>266</v>
      </c>
      <c r="AM1386" t="s">
        <v>164</v>
      </c>
      <c r="AN1386" t="s">
        <v>524</v>
      </c>
    </row>
    <row r="1387" spans="37:40" x14ac:dyDescent="0.25">
      <c r="AK1387" s="32" t="s">
        <v>49</v>
      </c>
      <c r="AL1387" t="s">
        <v>266</v>
      </c>
      <c r="AM1387" t="s">
        <v>179</v>
      </c>
      <c r="AN1387" t="s">
        <v>525</v>
      </c>
    </row>
    <row r="1388" spans="37:40" x14ac:dyDescent="0.25">
      <c r="AK1388" s="32" t="s">
        <v>49</v>
      </c>
      <c r="AL1388" t="s">
        <v>266</v>
      </c>
      <c r="AM1388" t="s">
        <v>193</v>
      </c>
      <c r="AN1388" t="s">
        <v>526</v>
      </c>
    </row>
    <row r="1389" spans="37:40" x14ac:dyDescent="0.25">
      <c r="AK1389" s="32" t="s">
        <v>49</v>
      </c>
      <c r="AL1389" t="s">
        <v>266</v>
      </c>
      <c r="AM1389" s="55"/>
      <c r="AN1389" s="55"/>
    </row>
    <row r="1390" spans="37:40" x14ac:dyDescent="0.25">
      <c r="AK1390" s="32" t="s">
        <v>49</v>
      </c>
      <c r="AL1390" t="s">
        <v>266</v>
      </c>
      <c r="AM1390" s="55"/>
      <c r="AN1390" s="55"/>
    </row>
    <row r="1391" spans="37:40" x14ac:dyDescent="0.25">
      <c r="AK1391" s="32" t="s">
        <v>49</v>
      </c>
      <c r="AL1391" t="s">
        <v>266</v>
      </c>
      <c r="AM1391" s="55"/>
      <c r="AN1391" s="55"/>
    </row>
    <row r="1392" spans="37:40" x14ac:dyDescent="0.25">
      <c r="AK1392" s="32" t="s">
        <v>49</v>
      </c>
      <c r="AL1392" t="s">
        <v>266</v>
      </c>
      <c r="AM1392" s="55"/>
      <c r="AN1392" s="55"/>
    </row>
    <row r="1393" spans="37:41" x14ac:dyDescent="0.25">
      <c r="AK1393" s="32" t="s">
        <v>49</v>
      </c>
      <c r="AL1393" t="s">
        <v>266</v>
      </c>
      <c r="AM1393" s="55"/>
      <c r="AN1393" s="55"/>
    </row>
    <row r="1394" spans="37:41" x14ac:dyDescent="0.25">
      <c r="AK1394" s="32" t="s">
        <v>49</v>
      </c>
      <c r="AL1394" t="s">
        <v>266</v>
      </c>
      <c r="AM1394" s="55"/>
      <c r="AN1394" s="55"/>
    </row>
    <row r="1395" spans="37:41" x14ac:dyDescent="0.25">
      <c r="AM1395" s="49"/>
      <c r="AN1395" s="49"/>
    </row>
    <row r="1396" spans="37:41" x14ac:dyDescent="0.25">
      <c r="AK1396" s="32" t="s">
        <v>49</v>
      </c>
      <c r="AL1396" t="s">
        <v>270</v>
      </c>
      <c r="AM1396" t="s">
        <v>50</v>
      </c>
      <c r="AN1396" t="s">
        <v>51</v>
      </c>
    </row>
    <row r="1397" spans="37:41" x14ac:dyDescent="0.25">
      <c r="AK1397" s="32" t="s">
        <v>49</v>
      </c>
      <c r="AL1397" t="s">
        <v>270</v>
      </c>
      <c r="AM1397" t="s">
        <v>78</v>
      </c>
      <c r="AN1397" t="s">
        <v>79</v>
      </c>
      <c r="AO1397" t="s">
        <v>465</v>
      </c>
    </row>
    <row r="1398" spans="37:41" x14ac:dyDescent="0.25">
      <c r="AK1398" s="32" t="s">
        <v>49</v>
      </c>
      <c r="AL1398" t="s">
        <v>270</v>
      </c>
      <c r="AM1398" t="s">
        <v>100</v>
      </c>
      <c r="AN1398" t="s">
        <v>101</v>
      </c>
      <c r="AO1398" t="s">
        <v>467</v>
      </c>
    </row>
    <row r="1399" spans="37:41" x14ac:dyDescent="0.25">
      <c r="AK1399" s="32" t="s">
        <v>49</v>
      </c>
      <c r="AL1399" t="s">
        <v>270</v>
      </c>
      <c r="AM1399" t="s">
        <v>112</v>
      </c>
      <c r="AN1399" t="s">
        <v>113</v>
      </c>
      <c r="AO1399" t="s">
        <v>469</v>
      </c>
    </row>
    <row r="1400" spans="37:41" x14ac:dyDescent="0.25">
      <c r="AK1400" s="32" t="s">
        <v>49</v>
      </c>
      <c r="AL1400" t="s">
        <v>270</v>
      </c>
      <c r="AM1400" t="s">
        <v>127</v>
      </c>
      <c r="AN1400" t="s">
        <v>128</v>
      </c>
      <c r="AO1400" t="s">
        <v>471</v>
      </c>
    </row>
    <row r="1401" spans="37:41" x14ac:dyDescent="0.25">
      <c r="AK1401" s="32" t="s">
        <v>49</v>
      </c>
      <c r="AL1401" t="s">
        <v>270</v>
      </c>
      <c r="AM1401" t="s">
        <v>140</v>
      </c>
      <c r="AN1401" t="s">
        <v>141</v>
      </c>
      <c r="AO1401" t="s">
        <v>473</v>
      </c>
    </row>
    <row r="1402" spans="37:41" x14ac:dyDescent="0.25">
      <c r="AK1402" s="32" t="s">
        <v>49</v>
      </c>
      <c r="AL1402" t="s">
        <v>270</v>
      </c>
      <c r="AM1402" t="s">
        <v>152</v>
      </c>
      <c r="AN1402" t="s">
        <v>153</v>
      </c>
      <c r="AO1402" t="s">
        <v>475</v>
      </c>
    </row>
    <row r="1403" spans="37:41" x14ac:dyDescent="0.25">
      <c r="AK1403" s="32" t="s">
        <v>49</v>
      </c>
      <c r="AL1403" t="s">
        <v>270</v>
      </c>
      <c r="AM1403" t="s">
        <v>164</v>
      </c>
      <c r="AN1403" t="s">
        <v>165</v>
      </c>
      <c r="AO1403" t="s">
        <v>477</v>
      </c>
    </row>
    <row r="1404" spans="37:41" x14ac:dyDescent="0.25">
      <c r="AK1404" s="32" t="s">
        <v>49</v>
      </c>
      <c r="AL1404" t="s">
        <v>270</v>
      </c>
      <c r="AM1404" t="s">
        <v>179</v>
      </c>
      <c r="AN1404" t="s">
        <v>180</v>
      </c>
      <c r="AO1404" t="s">
        <v>479</v>
      </c>
    </row>
    <row r="1405" spans="37:41" x14ac:dyDescent="0.25">
      <c r="AK1405" s="32" t="s">
        <v>49</v>
      </c>
      <c r="AL1405" t="s">
        <v>270</v>
      </c>
      <c r="AM1405" t="s">
        <v>193</v>
      </c>
      <c r="AN1405" t="s">
        <v>194</v>
      </c>
      <c r="AO1405" t="s">
        <v>481</v>
      </c>
    </row>
    <row r="1406" spans="37:41" x14ac:dyDescent="0.25">
      <c r="AK1406" s="32" t="s">
        <v>49</v>
      </c>
      <c r="AL1406" t="s">
        <v>270</v>
      </c>
      <c r="AM1406" t="s">
        <v>206</v>
      </c>
      <c r="AN1406" t="s">
        <v>207</v>
      </c>
      <c r="AO1406" t="s">
        <v>483</v>
      </c>
    </row>
    <row r="1407" spans="37:41" x14ac:dyDescent="0.25">
      <c r="AK1407" s="32" t="s">
        <v>49</v>
      </c>
      <c r="AL1407" t="s">
        <v>270</v>
      </c>
      <c r="AM1407" t="s">
        <v>218</v>
      </c>
      <c r="AN1407" t="s">
        <v>219</v>
      </c>
      <c r="AO1407" t="s">
        <v>469</v>
      </c>
    </row>
    <row r="1408" spans="37:41" x14ac:dyDescent="0.25">
      <c r="AK1408" s="32" t="s">
        <v>49</v>
      </c>
      <c r="AL1408" t="s">
        <v>270</v>
      </c>
      <c r="AM1408" t="s">
        <v>224</v>
      </c>
      <c r="AN1408" t="s">
        <v>225</v>
      </c>
      <c r="AO1408" t="s">
        <v>471</v>
      </c>
    </row>
    <row r="1409" spans="37:41" x14ac:dyDescent="0.25">
      <c r="AK1409" s="32" t="s">
        <v>49</v>
      </c>
      <c r="AL1409" t="s">
        <v>270</v>
      </c>
      <c r="AM1409" t="s">
        <v>228</v>
      </c>
      <c r="AN1409" t="s">
        <v>229</v>
      </c>
      <c r="AO1409" t="s">
        <v>473</v>
      </c>
    </row>
    <row r="1410" spans="37:41" x14ac:dyDescent="0.25">
      <c r="AK1410" s="32" t="s">
        <v>49</v>
      </c>
      <c r="AL1410" t="s">
        <v>270</v>
      </c>
      <c r="AM1410" t="s">
        <v>232</v>
      </c>
      <c r="AN1410" t="s">
        <v>233</v>
      </c>
      <c r="AO1410" t="s">
        <v>467</v>
      </c>
    </row>
    <row r="1411" spans="37:41" x14ac:dyDescent="0.25">
      <c r="AK1411" s="32" t="s">
        <v>49</v>
      </c>
      <c r="AL1411" t="s">
        <v>270</v>
      </c>
      <c r="AM1411" t="s">
        <v>237</v>
      </c>
      <c r="AN1411" t="s">
        <v>238</v>
      </c>
      <c r="AO1411" t="s">
        <v>471</v>
      </c>
    </row>
    <row r="1412" spans="37:41" x14ac:dyDescent="0.25">
      <c r="AK1412" s="32" t="s">
        <v>49</v>
      </c>
      <c r="AL1412" t="s">
        <v>270</v>
      </c>
      <c r="AM1412" t="s">
        <v>242</v>
      </c>
      <c r="AN1412" t="s">
        <v>243</v>
      </c>
      <c r="AO1412" t="s">
        <v>473</v>
      </c>
    </row>
    <row r="1413" spans="37:41" x14ac:dyDescent="0.25">
      <c r="AK1413" s="32" t="s">
        <v>49</v>
      </c>
      <c r="AL1413" t="s">
        <v>270</v>
      </c>
      <c r="AM1413" t="s">
        <v>247</v>
      </c>
      <c r="AN1413" t="s">
        <v>248</v>
      </c>
      <c r="AO1413" t="s">
        <v>475</v>
      </c>
    </row>
    <row r="1414" spans="37:41" x14ac:dyDescent="0.25">
      <c r="AK1414" s="32" t="s">
        <v>49</v>
      </c>
      <c r="AL1414" t="s">
        <v>270</v>
      </c>
      <c r="AM1414" t="s">
        <v>251</v>
      </c>
      <c r="AN1414" t="s">
        <v>252</v>
      </c>
      <c r="AO1414" t="s">
        <v>477</v>
      </c>
    </row>
    <row r="1415" spans="37:41" x14ac:dyDescent="0.25">
      <c r="AK1415" s="32" t="s">
        <v>49</v>
      </c>
      <c r="AL1415" t="s">
        <v>270</v>
      </c>
      <c r="AM1415" t="s">
        <v>255</v>
      </c>
      <c r="AN1415" t="s">
        <v>256</v>
      </c>
      <c r="AO1415" t="s">
        <v>467</v>
      </c>
    </row>
    <row r="1416" spans="37:41" x14ac:dyDescent="0.25">
      <c r="AK1416" s="32" t="s">
        <v>49</v>
      </c>
      <c r="AL1416" t="s">
        <v>270</v>
      </c>
      <c r="AM1416" t="s">
        <v>259</v>
      </c>
      <c r="AN1416" t="s">
        <v>260</v>
      </c>
      <c r="AO1416" t="s">
        <v>469</v>
      </c>
    </row>
    <row r="1417" spans="37:41" x14ac:dyDescent="0.25">
      <c r="AK1417" s="32" t="s">
        <v>49</v>
      </c>
      <c r="AL1417" t="s">
        <v>270</v>
      </c>
      <c r="AM1417" t="s">
        <v>263</v>
      </c>
      <c r="AN1417" t="s">
        <v>264</v>
      </c>
      <c r="AO1417" t="s">
        <v>473</v>
      </c>
    </row>
    <row r="1418" spans="37:41" x14ac:dyDescent="0.25">
      <c r="AK1418" s="32" t="s">
        <v>49</v>
      </c>
      <c r="AL1418" t="s">
        <v>270</v>
      </c>
      <c r="AM1418" t="s">
        <v>267</v>
      </c>
      <c r="AN1418" t="s">
        <v>268</v>
      </c>
      <c r="AO1418" t="s">
        <v>475</v>
      </c>
    </row>
    <row r="1419" spans="37:41" x14ac:dyDescent="0.25">
      <c r="AK1419" s="32" t="s">
        <v>49</v>
      </c>
      <c r="AL1419" t="s">
        <v>270</v>
      </c>
      <c r="AM1419" t="s">
        <v>271</v>
      </c>
      <c r="AN1419" t="s">
        <v>272</v>
      </c>
      <c r="AO1419" t="s">
        <v>477</v>
      </c>
    </row>
    <row r="1420" spans="37:41" x14ac:dyDescent="0.25">
      <c r="AK1420" s="32" t="s">
        <v>49</v>
      </c>
      <c r="AL1420" t="s">
        <v>270</v>
      </c>
      <c r="AM1420" t="s">
        <v>274</v>
      </c>
      <c r="AN1420" t="s">
        <v>275</v>
      </c>
      <c r="AO1420" t="s">
        <v>467</v>
      </c>
    </row>
    <row r="1421" spans="37:41" x14ac:dyDescent="0.25">
      <c r="AK1421" s="32" t="s">
        <v>49</v>
      </c>
      <c r="AL1421" t="s">
        <v>270</v>
      </c>
      <c r="AM1421" t="s">
        <v>277</v>
      </c>
      <c r="AN1421" t="s">
        <v>278</v>
      </c>
      <c r="AO1421" t="s">
        <v>469</v>
      </c>
    </row>
    <row r="1422" spans="37:41" x14ac:dyDescent="0.25">
      <c r="AK1422" s="32" t="s">
        <v>49</v>
      </c>
      <c r="AL1422" t="s">
        <v>270</v>
      </c>
      <c r="AM1422" t="s">
        <v>281</v>
      </c>
      <c r="AN1422" t="s">
        <v>282</v>
      </c>
      <c r="AO1422" t="s">
        <v>471</v>
      </c>
    </row>
    <row r="1423" spans="37:41" x14ac:dyDescent="0.25">
      <c r="AK1423" s="32" t="s">
        <v>49</v>
      </c>
      <c r="AL1423" t="s">
        <v>270</v>
      </c>
      <c r="AM1423" t="s">
        <v>285</v>
      </c>
      <c r="AN1423" t="s">
        <v>286</v>
      </c>
      <c r="AO1423" t="s">
        <v>475</v>
      </c>
    </row>
    <row r="1424" spans="37:41" x14ac:dyDescent="0.25">
      <c r="AK1424" s="32" t="s">
        <v>49</v>
      </c>
      <c r="AL1424" t="s">
        <v>270</v>
      </c>
      <c r="AM1424" t="s">
        <v>288</v>
      </c>
      <c r="AN1424" t="s">
        <v>289</v>
      </c>
      <c r="AO1424" t="s">
        <v>477</v>
      </c>
    </row>
    <row r="1425" spans="37:41" x14ac:dyDescent="0.25">
      <c r="AK1425" s="32" t="s">
        <v>49</v>
      </c>
      <c r="AL1425" t="s">
        <v>270</v>
      </c>
      <c r="AM1425" t="s">
        <v>292</v>
      </c>
      <c r="AN1425" t="s">
        <v>293</v>
      </c>
      <c r="AO1425" t="s">
        <v>479</v>
      </c>
    </row>
    <row r="1426" spans="37:41" x14ac:dyDescent="0.25">
      <c r="AK1426" s="32" t="s">
        <v>49</v>
      </c>
      <c r="AL1426" t="s">
        <v>270</v>
      </c>
      <c r="AM1426" t="s">
        <v>297</v>
      </c>
      <c r="AN1426" t="s">
        <v>298</v>
      </c>
      <c r="AO1426" t="s">
        <v>481</v>
      </c>
    </row>
    <row r="1427" spans="37:41" x14ac:dyDescent="0.25">
      <c r="AK1427" s="32" t="s">
        <v>49</v>
      </c>
      <c r="AL1427" t="s">
        <v>270</v>
      </c>
      <c r="AM1427" t="s">
        <v>302</v>
      </c>
      <c r="AN1427" t="s">
        <v>303</v>
      </c>
      <c r="AO1427" t="s">
        <v>469</v>
      </c>
    </row>
    <row r="1428" spans="37:41" x14ac:dyDescent="0.25">
      <c r="AK1428" s="32" t="s">
        <v>49</v>
      </c>
      <c r="AL1428" t="s">
        <v>270</v>
      </c>
      <c r="AM1428" t="s">
        <v>306</v>
      </c>
      <c r="AN1428" t="s">
        <v>307</v>
      </c>
      <c r="AO1428" t="s">
        <v>471</v>
      </c>
    </row>
    <row r="1429" spans="37:41" x14ac:dyDescent="0.25">
      <c r="AK1429" s="32" t="s">
        <v>49</v>
      </c>
      <c r="AL1429" t="s">
        <v>270</v>
      </c>
      <c r="AM1429" t="s">
        <v>310</v>
      </c>
      <c r="AN1429" t="s">
        <v>311</v>
      </c>
      <c r="AO1429" t="s">
        <v>473</v>
      </c>
    </row>
    <row r="1430" spans="37:41" x14ac:dyDescent="0.25">
      <c r="AK1430" s="32" t="s">
        <v>49</v>
      </c>
      <c r="AL1430" t="s">
        <v>270</v>
      </c>
      <c r="AM1430" t="s">
        <v>314</v>
      </c>
      <c r="AN1430" t="s">
        <v>315</v>
      </c>
      <c r="AO1430" t="s">
        <v>477</v>
      </c>
    </row>
    <row r="1431" spans="37:41" x14ac:dyDescent="0.25">
      <c r="AK1431" s="32" t="s">
        <v>49</v>
      </c>
      <c r="AL1431" t="s">
        <v>270</v>
      </c>
      <c r="AM1431" t="s">
        <v>318</v>
      </c>
      <c r="AN1431" t="s">
        <v>319</v>
      </c>
      <c r="AO1431" t="s">
        <v>479</v>
      </c>
    </row>
    <row r="1432" spans="37:41" x14ac:dyDescent="0.25">
      <c r="AK1432" s="32" t="s">
        <v>49</v>
      </c>
      <c r="AL1432" t="s">
        <v>270</v>
      </c>
      <c r="AM1432" t="s">
        <v>321</v>
      </c>
      <c r="AN1432" t="s">
        <v>322</v>
      </c>
      <c r="AO1432" t="s">
        <v>481</v>
      </c>
    </row>
    <row r="1433" spans="37:41" x14ac:dyDescent="0.25">
      <c r="AK1433" s="32" t="s">
        <v>49</v>
      </c>
      <c r="AL1433" t="s">
        <v>270</v>
      </c>
      <c r="AM1433" t="s">
        <v>325</v>
      </c>
      <c r="AN1433" t="s">
        <v>326</v>
      </c>
      <c r="AO1433" t="s">
        <v>483</v>
      </c>
    </row>
    <row r="1434" spans="37:41" x14ac:dyDescent="0.25">
      <c r="AK1434" s="32" t="s">
        <v>49</v>
      </c>
      <c r="AL1434" t="s">
        <v>270</v>
      </c>
      <c r="AM1434" t="s">
        <v>327</v>
      </c>
      <c r="AN1434" t="s">
        <v>328</v>
      </c>
      <c r="AO1434" t="s">
        <v>469</v>
      </c>
    </row>
    <row r="1435" spans="37:41" x14ac:dyDescent="0.25">
      <c r="AK1435" s="32" t="s">
        <v>49</v>
      </c>
      <c r="AL1435" t="s">
        <v>270</v>
      </c>
      <c r="AM1435" t="s">
        <v>329</v>
      </c>
      <c r="AN1435" t="s">
        <v>330</v>
      </c>
      <c r="AO1435" t="s">
        <v>471</v>
      </c>
    </row>
    <row r="1436" spans="37:41" x14ac:dyDescent="0.25">
      <c r="AK1436" s="32" t="s">
        <v>49</v>
      </c>
      <c r="AL1436" t="s">
        <v>270</v>
      </c>
      <c r="AM1436" t="s">
        <v>331</v>
      </c>
      <c r="AN1436" t="s">
        <v>332</v>
      </c>
      <c r="AO1436" t="s">
        <v>473</v>
      </c>
    </row>
    <row r="1437" spans="37:41" x14ac:dyDescent="0.25">
      <c r="AK1437" s="32" t="s">
        <v>49</v>
      </c>
      <c r="AL1437" t="s">
        <v>270</v>
      </c>
      <c r="AM1437" t="s">
        <v>333</v>
      </c>
      <c r="AN1437" t="s">
        <v>334</v>
      </c>
      <c r="AO1437" t="s">
        <v>475</v>
      </c>
    </row>
    <row r="1438" spans="37:41" x14ac:dyDescent="0.25">
      <c r="AK1438" s="32" t="s">
        <v>49</v>
      </c>
      <c r="AL1438" t="s">
        <v>270</v>
      </c>
      <c r="AM1438" t="s">
        <v>335</v>
      </c>
      <c r="AN1438" t="s">
        <v>336</v>
      </c>
      <c r="AO1438" t="s">
        <v>479</v>
      </c>
    </row>
    <row r="1439" spans="37:41" x14ac:dyDescent="0.25">
      <c r="AK1439" s="32" t="s">
        <v>49</v>
      </c>
      <c r="AL1439" t="s">
        <v>270</v>
      </c>
      <c r="AM1439" t="s">
        <v>337</v>
      </c>
      <c r="AN1439" t="s">
        <v>338</v>
      </c>
      <c r="AO1439" t="s">
        <v>481</v>
      </c>
    </row>
    <row r="1440" spans="37:41" x14ac:dyDescent="0.25">
      <c r="AK1440" s="32" t="s">
        <v>49</v>
      </c>
      <c r="AL1440" t="s">
        <v>270</v>
      </c>
      <c r="AM1440" t="s">
        <v>340</v>
      </c>
      <c r="AN1440" t="s">
        <v>341</v>
      </c>
      <c r="AO1440" t="s">
        <v>483</v>
      </c>
    </row>
    <row r="1441" spans="37:41" x14ac:dyDescent="0.25">
      <c r="AK1441" s="32" t="s">
        <v>49</v>
      </c>
      <c r="AL1441" t="s">
        <v>270</v>
      </c>
      <c r="AM1441" t="s">
        <v>342</v>
      </c>
      <c r="AN1441" t="s">
        <v>343</v>
      </c>
      <c r="AO1441" t="s">
        <v>471</v>
      </c>
    </row>
    <row r="1442" spans="37:41" x14ac:dyDescent="0.25">
      <c r="AK1442" s="32" t="s">
        <v>49</v>
      </c>
      <c r="AL1442" t="s">
        <v>270</v>
      </c>
      <c r="AM1442" t="s">
        <v>344</v>
      </c>
      <c r="AN1442" t="s">
        <v>345</v>
      </c>
      <c r="AO1442" t="s">
        <v>473</v>
      </c>
    </row>
    <row r="1443" spans="37:41" x14ac:dyDescent="0.25">
      <c r="AK1443" s="32" t="s">
        <v>49</v>
      </c>
      <c r="AL1443" t="s">
        <v>270</v>
      </c>
      <c r="AM1443" t="s">
        <v>346</v>
      </c>
      <c r="AN1443" t="s">
        <v>347</v>
      </c>
      <c r="AO1443" t="s">
        <v>475</v>
      </c>
    </row>
    <row r="1444" spans="37:41" x14ac:dyDescent="0.25">
      <c r="AK1444" s="32" t="s">
        <v>49</v>
      </c>
      <c r="AL1444" t="s">
        <v>270</v>
      </c>
      <c r="AM1444" t="s">
        <v>348</v>
      </c>
      <c r="AN1444" t="s">
        <v>349</v>
      </c>
      <c r="AO1444" t="s">
        <v>477</v>
      </c>
    </row>
    <row r="1445" spans="37:41" x14ac:dyDescent="0.25">
      <c r="AK1445" s="32" t="s">
        <v>49</v>
      </c>
      <c r="AL1445" t="s">
        <v>270</v>
      </c>
      <c r="AM1445" t="s">
        <v>350</v>
      </c>
      <c r="AN1445" t="s">
        <v>351</v>
      </c>
      <c r="AO1445" t="s">
        <v>481</v>
      </c>
    </row>
    <row r="1446" spans="37:41" x14ac:dyDescent="0.25">
      <c r="AK1446" s="32" t="s">
        <v>49</v>
      </c>
      <c r="AL1446" t="s">
        <v>270</v>
      </c>
      <c r="AM1446" t="s">
        <v>352</v>
      </c>
      <c r="AN1446" t="s">
        <v>353</v>
      </c>
      <c r="AO1446" t="s">
        <v>483</v>
      </c>
    </row>
    <row r="1447" spans="37:41" x14ac:dyDescent="0.25">
      <c r="AK1447" s="32" t="s">
        <v>49</v>
      </c>
      <c r="AL1447" t="s">
        <v>270</v>
      </c>
      <c r="AM1447" t="s">
        <v>354</v>
      </c>
      <c r="AN1447" t="s">
        <v>355</v>
      </c>
      <c r="AO1447" t="s">
        <v>473</v>
      </c>
    </row>
    <row r="1448" spans="37:41" x14ac:dyDescent="0.25">
      <c r="AK1448" s="32" t="s">
        <v>49</v>
      </c>
      <c r="AL1448" t="s">
        <v>270</v>
      </c>
      <c r="AM1448" t="s">
        <v>356</v>
      </c>
      <c r="AN1448" t="s">
        <v>357</v>
      </c>
      <c r="AO1448" t="s">
        <v>475</v>
      </c>
    </row>
    <row r="1449" spans="37:41" x14ac:dyDescent="0.25">
      <c r="AK1449" s="32" t="s">
        <v>49</v>
      </c>
      <c r="AL1449" t="s">
        <v>270</v>
      </c>
      <c r="AM1449" t="s">
        <v>358</v>
      </c>
      <c r="AN1449" t="s">
        <v>359</v>
      </c>
      <c r="AO1449" t="s">
        <v>477</v>
      </c>
    </row>
    <row r="1450" spans="37:41" x14ac:dyDescent="0.25">
      <c r="AK1450" s="32" t="s">
        <v>49</v>
      </c>
      <c r="AL1450" t="s">
        <v>270</v>
      </c>
      <c r="AM1450" t="s">
        <v>360</v>
      </c>
      <c r="AN1450" t="s">
        <v>361</v>
      </c>
      <c r="AO1450" t="s">
        <v>479</v>
      </c>
    </row>
    <row r="1451" spans="37:41" x14ac:dyDescent="0.25">
      <c r="AK1451" s="32" t="s">
        <v>49</v>
      </c>
      <c r="AL1451" t="s">
        <v>270</v>
      </c>
      <c r="AM1451" t="s">
        <v>362</v>
      </c>
      <c r="AN1451" t="s">
        <v>363</v>
      </c>
      <c r="AO1451" t="s">
        <v>483</v>
      </c>
    </row>
    <row r="1452" spans="37:41" x14ac:dyDescent="0.25">
      <c r="AK1452" s="32" t="s">
        <v>49</v>
      </c>
      <c r="AL1452" t="s">
        <v>270</v>
      </c>
      <c r="AM1452" t="s">
        <v>364</v>
      </c>
      <c r="AN1452" t="s">
        <v>365</v>
      </c>
      <c r="AO1452" t="s">
        <v>473</v>
      </c>
    </row>
    <row r="1453" spans="37:41" x14ac:dyDescent="0.25">
      <c r="AK1453" s="32" t="s">
        <v>49</v>
      </c>
      <c r="AL1453" t="s">
        <v>270</v>
      </c>
      <c r="AM1453" t="s">
        <v>366</v>
      </c>
      <c r="AN1453" t="s">
        <v>367</v>
      </c>
      <c r="AO1453" t="s">
        <v>475</v>
      </c>
    </row>
    <row r="1454" spans="37:41" x14ac:dyDescent="0.25">
      <c r="AK1454" s="32" t="s">
        <v>49</v>
      </c>
      <c r="AL1454" t="s">
        <v>270</v>
      </c>
      <c r="AM1454" t="s">
        <v>368</v>
      </c>
      <c r="AN1454" t="s">
        <v>369</v>
      </c>
      <c r="AO1454" t="s">
        <v>477</v>
      </c>
    </row>
    <row r="1455" spans="37:41" x14ac:dyDescent="0.25">
      <c r="AK1455" s="32" t="s">
        <v>49</v>
      </c>
      <c r="AL1455" t="s">
        <v>270</v>
      </c>
      <c r="AM1455" t="s">
        <v>370</v>
      </c>
      <c r="AN1455" t="s">
        <v>371</v>
      </c>
      <c r="AO1455" t="s">
        <v>479</v>
      </c>
    </row>
    <row r="1456" spans="37:41" x14ac:dyDescent="0.25">
      <c r="AO1456" t="s">
        <v>481</v>
      </c>
    </row>
    <row r="1458" spans="37:41" x14ac:dyDescent="0.25">
      <c r="AK1458" t="s">
        <v>49</v>
      </c>
      <c r="AL1458" s="54" t="s">
        <v>276</v>
      </c>
      <c r="AM1458" t="s">
        <v>50</v>
      </c>
      <c r="AN1458" t="s">
        <v>464</v>
      </c>
      <c r="AO1458" t="s">
        <v>465</v>
      </c>
    </row>
    <row r="1459" spans="37:41" x14ac:dyDescent="0.25">
      <c r="AK1459" t="s">
        <v>49</v>
      </c>
      <c r="AL1459" s="54" t="s">
        <v>276</v>
      </c>
      <c r="AM1459" t="s">
        <v>78</v>
      </c>
      <c r="AN1459" t="s">
        <v>466</v>
      </c>
      <c r="AO1459" t="s">
        <v>467</v>
      </c>
    </row>
    <row r="1460" spans="37:41" x14ac:dyDescent="0.25">
      <c r="AK1460" t="s">
        <v>49</v>
      </c>
      <c r="AL1460" s="54" t="s">
        <v>276</v>
      </c>
      <c r="AM1460" t="s">
        <v>100</v>
      </c>
      <c r="AN1460" t="s">
        <v>468</v>
      </c>
      <c r="AO1460" t="s">
        <v>469</v>
      </c>
    </row>
    <row r="1461" spans="37:41" x14ac:dyDescent="0.25">
      <c r="AK1461" t="s">
        <v>49</v>
      </c>
      <c r="AL1461" s="54" t="s">
        <v>276</v>
      </c>
      <c r="AM1461" t="s">
        <v>112</v>
      </c>
      <c r="AN1461" t="s">
        <v>470</v>
      </c>
      <c r="AO1461" t="s">
        <v>471</v>
      </c>
    </row>
    <row r="1462" spans="37:41" x14ac:dyDescent="0.25">
      <c r="AK1462" t="s">
        <v>49</v>
      </c>
      <c r="AL1462" s="54" t="s">
        <v>276</v>
      </c>
      <c r="AM1462" t="s">
        <v>127</v>
      </c>
      <c r="AN1462" t="s">
        <v>472</v>
      </c>
      <c r="AO1462" t="s">
        <v>473</v>
      </c>
    </row>
    <row r="1463" spans="37:41" x14ac:dyDescent="0.25">
      <c r="AK1463" t="s">
        <v>49</v>
      </c>
      <c r="AL1463" s="54" t="s">
        <v>276</v>
      </c>
      <c r="AM1463" t="s">
        <v>140</v>
      </c>
      <c r="AN1463" t="s">
        <v>474</v>
      </c>
      <c r="AO1463" t="s">
        <v>475</v>
      </c>
    </row>
    <row r="1464" spans="37:41" x14ac:dyDescent="0.25">
      <c r="AK1464" t="s">
        <v>49</v>
      </c>
      <c r="AL1464" s="54" t="s">
        <v>276</v>
      </c>
      <c r="AM1464" t="s">
        <v>152</v>
      </c>
      <c r="AN1464" t="s">
        <v>476</v>
      </c>
      <c r="AO1464" t="s">
        <v>477</v>
      </c>
    </row>
    <row r="1465" spans="37:41" x14ac:dyDescent="0.25">
      <c r="AK1465" t="s">
        <v>49</v>
      </c>
      <c r="AL1465" s="54" t="s">
        <v>276</v>
      </c>
      <c r="AM1465" t="s">
        <v>164</v>
      </c>
      <c r="AN1465" t="s">
        <v>478</v>
      </c>
      <c r="AO1465" t="s">
        <v>479</v>
      </c>
    </row>
    <row r="1466" spans="37:41" x14ac:dyDescent="0.25">
      <c r="AK1466" t="s">
        <v>49</v>
      </c>
      <c r="AL1466" s="54" t="s">
        <v>276</v>
      </c>
      <c r="AM1466" t="s">
        <v>179</v>
      </c>
      <c r="AN1466" t="s">
        <v>480</v>
      </c>
      <c r="AO1466" t="s">
        <v>481</v>
      </c>
    </row>
    <row r="1467" spans="37:41" x14ac:dyDescent="0.25">
      <c r="AK1467" t="s">
        <v>49</v>
      </c>
      <c r="AL1467" s="54" t="s">
        <v>276</v>
      </c>
      <c r="AM1467" t="s">
        <v>193</v>
      </c>
      <c r="AN1467" t="s">
        <v>482</v>
      </c>
      <c r="AO1467" t="s">
        <v>483</v>
      </c>
    </row>
    <row r="1468" spans="37:41" x14ac:dyDescent="0.25">
      <c r="AK1468" t="s">
        <v>49</v>
      </c>
      <c r="AL1468" s="54" t="s">
        <v>276</v>
      </c>
      <c r="AM1468" t="s">
        <v>206</v>
      </c>
      <c r="AN1468" t="s">
        <v>484</v>
      </c>
      <c r="AO1468" t="s">
        <v>469</v>
      </c>
    </row>
    <row r="1469" spans="37:41" x14ac:dyDescent="0.25">
      <c r="AK1469" t="s">
        <v>49</v>
      </c>
      <c r="AL1469" s="54" t="s">
        <v>276</v>
      </c>
      <c r="AM1469" t="s">
        <v>218</v>
      </c>
      <c r="AN1469" t="s">
        <v>485</v>
      </c>
      <c r="AO1469" t="s">
        <v>471</v>
      </c>
    </row>
    <row r="1470" spans="37:41" x14ac:dyDescent="0.25">
      <c r="AK1470" t="s">
        <v>49</v>
      </c>
      <c r="AL1470" s="54" t="s">
        <v>276</v>
      </c>
      <c r="AM1470" t="s">
        <v>224</v>
      </c>
      <c r="AN1470" t="s">
        <v>486</v>
      </c>
      <c r="AO1470" t="s">
        <v>473</v>
      </c>
    </row>
    <row r="1471" spans="37:41" x14ac:dyDescent="0.25">
      <c r="AK1471" t="s">
        <v>49</v>
      </c>
      <c r="AL1471" s="54" t="s">
        <v>276</v>
      </c>
      <c r="AM1471" s="37" t="s">
        <v>325</v>
      </c>
      <c r="AN1471" t="s">
        <v>484</v>
      </c>
      <c r="AO1471" t="s">
        <v>467</v>
      </c>
    </row>
    <row r="1472" spans="37:41" x14ac:dyDescent="0.25">
      <c r="AK1472" t="s">
        <v>49</v>
      </c>
      <c r="AL1472" s="54" t="s">
        <v>276</v>
      </c>
      <c r="AM1472" t="s">
        <v>228</v>
      </c>
      <c r="AN1472" t="s">
        <v>487</v>
      </c>
      <c r="AO1472" t="s">
        <v>471</v>
      </c>
    </row>
    <row r="1473" spans="37:41" x14ac:dyDescent="0.25">
      <c r="AK1473" t="s">
        <v>49</v>
      </c>
      <c r="AL1473" s="54" t="s">
        <v>276</v>
      </c>
      <c r="AM1473" t="s">
        <v>232</v>
      </c>
      <c r="AN1473" t="s">
        <v>488</v>
      </c>
      <c r="AO1473" t="s">
        <v>473</v>
      </c>
    </row>
    <row r="1474" spans="37:41" x14ac:dyDescent="0.25">
      <c r="AK1474" t="s">
        <v>49</v>
      </c>
      <c r="AL1474" s="54" t="s">
        <v>276</v>
      </c>
      <c r="AM1474" t="s">
        <v>237</v>
      </c>
      <c r="AN1474" t="s">
        <v>489</v>
      </c>
      <c r="AO1474" t="s">
        <v>475</v>
      </c>
    </row>
    <row r="1475" spans="37:41" x14ac:dyDescent="0.25">
      <c r="AK1475" t="s">
        <v>49</v>
      </c>
      <c r="AL1475" s="54" t="s">
        <v>276</v>
      </c>
      <c r="AM1475" t="s">
        <v>327</v>
      </c>
      <c r="AN1475" t="s">
        <v>490</v>
      </c>
      <c r="AO1475" t="s">
        <v>477</v>
      </c>
    </row>
    <row r="1476" spans="37:41" x14ac:dyDescent="0.25">
      <c r="AK1476" t="s">
        <v>49</v>
      </c>
      <c r="AL1476" s="54" t="s">
        <v>276</v>
      </c>
      <c r="AM1476" s="37" t="s">
        <v>329</v>
      </c>
      <c r="AN1476" t="s">
        <v>485</v>
      </c>
      <c r="AO1476" t="s">
        <v>467</v>
      </c>
    </row>
    <row r="1477" spans="37:41" x14ac:dyDescent="0.25">
      <c r="AK1477" t="s">
        <v>49</v>
      </c>
      <c r="AL1477" s="54" t="s">
        <v>276</v>
      </c>
      <c r="AM1477" s="37" t="s">
        <v>331</v>
      </c>
      <c r="AN1477" t="s">
        <v>487</v>
      </c>
      <c r="AO1477" t="s">
        <v>469</v>
      </c>
    </row>
    <row r="1478" spans="37:41" x14ac:dyDescent="0.25">
      <c r="AK1478" t="s">
        <v>49</v>
      </c>
      <c r="AL1478" s="54" t="s">
        <v>276</v>
      </c>
      <c r="AM1478" t="s">
        <v>242</v>
      </c>
      <c r="AN1478" t="s">
        <v>491</v>
      </c>
      <c r="AO1478" t="s">
        <v>473</v>
      </c>
    </row>
    <row r="1479" spans="37:41" x14ac:dyDescent="0.25">
      <c r="AK1479" t="s">
        <v>49</v>
      </c>
      <c r="AL1479" s="54" t="s">
        <v>276</v>
      </c>
      <c r="AM1479" t="s">
        <v>247</v>
      </c>
      <c r="AN1479" t="s">
        <v>492</v>
      </c>
      <c r="AO1479" t="s">
        <v>475</v>
      </c>
    </row>
    <row r="1480" spans="37:41" x14ac:dyDescent="0.25">
      <c r="AK1480" t="s">
        <v>49</v>
      </c>
      <c r="AL1480" s="54" t="s">
        <v>276</v>
      </c>
      <c r="AM1480" t="s">
        <v>251</v>
      </c>
      <c r="AN1480" t="s">
        <v>493</v>
      </c>
      <c r="AO1480" t="s">
        <v>477</v>
      </c>
    </row>
    <row r="1481" spans="37:41" x14ac:dyDescent="0.25">
      <c r="AK1481" t="s">
        <v>49</v>
      </c>
      <c r="AL1481" s="54" t="s">
        <v>276</v>
      </c>
      <c r="AM1481" s="37" t="s">
        <v>333</v>
      </c>
      <c r="AN1481" s="39" t="s">
        <v>486</v>
      </c>
      <c r="AO1481" t="s">
        <v>467</v>
      </c>
    </row>
    <row r="1482" spans="37:41" x14ac:dyDescent="0.25">
      <c r="AK1482" t="s">
        <v>49</v>
      </c>
      <c r="AL1482" s="54" t="s">
        <v>276</v>
      </c>
      <c r="AM1482" s="37" t="s">
        <v>335</v>
      </c>
      <c r="AN1482" s="39" t="s">
        <v>488</v>
      </c>
      <c r="AO1482" t="s">
        <v>469</v>
      </c>
    </row>
    <row r="1483" spans="37:41" x14ac:dyDescent="0.25">
      <c r="AK1483" t="s">
        <v>49</v>
      </c>
      <c r="AL1483" s="54" t="s">
        <v>276</v>
      </c>
      <c r="AM1483" s="37" t="s">
        <v>337</v>
      </c>
      <c r="AN1483" s="39" t="s">
        <v>491</v>
      </c>
      <c r="AO1483" t="s">
        <v>471</v>
      </c>
    </row>
    <row r="1484" spans="37:41" x14ac:dyDescent="0.25">
      <c r="AK1484" t="s">
        <v>49</v>
      </c>
      <c r="AL1484" s="54" t="s">
        <v>276</v>
      </c>
      <c r="AM1484" s="37" t="s">
        <v>255</v>
      </c>
      <c r="AN1484" s="39" t="s">
        <v>494</v>
      </c>
      <c r="AO1484" t="s">
        <v>475</v>
      </c>
    </row>
    <row r="1485" spans="37:41" x14ac:dyDescent="0.25">
      <c r="AK1485" t="s">
        <v>49</v>
      </c>
      <c r="AL1485" s="54" t="s">
        <v>276</v>
      </c>
      <c r="AM1485" t="s">
        <v>259</v>
      </c>
      <c r="AN1485" t="s">
        <v>495</v>
      </c>
      <c r="AO1485" t="s">
        <v>477</v>
      </c>
    </row>
    <row r="1486" spans="37:41" x14ac:dyDescent="0.25">
      <c r="AK1486" t="s">
        <v>49</v>
      </c>
      <c r="AL1486" s="54" t="s">
        <v>276</v>
      </c>
      <c r="AM1486" s="37" t="s">
        <v>263</v>
      </c>
      <c r="AN1486" s="39" t="s">
        <v>496</v>
      </c>
      <c r="AO1486" t="s">
        <v>479</v>
      </c>
    </row>
    <row r="1487" spans="37:41" x14ac:dyDescent="0.25">
      <c r="AK1487" t="s">
        <v>49</v>
      </c>
      <c r="AL1487" s="54" t="s">
        <v>276</v>
      </c>
      <c r="AM1487" t="s">
        <v>340</v>
      </c>
      <c r="AN1487" t="s">
        <v>497</v>
      </c>
      <c r="AO1487" t="s">
        <v>481</v>
      </c>
    </row>
    <row r="1488" spans="37:41" x14ac:dyDescent="0.25">
      <c r="AK1488" t="s">
        <v>49</v>
      </c>
      <c r="AL1488" s="54" t="s">
        <v>276</v>
      </c>
      <c r="AM1488" s="37" t="s">
        <v>342</v>
      </c>
      <c r="AN1488" s="39" t="s">
        <v>489</v>
      </c>
      <c r="AO1488" t="s">
        <v>469</v>
      </c>
    </row>
    <row r="1489" spans="37:41" x14ac:dyDescent="0.25">
      <c r="AK1489" t="s">
        <v>49</v>
      </c>
      <c r="AL1489" s="54" t="s">
        <v>276</v>
      </c>
      <c r="AM1489" s="37" t="s">
        <v>344</v>
      </c>
      <c r="AN1489" s="59" t="s">
        <v>492</v>
      </c>
      <c r="AO1489" t="s">
        <v>471</v>
      </c>
    </row>
    <row r="1490" spans="37:41" x14ac:dyDescent="0.25">
      <c r="AK1490" t="s">
        <v>49</v>
      </c>
      <c r="AL1490" s="54" t="s">
        <v>276</v>
      </c>
      <c r="AM1490" s="37" t="s">
        <v>346</v>
      </c>
      <c r="AN1490" s="39" t="s">
        <v>498</v>
      </c>
      <c r="AO1490" t="s">
        <v>473</v>
      </c>
    </row>
    <row r="1491" spans="37:41" x14ac:dyDescent="0.25">
      <c r="AK1491" t="s">
        <v>49</v>
      </c>
      <c r="AL1491" s="54" t="s">
        <v>276</v>
      </c>
      <c r="AM1491" t="s">
        <v>267</v>
      </c>
      <c r="AN1491" t="s">
        <v>499</v>
      </c>
      <c r="AO1491" t="s">
        <v>477</v>
      </c>
    </row>
    <row r="1492" spans="37:41" x14ac:dyDescent="0.25">
      <c r="AK1492" t="s">
        <v>49</v>
      </c>
      <c r="AL1492" s="54" t="s">
        <v>276</v>
      </c>
      <c r="AM1492" s="37" t="s">
        <v>271</v>
      </c>
      <c r="AN1492" s="39" t="s">
        <v>500</v>
      </c>
      <c r="AO1492" t="s">
        <v>479</v>
      </c>
    </row>
    <row r="1493" spans="37:41" x14ac:dyDescent="0.25">
      <c r="AK1493" t="s">
        <v>49</v>
      </c>
      <c r="AL1493" s="54" t="s">
        <v>276</v>
      </c>
      <c r="AM1493" t="s">
        <v>274</v>
      </c>
      <c r="AN1493" t="s">
        <v>501</v>
      </c>
      <c r="AO1493" t="s">
        <v>481</v>
      </c>
    </row>
    <row r="1494" spans="37:41" x14ac:dyDescent="0.25">
      <c r="AK1494" t="s">
        <v>49</v>
      </c>
      <c r="AL1494" s="54" t="s">
        <v>276</v>
      </c>
      <c r="AM1494" t="s">
        <v>348</v>
      </c>
      <c r="AN1494" t="s">
        <v>502</v>
      </c>
      <c r="AO1494" t="s">
        <v>483</v>
      </c>
    </row>
    <row r="1495" spans="37:41" x14ac:dyDescent="0.25">
      <c r="AK1495" t="s">
        <v>49</v>
      </c>
      <c r="AL1495" s="54" t="s">
        <v>276</v>
      </c>
      <c r="AM1495" s="37" t="s">
        <v>350</v>
      </c>
      <c r="AN1495" s="39" t="s">
        <v>490</v>
      </c>
      <c r="AO1495" t="s">
        <v>469</v>
      </c>
    </row>
    <row r="1496" spans="37:41" x14ac:dyDescent="0.25">
      <c r="AK1496" t="s">
        <v>49</v>
      </c>
      <c r="AL1496" s="54" t="s">
        <v>276</v>
      </c>
      <c r="AM1496" s="37" t="s">
        <v>352</v>
      </c>
      <c r="AN1496" s="39" t="s">
        <v>493</v>
      </c>
      <c r="AO1496" t="s">
        <v>471</v>
      </c>
    </row>
    <row r="1497" spans="37:41" x14ac:dyDescent="0.25">
      <c r="AK1497" t="s">
        <v>49</v>
      </c>
      <c r="AL1497" s="54" t="s">
        <v>276</v>
      </c>
      <c r="AM1497" s="37" t="s">
        <v>354</v>
      </c>
      <c r="AN1497" s="39" t="s">
        <v>495</v>
      </c>
      <c r="AO1497" t="s">
        <v>473</v>
      </c>
    </row>
    <row r="1498" spans="37:41" x14ac:dyDescent="0.25">
      <c r="AK1498" t="s">
        <v>49</v>
      </c>
      <c r="AL1498" s="54" t="s">
        <v>276</v>
      </c>
      <c r="AM1498" s="37" t="s">
        <v>356</v>
      </c>
      <c r="AN1498" s="39" t="s">
        <v>499</v>
      </c>
      <c r="AO1498" t="s">
        <v>475</v>
      </c>
    </row>
    <row r="1499" spans="37:41" x14ac:dyDescent="0.25">
      <c r="AK1499" t="s">
        <v>49</v>
      </c>
      <c r="AL1499" s="54" t="s">
        <v>276</v>
      </c>
      <c r="AM1499" t="s">
        <v>277</v>
      </c>
      <c r="AN1499" t="s">
        <v>503</v>
      </c>
      <c r="AO1499" t="s">
        <v>479</v>
      </c>
    </row>
    <row r="1500" spans="37:41" x14ac:dyDescent="0.25">
      <c r="AK1500" t="s">
        <v>49</v>
      </c>
      <c r="AL1500" s="54" t="s">
        <v>276</v>
      </c>
      <c r="AM1500" t="s">
        <v>281</v>
      </c>
      <c r="AN1500" t="s">
        <v>504</v>
      </c>
      <c r="AO1500" t="s">
        <v>481</v>
      </c>
    </row>
    <row r="1501" spans="37:41" x14ac:dyDescent="0.25">
      <c r="AK1501" t="s">
        <v>49</v>
      </c>
      <c r="AL1501" s="54" t="s">
        <v>276</v>
      </c>
      <c r="AM1501" t="s">
        <v>285</v>
      </c>
      <c r="AN1501" t="s">
        <v>505</v>
      </c>
      <c r="AO1501" t="s">
        <v>483</v>
      </c>
    </row>
    <row r="1502" spans="37:41" x14ac:dyDescent="0.25">
      <c r="AK1502" t="s">
        <v>49</v>
      </c>
      <c r="AL1502" s="54" t="s">
        <v>276</v>
      </c>
      <c r="AM1502" s="37" t="s">
        <v>358</v>
      </c>
      <c r="AN1502" s="39" t="s">
        <v>506</v>
      </c>
      <c r="AO1502" t="s">
        <v>471</v>
      </c>
    </row>
    <row r="1503" spans="37:41" x14ac:dyDescent="0.25">
      <c r="AK1503" t="s">
        <v>49</v>
      </c>
      <c r="AL1503" s="54" t="s">
        <v>276</v>
      </c>
      <c r="AM1503" s="37" t="s">
        <v>360</v>
      </c>
      <c r="AN1503" s="39" t="s">
        <v>507</v>
      </c>
      <c r="AO1503" t="s">
        <v>473</v>
      </c>
    </row>
    <row r="1504" spans="37:41" x14ac:dyDescent="0.25">
      <c r="AK1504" t="s">
        <v>49</v>
      </c>
      <c r="AL1504" s="54" t="s">
        <v>276</v>
      </c>
      <c r="AM1504" s="37" t="s">
        <v>362</v>
      </c>
      <c r="AN1504" s="39" t="s">
        <v>508</v>
      </c>
      <c r="AO1504" t="s">
        <v>475</v>
      </c>
    </row>
    <row r="1505" spans="37:41" x14ac:dyDescent="0.25">
      <c r="AK1505" t="s">
        <v>49</v>
      </c>
      <c r="AL1505" s="54" t="s">
        <v>276</v>
      </c>
      <c r="AM1505" s="37" t="s">
        <v>297</v>
      </c>
      <c r="AN1505" s="39" t="s">
        <v>503</v>
      </c>
      <c r="AO1505" t="s">
        <v>477</v>
      </c>
    </row>
    <row r="1506" spans="37:41" x14ac:dyDescent="0.25">
      <c r="AK1506" t="s">
        <v>49</v>
      </c>
      <c r="AL1506" s="54" t="s">
        <v>276</v>
      </c>
      <c r="AM1506" s="37" t="s">
        <v>288</v>
      </c>
      <c r="AN1506" s="39" t="s">
        <v>509</v>
      </c>
      <c r="AO1506" t="s">
        <v>481</v>
      </c>
    </row>
    <row r="1507" spans="37:41" x14ac:dyDescent="0.25">
      <c r="AK1507" t="s">
        <v>49</v>
      </c>
      <c r="AL1507" s="54" t="s">
        <v>276</v>
      </c>
      <c r="AM1507" t="s">
        <v>292</v>
      </c>
      <c r="AN1507" t="s">
        <v>510</v>
      </c>
      <c r="AO1507" t="s">
        <v>483</v>
      </c>
    </row>
    <row r="1508" spans="37:41" x14ac:dyDescent="0.25">
      <c r="AK1508" t="s">
        <v>49</v>
      </c>
      <c r="AL1508" s="54" t="s">
        <v>276</v>
      </c>
      <c r="AM1508" s="37" t="s">
        <v>364</v>
      </c>
      <c r="AN1508" s="39" t="s">
        <v>497</v>
      </c>
      <c r="AO1508" t="s">
        <v>473</v>
      </c>
    </row>
    <row r="1509" spans="37:41" x14ac:dyDescent="0.25">
      <c r="AK1509" t="s">
        <v>49</v>
      </c>
      <c r="AL1509" s="54" t="s">
        <v>276</v>
      </c>
      <c r="AM1509" s="37" t="s">
        <v>366</v>
      </c>
      <c r="AN1509" s="39" t="s">
        <v>501</v>
      </c>
      <c r="AO1509" t="s">
        <v>475</v>
      </c>
    </row>
    <row r="1510" spans="37:41" x14ac:dyDescent="0.25">
      <c r="AK1510" t="s">
        <v>49</v>
      </c>
      <c r="AL1510" s="54" t="s">
        <v>276</v>
      </c>
      <c r="AM1510" s="37" t="s">
        <v>310</v>
      </c>
      <c r="AN1510" s="39" t="s">
        <v>504</v>
      </c>
      <c r="AO1510" t="s">
        <v>477</v>
      </c>
    </row>
    <row r="1511" spans="37:41" x14ac:dyDescent="0.25">
      <c r="AK1511" t="s">
        <v>49</v>
      </c>
      <c r="AL1511" s="54" t="s">
        <v>276</v>
      </c>
      <c r="AM1511" s="37" t="s">
        <v>306</v>
      </c>
      <c r="AN1511" s="39" t="s">
        <v>511</v>
      </c>
      <c r="AO1511" t="s">
        <v>479</v>
      </c>
    </row>
    <row r="1512" spans="37:41" x14ac:dyDescent="0.25">
      <c r="AK1512" t="s">
        <v>49</v>
      </c>
      <c r="AL1512" s="54" t="s">
        <v>276</v>
      </c>
      <c r="AM1512" t="s">
        <v>302</v>
      </c>
      <c r="AN1512" t="s">
        <v>512</v>
      </c>
      <c r="AO1512" t="s">
        <v>483</v>
      </c>
    </row>
    <row r="1513" spans="37:41" x14ac:dyDescent="0.25">
      <c r="AK1513" t="s">
        <v>49</v>
      </c>
      <c r="AL1513" s="54" t="s">
        <v>276</v>
      </c>
      <c r="AM1513" s="37" t="s">
        <v>368</v>
      </c>
      <c r="AN1513" s="39" t="s">
        <v>513</v>
      </c>
      <c r="AO1513" t="s">
        <v>473</v>
      </c>
    </row>
    <row r="1514" spans="37:41" x14ac:dyDescent="0.25">
      <c r="AK1514" t="s">
        <v>49</v>
      </c>
      <c r="AL1514" s="54" t="s">
        <v>276</v>
      </c>
      <c r="AM1514" s="37" t="s">
        <v>370</v>
      </c>
      <c r="AN1514" s="39" t="s">
        <v>502</v>
      </c>
      <c r="AO1514" t="s">
        <v>475</v>
      </c>
    </row>
    <row r="1515" spans="37:41" x14ac:dyDescent="0.25">
      <c r="AK1515" t="s">
        <v>49</v>
      </c>
      <c r="AL1515" s="54" t="s">
        <v>276</v>
      </c>
      <c r="AM1515" s="37" t="s">
        <v>321</v>
      </c>
      <c r="AN1515" s="39" t="s">
        <v>505</v>
      </c>
      <c r="AO1515" t="s">
        <v>477</v>
      </c>
    </row>
    <row r="1516" spans="37:41" x14ac:dyDescent="0.25">
      <c r="AK1516" t="s">
        <v>49</v>
      </c>
      <c r="AL1516" s="54" t="s">
        <v>276</v>
      </c>
      <c r="AM1516" s="37" t="s">
        <v>318</v>
      </c>
      <c r="AN1516" s="39" t="s">
        <v>510</v>
      </c>
      <c r="AO1516" t="s">
        <v>479</v>
      </c>
    </row>
    <row r="1517" spans="37:41" x14ac:dyDescent="0.25">
      <c r="AK1517" t="s">
        <v>49</v>
      </c>
      <c r="AL1517" s="54" t="s">
        <v>276</v>
      </c>
      <c r="AM1517" s="37" t="s">
        <v>314</v>
      </c>
      <c r="AN1517" s="39" t="s">
        <v>512</v>
      </c>
      <c r="AO1517" t="s">
        <v>481</v>
      </c>
    </row>
    <row r="1519" spans="37:41" x14ac:dyDescent="0.25">
      <c r="AK1519" t="s">
        <v>49</v>
      </c>
      <c r="AL1519" t="s">
        <v>280</v>
      </c>
      <c r="AM1519" t="s">
        <v>50</v>
      </c>
      <c r="AN1519" t="s">
        <v>464</v>
      </c>
      <c r="AO1519" t="s">
        <v>465</v>
      </c>
    </row>
    <row r="1520" spans="37:41" x14ac:dyDescent="0.25">
      <c r="AK1520" t="s">
        <v>49</v>
      </c>
      <c r="AL1520" t="s">
        <v>280</v>
      </c>
      <c r="AM1520" t="s">
        <v>78</v>
      </c>
      <c r="AN1520" t="s">
        <v>466</v>
      </c>
      <c r="AO1520" t="s">
        <v>467</v>
      </c>
    </row>
    <row r="1521" spans="37:41" x14ac:dyDescent="0.25">
      <c r="AK1521" t="s">
        <v>49</v>
      </c>
      <c r="AL1521" t="s">
        <v>280</v>
      </c>
      <c r="AM1521" t="s">
        <v>100</v>
      </c>
      <c r="AN1521" t="s">
        <v>468</v>
      </c>
      <c r="AO1521" t="s">
        <v>469</v>
      </c>
    </row>
    <row r="1522" spans="37:41" x14ac:dyDescent="0.25">
      <c r="AK1522" t="s">
        <v>49</v>
      </c>
      <c r="AL1522" t="s">
        <v>280</v>
      </c>
      <c r="AM1522" t="s">
        <v>112</v>
      </c>
      <c r="AN1522" t="s">
        <v>470</v>
      </c>
      <c r="AO1522" t="s">
        <v>471</v>
      </c>
    </row>
    <row r="1523" spans="37:41" x14ac:dyDescent="0.25">
      <c r="AK1523" t="s">
        <v>49</v>
      </c>
      <c r="AL1523" t="s">
        <v>280</v>
      </c>
      <c r="AM1523" t="s">
        <v>127</v>
      </c>
      <c r="AN1523" t="s">
        <v>472</v>
      </c>
      <c r="AO1523" t="s">
        <v>473</v>
      </c>
    </row>
    <row r="1524" spans="37:41" x14ac:dyDescent="0.25">
      <c r="AK1524" t="s">
        <v>49</v>
      </c>
      <c r="AL1524" t="s">
        <v>280</v>
      </c>
      <c r="AM1524" t="s">
        <v>140</v>
      </c>
      <c r="AN1524" t="s">
        <v>474</v>
      </c>
      <c r="AO1524" t="s">
        <v>475</v>
      </c>
    </row>
    <row r="1525" spans="37:41" x14ac:dyDescent="0.25">
      <c r="AK1525" t="s">
        <v>49</v>
      </c>
      <c r="AL1525" t="s">
        <v>280</v>
      </c>
      <c r="AM1525" t="s">
        <v>152</v>
      </c>
      <c r="AN1525" t="s">
        <v>476</v>
      </c>
      <c r="AO1525" t="s">
        <v>477</v>
      </c>
    </row>
    <row r="1526" spans="37:41" x14ac:dyDescent="0.25">
      <c r="AK1526" t="s">
        <v>49</v>
      </c>
      <c r="AL1526" t="s">
        <v>280</v>
      </c>
      <c r="AM1526" t="s">
        <v>164</v>
      </c>
      <c r="AN1526" t="s">
        <v>478</v>
      </c>
      <c r="AO1526" t="s">
        <v>479</v>
      </c>
    </row>
    <row r="1527" spans="37:41" x14ac:dyDescent="0.25">
      <c r="AK1527" t="s">
        <v>49</v>
      </c>
      <c r="AL1527" t="s">
        <v>280</v>
      </c>
      <c r="AM1527" t="s">
        <v>179</v>
      </c>
      <c r="AN1527" t="s">
        <v>480</v>
      </c>
      <c r="AO1527" t="s">
        <v>481</v>
      </c>
    </row>
    <row r="1528" spans="37:41" x14ac:dyDescent="0.25">
      <c r="AK1528" t="s">
        <v>49</v>
      </c>
      <c r="AL1528" t="s">
        <v>280</v>
      </c>
      <c r="AM1528" t="s">
        <v>193</v>
      </c>
      <c r="AN1528" t="s">
        <v>482</v>
      </c>
      <c r="AO1528" t="s">
        <v>483</v>
      </c>
    </row>
    <row r="1529" spans="37:41" x14ac:dyDescent="0.25">
      <c r="AK1529" t="s">
        <v>49</v>
      </c>
      <c r="AL1529" t="s">
        <v>280</v>
      </c>
      <c r="AM1529" t="s">
        <v>206</v>
      </c>
      <c r="AN1529" t="s">
        <v>484</v>
      </c>
      <c r="AO1529" t="s">
        <v>469</v>
      </c>
    </row>
    <row r="1530" spans="37:41" x14ac:dyDescent="0.25">
      <c r="AK1530" t="s">
        <v>49</v>
      </c>
      <c r="AL1530" t="s">
        <v>280</v>
      </c>
      <c r="AM1530" t="s">
        <v>218</v>
      </c>
      <c r="AN1530" t="s">
        <v>485</v>
      </c>
      <c r="AO1530" t="s">
        <v>471</v>
      </c>
    </row>
    <row r="1531" spans="37:41" x14ac:dyDescent="0.25">
      <c r="AK1531" t="s">
        <v>49</v>
      </c>
      <c r="AL1531" t="s">
        <v>280</v>
      </c>
      <c r="AM1531" t="s">
        <v>224</v>
      </c>
      <c r="AN1531" t="s">
        <v>486</v>
      </c>
      <c r="AO1531" t="s">
        <v>473</v>
      </c>
    </row>
    <row r="1532" spans="37:41" x14ac:dyDescent="0.25">
      <c r="AK1532" t="s">
        <v>49</v>
      </c>
      <c r="AL1532" t="s">
        <v>280</v>
      </c>
      <c r="AM1532" s="37" t="s">
        <v>325</v>
      </c>
      <c r="AN1532" t="s">
        <v>484</v>
      </c>
      <c r="AO1532" t="s">
        <v>467</v>
      </c>
    </row>
    <row r="1533" spans="37:41" x14ac:dyDescent="0.25">
      <c r="AK1533" t="s">
        <v>49</v>
      </c>
      <c r="AL1533" t="s">
        <v>280</v>
      </c>
      <c r="AM1533" t="s">
        <v>228</v>
      </c>
      <c r="AN1533" t="s">
        <v>487</v>
      </c>
      <c r="AO1533" t="s">
        <v>471</v>
      </c>
    </row>
    <row r="1534" spans="37:41" x14ac:dyDescent="0.25">
      <c r="AK1534" t="s">
        <v>49</v>
      </c>
      <c r="AL1534" t="s">
        <v>280</v>
      </c>
      <c r="AM1534" t="s">
        <v>232</v>
      </c>
      <c r="AN1534" t="s">
        <v>488</v>
      </c>
      <c r="AO1534" t="s">
        <v>473</v>
      </c>
    </row>
    <row r="1535" spans="37:41" x14ac:dyDescent="0.25">
      <c r="AK1535" t="s">
        <v>49</v>
      </c>
      <c r="AL1535" t="s">
        <v>280</v>
      </c>
      <c r="AM1535" t="s">
        <v>237</v>
      </c>
      <c r="AN1535" t="s">
        <v>489</v>
      </c>
      <c r="AO1535" t="s">
        <v>475</v>
      </c>
    </row>
    <row r="1536" spans="37:41" x14ac:dyDescent="0.25">
      <c r="AK1536" t="s">
        <v>49</v>
      </c>
      <c r="AL1536" t="s">
        <v>280</v>
      </c>
      <c r="AM1536" t="s">
        <v>327</v>
      </c>
      <c r="AN1536" t="s">
        <v>490</v>
      </c>
      <c r="AO1536" t="s">
        <v>477</v>
      </c>
    </row>
    <row r="1537" spans="37:41" x14ac:dyDescent="0.25">
      <c r="AK1537" t="s">
        <v>49</v>
      </c>
      <c r="AL1537" t="s">
        <v>280</v>
      </c>
      <c r="AM1537" s="37" t="s">
        <v>329</v>
      </c>
      <c r="AN1537" t="s">
        <v>485</v>
      </c>
      <c r="AO1537" t="s">
        <v>467</v>
      </c>
    </row>
    <row r="1538" spans="37:41" x14ac:dyDescent="0.25">
      <c r="AK1538" t="s">
        <v>49</v>
      </c>
      <c r="AL1538" t="s">
        <v>280</v>
      </c>
      <c r="AM1538" s="37" t="s">
        <v>331</v>
      </c>
      <c r="AN1538" t="s">
        <v>487</v>
      </c>
      <c r="AO1538" t="s">
        <v>469</v>
      </c>
    </row>
    <row r="1539" spans="37:41" x14ac:dyDescent="0.25">
      <c r="AK1539" t="s">
        <v>49</v>
      </c>
      <c r="AL1539" t="s">
        <v>280</v>
      </c>
      <c r="AM1539" t="s">
        <v>242</v>
      </c>
      <c r="AN1539" t="s">
        <v>491</v>
      </c>
      <c r="AO1539" t="s">
        <v>473</v>
      </c>
    </row>
    <row r="1540" spans="37:41" x14ac:dyDescent="0.25">
      <c r="AK1540" t="s">
        <v>49</v>
      </c>
      <c r="AL1540" t="s">
        <v>280</v>
      </c>
      <c r="AM1540" t="s">
        <v>247</v>
      </c>
      <c r="AN1540" t="s">
        <v>492</v>
      </c>
      <c r="AO1540" t="s">
        <v>475</v>
      </c>
    </row>
    <row r="1541" spans="37:41" x14ac:dyDescent="0.25">
      <c r="AK1541" t="s">
        <v>49</v>
      </c>
      <c r="AL1541" t="s">
        <v>280</v>
      </c>
      <c r="AM1541" t="s">
        <v>251</v>
      </c>
      <c r="AN1541" t="s">
        <v>493</v>
      </c>
      <c r="AO1541" t="s">
        <v>477</v>
      </c>
    </row>
    <row r="1542" spans="37:41" x14ac:dyDescent="0.25">
      <c r="AK1542" t="s">
        <v>49</v>
      </c>
      <c r="AL1542" t="s">
        <v>280</v>
      </c>
      <c r="AM1542" s="37" t="s">
        <v>333</v>
      </c>
      <c r="AN1542" s="39" t="s">
        <v>486</v>
      </c>
      <c r="AO1542" t="s">
        <v>467</v>
      </c>
    </row>
    <row r="1543" spans="37:41" x14ac:dyDescent="0.25">
      <c r="AK1543" t="s">
        <v>49</v>
      </c>
      <c r="AL1543" t="s">
        <v>280</v>
      </c>
      <c r="AM1543" s="37" t="s">
        <v>335</v>
      </c>
      <c r="AN1543" s="39" t="s">
        <v>488</v>
      </c>
      <c r="AO1543" t="s">
        <v>469</v>
      </c>
    </row>
    <row r="1544" spans="37:41" x14ac:dyDescent="0.25">
      <c r="AK1544" t="s">
        <v>49</v>
      </c>
      <c r="AL1544" t="s">
        <v>280</v>
      </c>
      <c r="AM1544" s="37" t="s">
        <v>337</v>
      </c>
      <c r="AN1544" s="39" t="s">
        <v>491</v>
      </c>
      <c r="AO1544" t="s">
        <v>471</v>
      </c>
    </row>
    <row r="1545" spans="37:41" x14ac:dyDescent="0.25">
      <c r="AK1545" t="s">
        <v>49</v>
      </c>
      <c r="AL1545" t="s">
        <v>280</v>
      </c>
      <c r="AM1545" s="37" t="s">
        <v>255</v>
      </c>
      <c r="AN1545" s="39" t="s">
        <v>494</v>
      </c>
      <c r="AO1545" t="s">
        <v>475</v>
      </c>
    </row>
    <row r="1546" spans="37:41" x14ac:dyDescent="0.25">
      <c r="AK1546" t="s">
        <v>49</v>
      </c>
      <c r="AL1546" t="s">
        <v>280</v>
      </c>
      <c r="AM1546" t="s">
        <v>259</v>
      </c>
      <c r="AN1546" t="s">
        <v>495</v>
      </c>
      <c r="AO1546" t="s">
        <v>477</v>
      </c>
    </row>
    <row r="1547" spans="37:41" x14ac:dyDescent="0.25">
      <c r="AK1547" t="s">
        <v>49</v>
      </c>
      <c r="AL1547" t="s">
        <v>280</v>
      </c>
      <c r="AM1547" s="37" t="s">
        <v>263</v>
      </c>
      <c r="AN1547" s="39" t="s">
        <v>496</v>
      </c>
      <c r="AO1547" t="s">
        <v>479</v>
      </c>
    </row>
    <row r="1548" spans="37:41" x14ac:dyDescent="0.25">
      <c r="AK1548" t="s">
        <v>49</v>
      </c>
      <c r="AL1548" t="s">
        <v>280</v>
      </c>
      <c r="AM1548" t="s">
        <v>340</v>
      </c>
      <c r="AN1548" t="s">
        <v>497</v>
      </c>
      <c r="AO1548" t="s">
        <v>481</v>
      </c>
    </row>
    <row r="1549" spans="37:41" x14ac:dyDescent="0.25">
      <c r="AK1549" t="s">
        <v>49</v>
      </c>
      <c r="AL1549" t="s">
        <v>280</v>
      </c>
      <c r="AM1549" s="37" t="s">
        <v>342</v>
      </c>
      <c r="AN1549" s="39" t="s">
        <v>489</v>
      </c>
      <c r="AO1549" t="s">
        <v>469</v>
      </c>
    </row>
    <row r="1550" spans="37:41" x14ac:dyDescent="0.25">
      <c r="AK1550" t="s">
        <v>49</v>
      </c>
      <c r="AL1550" t="s">
        <v>280</v>
      </c>
      <c r="AM1550" s="37" t="s">
        <v>344</v>
      </c>
      <c r="AN1550" s="59" t="s">
        <v>492</v>
      </c>
      <c r="AO1550" t="s">
        <v>471</v>
      </c>
    </row>
    <row r="1551" spans="37:41" x14ac:dyDescent="0.25">
      <c r="AK1551" t="s">
        <v>49</v>
      </c>
      <c r="AL1551" t="s">
        <v>280</v>
      </c>
      <c r="AM1551" s="37" t="s">
        <v>346</v>
      </c>
      <c r="AN1551" s="39" t="s">
        <v>498</v>
      </c>
      <c r="AO1551" t="s">
        <v>473</v>
      </c>
    </row>
    <row r="1552" spans="37:41" x14ac:dyDescent="0.25">
      <c r="AK1552" t="s">
        <v>49</v>
      </c>
      <c r="AL1552" t="s">
        <v>280</v>
      </c>
      <c r="AM1552" t="s">
        <v>267</v>
      </c>
      <c r="AN1552" t="s">
        <v>499</v>
      </c>
      <c r="AO1552" t="s">
        <v>477</v>
      </c>
    </row>
    <row r="1553" spans="37:41" x14ac:dyDescent="0.25">
      <c r="AK1553" t="s">
        <v>49</v>
      </c>
      <c r="AL1553" t="s">
        <v>280</v>
      </c>
      <c r="AM1553" s="37" t="s">
        <v>271</v>
      </c>
      <c r="AN1553" s="39" t="s">
        <v>500</v>
      </c>
      <c r="AO1553" t="s">
        <v>479</v>
      </c>
    </row>
    <row r="1554" spans="37:41" x14ac:dyDescent="0.25">
      <c r="AK1554" t="s">
        <v>49</v>
      </c>
      <c r="AL1554" t="s">
        <v>280</v>
      </c>
      <c r="AM1554" t="s">
        <v>274</v>
      </c>
      <c r="AN1554" t="s">
        <v>501</v>
      </c>
      <c r="AO1554" t="s">
        <v>481</v>
      </c>
    </row>
    <row r="1555" spans="37:41" x14ac:dyDescent="0.25">
      <c r="AK1555" t="s">
        <v>49</v>
      </c>
      <c r="AL1555" t="s">
        <v>280</v>
      </c>
      <c r="AM1555" t="s">
        <v>348</v>
      </c>
      <c r="AN1555" t="s">
        <v>502</v>
      </c>
      <c r="AO1555" t="s">
        <v>483</v>
      </c>
    </row>
    <row r="1556" spans="37:41" x14ac:dyDescent="0.25">
      <c r="AK1556" t="s">
        <v>49</v>
      </c>
      <c r="AL1556" t="s">
        <v>280</v>
      </c>
      <c r="AM1556" s="37" t="s">
        <v>350</v>
      </c>
      <c r="AN1556" s="39" t="s">
        <v>490</v>
      </c>
      <c r="AO1556" t="s">
        <v>469</v>
      </c>
    </row>
    <row r="1557" spans="37:41" x14ac:dyDescent="0.25">
      <c r="AK1557" t="s">
        <v>49</v>
      </c>
      <c r="AL1557" t="s">
        <v>280</v>
      </c>
      <c r="AM1557" s="37" t="s">
        <v>352</v>
      </c>
      <c r="AN1557" s="39" t="s">
        <v>493</v>
      </c>
      <c r="AO1557" t="s">
        <v>471</v>
      </c>
    </row>
    <row r="1558" spans="37:41" x14ac:dyDescent="0.25">
      <c r="AK1558" t="s">
        <v>49</v>
      </c>
      <c r="AL1558" t="s">
        <v>280</v>
      </c>
      <c r="AM1558" s="37" t="s">
        <v>354</v>
      </c>
      <c r="AN1558" s="39" t="s">
        <v>495</v>
      </c>
      <c r="AO1558" t="s">
        <v>473</v>
      </c>
    </row>
    <row r="1559" spans="37:41" x14ac:dyDescent="0.25">
      <c r="AK1559" t="s">
        <v>49</v>
      </c>
      <c r="AL1559" t="s">
        <v>280</v>
      </c>
      <c r="AM1559" s="37" t="s">
        <v>356</v>
      </c>
      <c r="AN1559" s="39" t="s">
        <v>499</v>
      </c>
      <c r="AO1559" t="s">
        <v>475</v>
      </c>
    </row>
    <row r="1560" spans="37:41" x14ac:dyDescent="0.25">
      <c r="AK1560" t="s">
        <v>49</v>
      </c>
      <c r="AL1560" t="s">
        <v>280</v>
      </c>
      <c r="AM1560" t="s">
        <v>277</v>
      </c>
      <c r="AN1560" t="s">
        <v>503</v>
      </c>
      <c r="AO1560" t="s">
        <v>479</v>
      </c>
    </row>
    <row r="1561" spans="37:41" x14ac:dyDescent="0.25">
      <c r="AK1561" t="s">
        <v>49</v>
      </c>
      <c r="AL1561" t="s">
        <v>280</v>
      </c>
      <c r="AM1561" t="s">
        <v>281</v>
      </c>
      <c r="AN1561" t="s">
        <v>504</v>
      </c>
      <c r="AO1561" t="s">
        <v>481</v>
      </c>
    </row>
    <row r="1562" spans="37:41" x14ac:dyDescent="0.25">
      <c r="AK1562" t="s">
        <v>49</v>
      </c>
      <c r="AL1562" t="s">
        <v>280</v>
      </c>
      <c r="AM1562" t="s">
        <v>285</v>
      </c>
      <c r="AN1562" t="s">
        <v>505</v>
      </c>
      <c r="AO1562" t="s">
        <v>483</v>
      </c>
    </row>
    <row r="1563" spans="37:41" x14ac:dyDescent="0.25">
      <c r="AK1563" t="s">
        <v>49</v>
      </c>
      <c r="AL1563" t="s">
        <v>280</v>
      </c>
      <c r="AM1563" s="37" t="s">
        <v>358</v>
      </c>
      <c r="AN1563" s="39" t="s">
        <v>506</v>
      </c>
      <c r="AO1563" t="s">
        <v>471</v>
      </c>
    </row>
    <row r="1564" spans="37:41" x14ac:dyDescent="0.25">
      <c r="AK1564" t="s">
        <v>49</v>
      </c>
      <c r="AL1564" t="s">
        <v>280</v>
      </c>
      <c r="AM1564" s="37" t="s">
        <v>360</v>
      </c>
      <c r="AN1564" s="39" t="s">
        <v>507</v>
      </c>
      <c r="AO1564" t="s">
        <v>473</v>
      </c>
    </row>
    <row r="1565" spans="37:41" x14ac:dyDescent="0.25">
      <c r="AK1565" t="s">
        <v>49</v>
      </c>
      <c r="AL1565" t="s">
        <v>280</v>
      </c>
      <c r="AM1565" s="37" t="s">
        <v>362</v>
      </c>
      <c r="AN1565" s="39" t="s">
        <v>508</v>
      </c>
      <c r="AO1565" t="s">
        <v>475</v>
      </c>
    </row>
    <row r="1566" spans="37:41" x14ac:dyDescent="0.25">
      <c r="AK1566" t="s">
        <v>49</v>
      </c>
      <c r="AL1566" t="s">
        <v>280</v>
      </c>
      <c r="AM1566" s="37" t="s">
        <v>297</v>
      </c>
      <c r="AN1566" s="39" t="s">
        <v>503</v>
      </c>
      <c r="AO1566" t="s">
        <v>477</v>
      </c>
    </row>
    <row r="1567" spans="37:41" x14ac:dyDescent="0.25">
      <c r="AK1567" t="s">
        <v>49</v>
      </c>
      <c r="AL1567" t="s">
        <v>280</v>
      </c>
      <c r="AM1567" s="37" t="s">
        <v>288</v>
      </c>
      <c r="AN1567" s="39" t="s">
        <v>509</v>
      </c>
      <c r="AO1567" t="s">
        <v>481</v>
      </c>
    </row>
    <row r="1568" spans="37:41" x14ac:dyDescent="0.25">
      <c r="AK1568" t="s">
        <v>49</v>
      </c>
      <c r="AL1568" t="s">
        <v>280</v>
      </c>
      <c r="AM1568" t="s">
        <v>292</v>
      </c>
      <c r="AN1568" t="s">
        <v>510</v>
      </c>
      <c r="AO1568" t="s">
        <v>483</v>
      </c>
    </row>
    <row r="1569" spans="37:41" x14ac:dyDescent="0.25">
      <c r="AK1569" t="s">
        <v>49</v>
      </c>
      <c r="AL1569" t="s">
        <v>280</v>
      </c>
      <c r="AM1569" s="37" t="s">
        <v>364</v>
      </c>
      <c r="AN1569" s="39" t="s">
        <v>497</v>
      </c>
      <c r="AO1569" t="s">
        <v>473</v>
      </c>
    </row>
    <row r="1570" spans="37:41" x14ac:dyDescent="0.25">
      <c r="AK1570" t="s">
        <v>49</v>
      </c>
      <c r="AL1570" t="s">
        <v>280</v>
      </c>
      <c r="AM1570" s="37" t="s">
        <v>366</v>
      </c>
      <c r="AN1570" s="39" t="s">
        <v>501</v>
      </c>
      <c r="AO1570" t="s">
        <v>475</v>
      </c>
    </row>
    <row r="1571" spans="37:41" x14ac:dyDescent="0.25">
      <c r="AK1571" t="s">
        <v>49</v>
      </c>
      <c r="AL1571" t="s">
        <v>280</v>
      </c>
      <c r="AM1571" s="37" t="s">
        <v>310</v>
      </c>
      <c r="AN1571" s="39" t="s">
        <v>504</v>
      </c>
      <c r="AO1571" t="s">
        <v>477</v>
      </c>
    </row>
    <row r="1572" spans="37:41" x14ac:dyDescent="0.25">
      <c r="AK1572" t="s">
        <v>49</v>
      </c>
      <c r="AL1572" t="s">
        <v>280</v>
      </c>
      <c r="AM1572" s="37" t="s">
        <v>306</v>
      </c>
      <c r="AN1572" s="39" t="s">
        <v>511</v>
      </c>
      <c r="AO1572" t="s">
        <v>479</v>
      </c>
    </row>
    <row r="1573" spans="37:41" x14ac:dyDescent="0.25">
      <c r="AK1573" t="s">
        <v>49</v>
      </c>
      <c r="AL1573" t="s">
        <v>280</v>
      </c>
      <c r="AM1573" t="s">
        <v>302</v>
      </c>
      <c r="AN1573" t="s">
        <v>512</v>
      </c>
      <c r="AO1573" t="s">
        <v>483</v>
      </c>
    </row>
    <row r="1574" spans="37:41" x14ac:dyDescent="0.25">
      <c r="AK1574" t="s">
        <v>49</v>
      </c>
      <c r="AL1574" t="s">
        <v>280</v>
      </c>
      <c r="AM1574" s="37" t="s">
        <v>368</v>
      </c>
      <c r="AN1574" s="39" t="s">
        <v>513</v>
      </c>
      <c r="AO1574" t="s">
        <v>473</v>
      </c>
    </row>
    <row r="1575" spans="37:41" x14ac:dyDescent="0.25">
      <c r="AK1575" t="s">
        <v>49</v>
      </c>
      <c r="AL1575" t="s">
        <v>280</v>
      </c>
      <c r="AM1575" s="37" t="s">
        <v>370</v>
      </c>
      <c r="AN1575" s="39" t="s">
        <v>502</v>
      </c>
      <c r="AO1575" t="s">
        <v>475</v>
      </c>
    </row>
    <row r="1576" spans="37:41" x14ac:dyDescent="0.25">
      <c r="AK1576" t="s">
        <v>49</v>
      </c>
      <c r="AL1576" t="s">
        <v>280</v>
      </c>
      <c r="AM1576" s="37" t="s">
        <v>321</v>
      </c>
      <c r="AN1576" s="39" t="s">
        <v>505</v>
      </c>
      <c r="AO1576" t="s">
        <v>477</v>
      </c>
    </row>
    <row r="1577" spans="37:41" x14ac:dyDescent="0.25">
      <c r="AK1577" t="s">
        <v>49</v>
      </c>
      <c r="AL1577" t="s">
        <v>280</v>
      </c>
      <c r="AM1577" s="37" t="s">
        <v>318</v>
      </c>
      <c r="AN1577" s="39" t="s">
        <v>510</v>
      </c>
      <c r="AO1577" t="s">
        <v>479</v>
      </c>
    </row>
    <row r="1578" spans="37:41" x14ac:dyDescent="0.25">
      <c r="AK1578" t="s">
        <v>49</v>
      </c>
      <c r="AL1578" t="s">
        <v>280</v>
      </c>
      <c r="AM1578" s="37" t="s">
        <v>314</v>
      </c>
      <c r="AN1578" s="39" t="s">
        <v>512</v>
      </c>
      <c r="AO1578" t="s">
        <v>481</v>
      </c>
    </row>
    <row r="1580" spans="37:41" x14ac:dyDescent="0.25">
      <c r="AK1580" t="s">
        <v>49</v>
      </c>
      <c r="AL1580" s="54" t="s">
        <v>284</v>
      </c>
      <c r="AM1580" t="s">
        <v>50</v>
      </c>
      <c r="AN1580" t="s">
        <v>464</v>
      </c>
    </row>
    <row r="1581" spans="37:41" x14ac:dyDescent="0.25">
      <c r="AK1581" t="s">
        <v>49</v>
      </c>
      <c r="AL1581" s="54" t="s">
        <v>284</v>
      </c>
      <c r="AM1581" t="s">
        <v>78</v>
      </c>
      <c r="AN1581" t="s">
        <v>466</v>
      </c>
    </row>
    <row r="1582" spans="37:41" x14ac:dyDescent="0.25">
      <c r="AK1582" t="s">
        <v>49</v>
      </c>
      <c r="AL1582" s="54" t="s">
        <v>284</v>
      </c>
      <c r="AM1582" t="s">
        <v>100</v>
      </c>
      <c r="AN1582" t="s">
        <v>468</v>
      </c>
    </row>
    <row r="1583" spans="37:41" x14ac:dyDescent="0.25">
      <c r="AK1583" t="s">
        <v>49</v>
      </c>
      <c r="AL1583" s="54" t="s">
        <v>284</v>
      </c>
      <c r="AM1583" t="s">
        <v>112</v>
      </c>
      <c r="AN1583" t="s">
        <v>470</v>
      </c>
    </row>
    <row r="1584" spans="37:41" x14ac:dyDescent="0.25">
      <c r="AK1584" t="s">
        <v>49</v>
      </c>
      <c r="AL1584" s="54" t="s">
        <v>284</v>
      </c>
      <c r="AM1584" t="s">
        <v>127</v>
      </c>
      <c r="AN1584" t="s">
        <v>472</v>
      </c>
    </row>
    <row r="1585" spans="37:40" x14ac:dyDescent="0.25">
      <c r="AK1585" t="s">
        <v>49</v>
      </c>
      <c r="AL1585" s="54" t="s">
        <v>284</v>
      </c>
      <c r="AM1585" t="s">
        <v>140</v>
      </c>
      <c r="AN1585" t="s">
        <v>474</v>
      </c>
    </row>
    <row r="1586" spans="37:40" x14ac:dyDescent="0.25">
      <c r="AK1586" t="s">
        <v>49</v>
      </c>
      <c r="AL1586" s="54" t="s">
        <v>284</v>
      </c>
      <c r="AM1586" t="s">
        <v>152</v>
      </c>
      <c r="AN1586" t="s">
        <v>476</v>
      </c>
    </row>
    <row r="1587" spans="37:40" x14ac:dyDescent="0.25">
      <c r="AK1587" t="s">
        <v>49</v>
      </c>
      <c r="AL1587" s="54" t="s">
        <v>284</v>
      </c>
      <c r="AM1587" t="s">
        <v>164</v>
      </c>
      <c r="AN1587" t="s">
        <v>478</v>
      </c>
    </row>
    <row r="1588" spans="37:40" x14ac:dyDescent="0.25">
      <c r="AK1588" t="s">
        <v>49</v>
      </c>
      <c r="AL1588" s="54" t="s">
        <v>284</v>
      </c>
      <c r="AM1588" t="s">
        <v>179</v>
      </c>
      <c r="AN1588" t="s">
        <v>480</v>
      </c>
    </row>
    <row r="1589" spans="37:40" x14ac:dyDescent="0.25">
      <c r="AK1589" t="s">
        <v>49</v>
      </c>
      <c r="AL1589" s="54" t="s">
        <v>284</v>
      </c>
      <c r="AM1589" t="s">
        <v>193</v>
      </c>
      <c r="AN1589" t="s">
        <v>482</v>
      </c>
    </row>
    <row r="1590" spans="37:40" x14ac:dyDescent="0.25">
      <c r="AK1590" t="s">
        <v>49</v>
      </c>
      <c r="AL1590" s="54" t="s">
        <v>284</v>
      </c>
      <c r="AM1590" t="s">
        <v>206</v>
      </c>
      <c r="AN1590" t="s">
        <v>484</v>
      </c>
    </row>
    <row r="1591" spans="37:40" x14ac:dyDescent="0.25">
      <c r="AK1591" t="s">
        <v>49</v>
      </c>
      <c r="AL1591" s="54" t="s">
        <v>284</v>
      </c>
      <c r="AM1591" t="s">
        <v>218</v>
      </c>
      <c r="AN1591" t="s">
        <v>485</v>
      </c>
    </row>
    <row r="1592" spans="37:40" x14ac:dyDescent="0.25">
      <c r="AK1592" t="s">
        <v>49</v>
      </c>
      <c r="AL1592" s="54" t="s">
        <v>284</v>
      </c>
      <c r="AM1592" t="s">
        <v>224</v>
      </c>
      <c r="AN1592" t="s">
        <v>486</v>
      </c>
    </row>
    <row r="1593" spans="37:40" x14ac:dyDescent="0.25">
      <c r="AK1593" t="s">
        <v>49</v>
      </c>
      <c r="AL1593" s="54" t="s">
        <v>284</v>
      </c>
      <c r="AM1593" s="37" t="s">
        <v>325</v>
      </c>
      <c r="AN1593" t="s">
        <v>484</v>
      </c>
    </row>
    <row r="1594" spans="37:40" x14ac:dyDescent="0.25">
      <c r="AK1594" t="s">
        <v>49</v>
      </c>
      <c r="AL1594" s="54" t="s">
        <v>284</v>
      </c>
      <c r="AM1594" t="s">
        <v>228</v>
      </c>
      <c r="AN1594" t="s">
        <v>487</v>
      </c>
    </row>
    <row r="1595" spans="37:40" x14ac:dyDescent="0.25">
      <c r="AK1595" t="s">
        <v>49</v>
      </c>
      <c r="AL1595" s="54" t="s">
        <v>284</v>
      </c>
      <c r="AM1595" t="s">
        <v>232</v>
      </c>
      <c r="AN1595" t="s">
        <v>488</v>
      </c>
    </row>
    <row r="1596" spans="37:40" x14ac:dyDescent="0.25">
      <c r="AK1596" t="s">
        <v>49</v>
      </c>
      <c r="AL1596" s="54" t="s">
        <v>284</v>
      </c>
      <c r="AM1596" t="s">
        <v>237</v>
      </c>
      <c r="AN1596" t="s">
        <v>489</v>
      </c>
    </row>
    <row r="1597" spans="37:40" x14ac:dyDescent="0.25">
      <c r="AK1597" t="s">
        <v>49</v>
      </c>
      <c r="AL1597" s="54" t="s">
        <v>284</v>
      </c>
      <c r="AM1597" t="s">
        <v>327</v>
      </c>
      <c r="AN1597" t="s">
        <v>490</v>
      </c>
    </row>
    <row r="1598" spans="37:40" x14ac:dyDescent="0.25">
      <c r="AK1598" t="s">
        <v>49</v>
      </c>
      <c r="AL1598" s="54" t="s">
        <v>284</v>
      </c>
      <c r="AM1598" s="37" t="s">
        <v>329</v>
      </c>
      <c r="AN1598" t="s">
        <v>485</v>
      </c>
    </row>
    <row r="1599" spans="37:40" x14ac:dyDescent="0.25">
      <c r="AK1599" t="s">
        <v>49</v>
      </c>
      <c r="AL1599" s="54" t="s">
        <v>284</v>
      </c>
      <c r="AM1599" s="37" t="s">
        <v>331</v>
      </c>
      <c r="AN1599" t="s">
        <v>487</v>
      </c>
    </row>
    <row r="1600" spans="37:40" x14ac:dyDescent="0.25">
      <c r="AK1600" t="s">
        <v>49</v>
      </c>
      <c r="AL1600" s="54" t="s">
        <v>284</v>
      </c>
      <c r="AM1600" t="s">
        <v>242</v>
      </c>
      <c r="AN1600" t="s">
        <v>491</v>
      </c>
    </row>
    <row r="1601" spans="37:40" x14ac:dyDescent="0.25">
      <c r="AK1601" t="s">
        <v>49</v>
      </c>
      <c r="AL1601" s="54" t="s">
        <v>284</v>
      </c>
      <c r="AM1601" t="s">
        <v>247</v>
      </c>
      <c r="AN1601" t="s">
        <v>492</v>
      </c>
    </row>
    <row r="1602" spans="37:40" x14ac:dyDescent="0.25">
      <c r="AK1602" t="s">
        <v>49</v>
      </c>
      <c r="AL1602" s="54" t="s">
        <v>284</v>
      </c>
      <c r="AM1602" t="s">
        <v>251</v>
      </c>
      <c r="AN1602" t="s">
        <v>493</v>
      </c>
    </row>
    <row r="1603" spans="37:40" x14ac:dyDescent="0.25">
      <c r="AK1603" t="s">
        <v>49</v>
      </c>
      <c r="AL1603" s="54" t="s">
        <v>284</v>
      </c>
      <c r="AM1603" s="37" t="s">
        <v>333</v>
      </c>
      <c r="AN1603" s="39" t="s">
        <v>486</v>
      </c>
    </row>
    <row r="1604" spans="37:40" x14ac:dyDescent="0.25">
      <c r="AK1604" t="s">
        <v>49</v>
      </c>
      <c r="AL1604" s="54" t="s">
        <v>284</v>
      </c>
      <c r="AM1604" s="37" t="s">
        <v>335</v>
      </c>
      <c r="AN1604" s="39" t="s">
        <v>488</v>
      </c>
    </row>
    <row r="1605" spans="37:40" x14ac:dyDescent="0.25">
      <c r="AK1605" t="s">
        <v>49</v>
      </c>
      <c r="AL1605" s="54" t="s">
        <v>284</v>
      </c>
      <c r="AM1605" s="37" t="s">
        <v>337</v>
      </c>
      <c r="AN1605" s="39" t="s">
        <v>491</v>
      </c>
    </row>
    <row r="1606" spans="37:40" x14ac:dyDescent="0.25">
      <c r="AK1606" t="s">
        <v>49</v>
      </c>
      <c r="AL1606" s="54" t="s">
        <v>284</v>
      </c>
      <c r="AM1606" s="37" t="s">
        <v>255</v>
      </c>
      <c r="AN1606" s="39" t="s">
        <v>494</v>
      </c>
    </row>
    <row r="1607" spans="37:40" x14ac:dyDescent="0.25">
      <c r="AK1607" t="s">
        <v>49</v>
      </c>
      <c r="AL1607" s="54" t="s">
        <v>284</v>
      </c>
      <c r="AM1607" t="s">
        <v>259</v>
      </c>
      <c r="AN1607" t="s">
        <v>495</v>
      </c>
    </row>
    <row r="1608" spans="37:40" x14ac:dyDescent="0.25">
      <c r="AK1608" t="s">
        <v>49</v>
      </c>
      <c r="AL1608" s="54" t="s">
        <v>284</v>
      </c>
      <c r="AM1608" s="37" t="s">
        <v>263</v>
      </c>
      <c r="AN1608" s="39" t="s">
        <v>496</v>
      </c>
    </row>
    <row r="1609" spans="37:40" x14ac:dyDescent="0.25">
      <c r="AK1609" t="s">
        <v>49</v>
      </c>
      <c r="AL1609" s="54" t="s">
        <v>284</v>
      </c>
      <c r="AM1609" t="s">
        <v>340</v>
      </c>
      <c r="AN1609" t="s">
        <v>497</v>
      </c>
    </row>
    <row r="1610" spans="37:40" x14ac:dyDescent="0.25">
      <c r="AK1610" t="s">
        <v>49</v>
      </c>
      <c r="AL1610" s="54" t="s">
        <v>284</v>
      </c>
      <c r="AM1610" s="37" t="s">
        <v>342</v>
      </c>
      <c r="AN1610" s="39" t="s">
        <v>489</v>
      </c>
    </row>
    <row r="1611" spans="37:40" x14ac:dyDescent="0.25">
      <c r="AK1611" t="s">
        <v>49</v>
      </c>
      <c r="AL1611" s="54" t="s">
        <v>284</v>
      </c>
      <c r="AM1611" s="37" t="s">
        <v>344</v>
      </c>
      <c r="AN1611" s="59" t="s">
        <v>492</v>
      </c>
    </row>
    <row r="1612" spans="37:40" x14ac:dyDescent="0.25">
      <c r="AK1612" t="s">
        <v>49</v>
      </c>
      <c r="AL1612" s="54" t="s">
        <v>284</v>
      </c>
      <c r="AM1612" s="37" t="s">
        <v>346</v>
      </c>
      <c r="AN1612" s="39" t="s">
        <v>498</v>
      </c>
    </row>
    <row r="1613" spans="37:40" x14ac:dyDescent="0.25">
      <c r="AK1613" t="s">
        <v>49</v>
      </c>
      <c r="AL1613" s="54" t="s">
        <v>284</v>
      </c>
      <c r="AM1613" t="s">
        <v>267</v>
      </c>
      <c r="AN1613" t="s">
        <v>499</v>
      </c>
    </row>
    <row r="1614" spans="37:40" x14ac:dyDescent="0.25">
      <c r="AK1614" t="s">
        <v>49</v>
      </c>
      <c r="AL1614" s="54" t="s">
        <v>284</v>
      </c>
      <c r="AM1614" s="37" t="s">
        <v>271</v>
      </c>
      <c r="AN1614" s="39" t="s">
        <v>500</v>
      </c>
    </row>
    <row r="1615" spans="37:40" x14ac:dyDescent="0.25">
      <c r="AK1615" t="s">
        <v>49</v>
      </c>
      <c r="AL1615" s="54" t="s">
        <v>284</v>
      </c>
      <c r="AM1615" t="s">
        <v>274</v>
      </c>
      <c r="AN1615" t="s">
        <v>501</v>
      </c>
    </row>
    <row r="1616" spans="37:40" x14ac:dyDescent="0.25">
      <c r="AK1616" t="s">
        <v>49</v>
      </c>
      <c r="AL1616" s="54" t="s">
        <v>284</v>
      </c>
      <c r="AM1616" t="s">
        <v>348</v>
      </c>
      <c r="AN1616" t="s">
        <v>502</v>
      </c>
    </row>
    <row r="1617" spans="37:40" x14ac:dyDescent="0.25">
      <c r="AK1617" t="s">
        <v>49</v>
      </c>
      <c r="AL1617" s="54" t="s">
        <v>284</v>
      </c>
      <c r="AM1617" s="37" t="s">
        <v>350</v>
      </c>
      <c r="AN1617" s="39" t="s">
        <v>490</v>
      </c>
    </row>
    <row r="1618" spans="37:40" x14ac:dyDescent="0.25">
      <c r="AK1618" t="s">
        <v>49</v>
      </c>
      <c r="AL1618" s="54" t="s">
        <v>284</v>
      </c>
      <c r="AM1618" s="37" t="s">
        <v>352</v>
      </c>
      <c r="AN1618" s="39" t="s">
        <v>493</v>
      </c>
    </row>
    <row r="1619" spans="37:40" x14ac:dyDescent="0.25">
      <c r="AK1619" t="s">
        <v>49</v>
      </c>
      <c r="AL1619" s="54" t="s">
        <v>284</v>
      </c>
      <c r="AM1619" s="37" t="s">
        <v>354</v>
      </c>
      <c r="AN1619" s="39" t="s">
        <v>495</v>
      </c>
    </row>
    <row r="1620" spans="37:40" x14ac:dyDescent="0.25">
      <c r="AK1620" t="s">
        <v>49</v>
      </c>
      <c r="AL1620" s="54" t="s">
        <v>284</v>
      </c>
      <c r="AM1620" s="37" t="s">
        <v>356</v>
      </c>
      <c r="AN1620" s="39" t="s">
        <v>499</v>
      </c>
    </row>
    <row r="1621" spans="37:40" x14ac:dyDescent="0.25">
      <c r="AK1621" t="s">
        <v>49</v>
      </c>
      <c r="AL1621" s="54" t="s">
        <v>284</v>
      </c>
      <c r="AM1621" t="s">
        <v>277</v>
      </c>
      <c r="AN1621" t="s">
        <v>503</v>
      </c>
    </row>
    <row r="1622" spans="37:40" x14ac:dyDescent="0.25">
      <c r="AK1622" t="s">
        <v>49</v>
      </c>
      <c r="AL1622" s="54" t="s">
        <v>284</v>
      </c>
      <c r="AM1622" t="s">
        <v>281</v>
      </c>
      <c r="AN1622" t="s">
        <v>504</v>
      </c>
    </row>
    <row r="1623" spans="37:40" x14ac:dyDescent="0.25">
      <c r="AK1623" t="s">
        <v>49</v>
      </c>
      <c r="AL1623" s="54" t="s">
        <v>284</v>
      </c>
      <c r="AM1623" t="s">
        <v>285</v>
      </c>
      <c r="AN1623" t="s">
        <v>505</v>
      </c>
    </row>
    <row r="1624" spans="37:40" x14ac:dyDescent="0.25">
      <c r="AK1624" t="s">
        <v>49</v>
      </c>
      <c r="AL1624" s="54" t="s">
        <v>284</v>
      </c>
      <c r="AM1624" s="37" t="s">
        <v>358</v>
      </c>
      <c r="AN1624" s="39" t="s">
        <v>506</v>
      </c>
    </row>
    <row r="1625" spans="37:40" x14ac:dyDescent="0.25">
      <c r="AK1625" t="s">
        <v>49</v>
      </c>
      <c r="AL1625" s="54" t="s">
        <v>284</v>
      </c>
      <c r="AM1625" s="37" t="s">
        <v>360</v>
      </c>
      <c r="AN1625" s="39" t="s">
        <v>507</v>
      </c>
    </row>
    <row r="1626" spans="37:40" x14ac:dyDescent="0.25">
      <c r="AK1626" t="s">
        <v>49</v>
      </c>
      <c r="AL1626" s="54" t="s">
        <v>284</v>
      </c>
      <c r="AM1626" s="37" t="s">
        <v>362</v>
      </c>
      <c r="AN1626" s="39" t="s">
        <v>508</v>
      </c>
    </row>
    <row r="1627" spans="37:40" x14ac:dyDescent="0.25">
      <c r="AK1627" t="s">
        <v>49</v>
      </c>
      <c r="AL1627" s="54" t="s">
        <v>284</v>
      </c>
      <c r="AM1627" s="37" t="s">
        <v>297</v>
      </c>
      <c r="AN1627" s="39" t="s">
        <v>503</v>
      </c>
    </row>
    <row r="1628" spans="37:40" x14ac:dyDescent="0.25">
      <c r="AK1628" t="s">
        <v>49</v>
      </c>
      <c r="AL1628" s="54" t="s">
        <v>284</v>
      </c>
      <c r="AM1628" s="37" t="s">
        <v>288</v>
      </c>
      <c r="AN1628" s="39" t="s">
        <v>509</v>
      </c>
    </row>
    <row r="1629" spans="37:40" x14ac:dyDescent="0.25">
      <c r="AK1629" t="s">
        <v>49</v>
      </c>
      <c r="AL1629" s="54" t="s">
        <v>284</v>
      </c>
      <c r="AM1629" t="s">
        <v>292</v>
      </c>
      <c r="AN1629" t="s">
        <v>510</v>
      </c>
    </row>
    <row r="1630" spans="37:40" x14ac:dyDescent="0.25">
      <c r="AK1630" t="s">
        <v>49</v>
      </c>
      <c r="AL1630" s="54" t="s">
        <v>284</v>
      </c>
      <c r="AM1630" s="37" t="s">
        <v>364</v>
      </c>
      <c r="AN1630" s="39" t="s">
        <v>497</v>
      </c>
    </row>
    <row r="1631" spans="37:40" x14ac:dyDescent="0.25">
      <c r="AK1631" t="s">
        <v>49</v>
      </c>
      <c r="AL1631" s="54" t="s">
        <v>284</v>
      </c>
      <c r="AM1631" s="37" t="s">
        <v>366</v>
      </c>
      <c r="AN1631" s="39" t="s">
        <v>501</v>
      </c>
    </row>
    <row r="1632" spans="37:40" x14ac:dyDescent="0.25">
      <c r="AK1632" t="s">
        <v>49</v>
      </c>
      <c r="AL1632" s="54" t="s">
        <v>284</v>
      </c>
      <c r="AM1632" s="37" t="s">
        <v>310</v>
      </c>
      <c r="AN1632" s="39" t="s">
        <v>504</v>
      </c>
    </row>
    <row r="1633" spans="37:40" x14ac:dyDescent="0.25">
      <c r="AK1633" t="s">
        <v>49</v>
      </c>
      <c r="AL1633" s="54" t="s">
        <v>284</v>
      </c>
      <c r="AM1633" s="37" t="s">
        <v>306</v>
      </c>
      <c r="AN1633" s="39" t="s">
        <v>511</v>
      </c>
    </row>
    <row r="1634" spans="37:40" x14ac:dyDescent="0.25">
      <c r="AK1634" t="s">
        <v>49</v>
      </c>
      <c r="AL1634" s="54" t="s">
        <v>284</v>
      </c>
      <c r="AM1634" t="s">
        <v>302</v>
      </c>
      <c r="AN1634" t="s">
        <v>512</v>
      </c>
    </row>
    <row r="1635" spans="37:40" x14ac:dyDescent="0.25">
      <c r="AK1635" t="s">
        <v>49</v>
      </c>
      <c r="AL1635" s="54" t="s">
        <v>284</v>
      </c>
      <c r="AM1635" s="37" t="s">
        <v>368</v>
      </c>
      <c r="AN1635" s="39" t="s">
        <v>513</v>
      </c>
    </row>
    <row r="1636" spans="37:40" x14ac:dyDescent="0.25">
      <c r="AK1636" t="s">
        <v>49</v>
      </c>
      <c r="AL1636" s="54" t="s">
        <v>284</v>
      </c>
      <c r="AM1636" s="37" t="s">
        <v>370</v>
      </c>
      <c r="AN1636" s="39" t="s">
        <v>502</v>
      </c>
    </row>
    <row r="1637" spans="37:40" x14ac:dyDescent="0.25">
      <c r="AK1637" t="s">
        <v>49</v>
      </c>
      <c r="AL1637" s="54" t="s">
        <v>284</v>
      </c>
      <c r="AM1637" s="37" t="s">
        <v>321</v>
      </c>
      <c r="AN1637" s="39" t="s">
        <v>505</v>
      </c>
    </row>
    <row r="1638" spans="37:40" x14ac:dyDescent="0.25">
      <c r="AK1638" t="s">
        <v>49</v>
      </c>
      <c r="AL1638" s="54" t="s">
        <v>284</v>
      </c>
      <c r="AM1638" s="37" t="s">
        <v>318</v>
      </c>
      <c r="AN1638" s="39" t="s">
        <v>510</v>
      </c>
    </row>
    <row r="1639" spans="37:40" x14ac:dyDescent="0.25">
      <c r="AK1639" t="s">
        <v>49</v>
      </c>
      <c r="AL1639" s="54" t="s">
        <v>284</v>
      </c>
      <c r="AM1639" s="37" t="s">
        <v>314</v>
      </c>
      <c r="AN1639" s="39" t="s">
        <v>512</v>
      </c>
    </row>
    <row r="1641" spans="37:40" x14ac:dyDescent="0.25">
      <c r="AK1641" s="32" t="s">
        <v>49</v>
      </c>
      <c r="AL1641" t="s">
        <v>287</v>
      </c>
      <c r="AM1641" t="s">
        <v>50</v>
      </c>
      <c r="AN1641" t="s">
        <v>51</v>
      </c>
    </row>
    <row r="1642" spans="37:40" x14ac:dyDescent="0.25">
      <c r="AK1642" s="32" t="s">
        <v>49</v>
      </c>
      <c r="AL1642" t="s">
        <v>287</v>
      </c>
      <c r="AM1642" t="s">
        <v>78</v>
      </c>
      <c r="AN1642" t="s">
        <v>79</v>
      </c>
    </row>
    <row r="1643" spans="37:40" x14ac:dyDescent="0.25">
      <c r="AK1643" s="32" t="s">
        <v>49</v>
      </c>
      <c r="AL1643" t="s">
        <v>287</v>
      </c>
      <c r="AM1643" t="s">
        <v>100</v>
      </c>
      <c r="AN1643" t="s">
        <v>101</v>
      </c>
    </row>
    <row r="1644" spans="37:40" x14ac:dyDescent="0.25">
      <c r="AK1644" s="32" t="s">
        <v>49</v>
      </c>
      <c r="AL1644" t="s">
        <v>287</v>
      </c>
      <c r="AM1644" t="s">
        <v>112</v>
      </c>
      <c r="AN1644" t="s">
        <v>113</v>
      </c>
    </row>
    <row r="1645" spans="37:40" x14ac:dyDescent="0.25">
      <c r="AK1645" s="32" t="s">
        <v>49</v>
      </c>
      <c r="AL1645" t="s">
        <v>287</v>
      </c>
      <c r="AM1645" t="s">
        <v>127</v>
      </c>
      <c r="AN1645" t="s">
        <v>128</v>
      </c>
    </row>
    <row r="1646" spans="37:40" x14ac:dyDescent="0.25">
      <c r="AK1646" s="32" t="s">
        <v>49</v>
      </c>
      <c r="AL1646" t="s">
        <v>287</v>
      </c>
      <c r="AM1646" t="s">
        <v>140</v>
      </c>
      <c r="AN1646" t="s">
        <v>141</v>
      </c>
    </row>
    <row r="1647" spans="37:40" x14ac:dyDescent="0.25">
      <c r="AK1647" s="32" t="s">
        <v>49</v>
      </c>
      <c r="AL1647" t="s">
        <v>287</v>
      </c>
      <c r="AM1647" t="s">
        <v>152</v>
      </c>
      <c r="AN1647" t="s">
        <v>153</v>
      </c>
    </row>
    <row r="1648" spans="37:40" x14ac:dyDescent="0.25">
      <c r="AK1648" s="32" t="s">
        <v>49</v>
      </c>
      <c r="AL1648" t="s">
        <v>287</v>
      </c>
      <c r="AM1648" t="s">
        <v>164</v>
      </c>
      <c r="AN1648" t="s">
        <v>165</v>
      </c>
    </row>
    <row r="1649" spans="37:40" x14ac:dyDescent="0.25">
      <c r="AK1649" s="32" t="s">
        <v>49</v>
      </c>
      <c r="AL1649" t="s">
        <v>287</v>
      </c>
      <c r="AM1649" t="s">
        <v>179</v>
      </c>
      <c r="AN1649" t="s">
        <v>180</v>
      </c>
    </row>
    <row r="1650" spans="37:40" x14ac:dyDescent="0.25">
      <c r="AK1650" s="32" t="s">
        <v>49</v>
      </c>
      <c r="AL1650" t="s">
        <v>287</v>
      </c>
      <c r="AM1650" t="s">
        <v>193</v>
      </c>
      <c r="AN1650" t="s">
        <v>194</v>
      </c>
    </row>
    <row r="1651" spans="37:40" x14ac:dyDescent="0.25">
      <c r="AK1651" s="32" t="s">
        <v>49</v>
      </c>
      <c r="AL1651" t="s">
        <v>287</v>
      </c>
      <c r="AM1651" t="s">
        <v>206</v>
      </c>
      <c r="AN1651" t="s">
        <v>207</v>
      </c>
    </row>
    <row r="1652" spans="37:40" x14ac:dyDescent="0.25">
      <c r="AK1652" s="32" t="s">
        <v>49</v>
      </c>
      <c r="AL1652" t="s">
        <v>287</v>
      </c>
      <c r="AM1652" t="s">
        <v>218</v>
      </c>
      <c r="AN1652" t="s">
        <v>219</v>
      </c>
    </row>
    <row r="1653" spans="37:40" x14ac:dyDescent="0.25">
      <c r="AK1653" s="32" t="s">
        <v>49</v>
      </c>
      <c r="AL1653" t="s">
        <v>287</v>
      </c>
      <c r="AM1653" t="s">
        <v>224</v>
      </c>
      <c r="AN1653" t="s">
        <v>225</v>
      </c>
    </row>
    <row r="1654" spans="37:40" x14ac:dyDescent="0.25">
      <c r="AK1654" s="32" t="s">
        <v>49</v>
      </c>
      <c r="AL1654" t="s">
        <v>287</v>
      </c>
      <c r="AM1654" t="s">
        <v>228</v>
      </c>
      <c r="AN1654" t="s">
        <v>229</v>
      </c>
    </row>
    <row r="1655" spans="37:40" x14ac:dyDescent="0.25">
      <c r="AK1655" s="32" t="s">
        <v>49</v>
      </c>
      <c r="AL1655" t="s">
        <v>287</v>
      </c>
      <c r="AM1655" t="s">
        <v>232</v>
      </c>
      <c r="AN1655" t="s">
        <v>233</v>
      </c>
    </row>
    <row r="1656" spans="37:40" x14ac:dyDescent="0.25">
      <c r="AK1656" s="32" t="s">
        <v>49</v>
      </c>
      <c r="AL1656" t="s">
        <v>287</v>
      </c>
      <c r="AM1656" t="s">
        <v>237</v>
      </c>
      <c r="AN1656" t="s">
        <v>238</v>
      </c>
    </row>
    <row r="1657" spans="37:40" x14ac:dyDescent="0.25">
      <c r="AK1657" s="32" t="s">
        <v>49</v>
      </c>
      <c r="AL1657" t="s">
        <v>287</v>
      </c>
      <c r="AM1657" t="s">
        <v>242</v>
      </c>
      <c r="AN1657" t="s">
        <v>243</v>
      </c>
    </row>
    <row r="1658" spans="37:40" x14ac:dyDescent="0.25">
      <c r="AK1658" s="32" t="s">
        <v>49</v>
      </c>
      <c r="AL1658" t="s">
        <v>287</v>
      </c>
      <c r="AM1658" t="s">
        <v>247</v>
      </c>
      <c r="AN1658" t="s">
        <v>248</v>
      </c>
    </row>
    <row r="1659" spans="37:40" x14ac:dyDescent="0.25">
      <c r="AK1659" s="32" t="s">
        <v>49</v>
      </c>
      <c r="AL1659" t="s">
        <v>287</v>
      </c>
      <c r="AM1659" t="s">
        <v>251</v>
      </c>
      <c r="AN1659" t="s">
        <v>252</v>
      </c>
    </row>
    <row r="1660" spans="37:40" x14ac:dyDescent="0.25">
      <c r="AK1660" s="32" t="s">
        <v>49</v>
      </c>
      <c r="AL1660" t="s">
        <v>287</v>
      </c>
      <c r="AM1660" t="s">
        <v>255</v>
      </c>
      <c r="AN1660" t="s">
        <v>256</v>
      </c>
    </row>
    <row r="1661" spans="37:40" x14ac:dyDescent="0.25">
      <c r="AK1661" s="32" t="s">
        <v>49</v>
      </c>
      <c r="AL1661" t="s">
        <v>287</v>
      </c>
      <c r="AM1661" t="s">
        <v>259</v>
      </c>
      <c r="AN1661" t="s">
        <v>260</v>
      </c>
    </row>
    <row r="1662" spans="37:40" x14ac:dyDescent="0.25">
      <c r="AK1662" s="32" t="s">
        <v>49</v>
      </c>
      <c r="AL1662" t="s">
        <v>287</v>
      </c>
      <c r="AM1662" t="s">
        <v>263</v>
      </c>
      <c r="AN1662" t="s">
        <v>264</v>
      </c>
    </row>
    <row r="1663" spans="37:40" x14ac:dyDescent="0.25">
      <c r="AK1663" s="32" t="s">
        <v>49</v>
      </c>
      <c r="AL1663" t="s">
        <v>287</v>
      </c>
      <c r="AM1663" t="s">
        <v>267</v>
      </c>
      <c r="AN1663" t="s">
        <v>268</v>
      </c>
    </row>
    <row r="1664" spans="37:40" x14ac:dyDescent="0.25">
      <c r="AK1664" s="32" t="s">
        <v>49</v>
      </c>
      <c r="AL1664" t="s">
        <v>287</v>
      </c>
      <c r="AM1664" t="s">
        <v>271</v>
      </c>
      <c r="AN1664" t="s">
        <v>272</v>
      </c>
    </row>
    <row r="1665" spans="37:40" x14ac:dyDescent="0.25">
      <c r="AK1665" s="32" t="s">
        <v>49</v>
      </c>
      <c r="AL1665" t="s">
        <v>287</v>
      </c>
      <c r="AM1665" t="s">
        <v>274</v>
      </c>
      <c r="AN1665" t="s">
        <v>275</v>
      </c>
    </row>
    <row r="1666" spans="37:40" x14ac:dyDescent="0.25">
      <c r="AK1666" s="32" t="s">
        <v>49</v>
      </c>
      <c r="AL1666" t="s">
        <v>287</v>
      </c>
      <c r="AM1666" t="s">
        <v>277</v>
      </c>
      <c r="AN1666" t="s">
        <v>278</v>
      </c>
    </row>
    <row r="1667" spans="37:40" x14ac:dyDescent="0.25">
      <c r="AK1667" s="32" t="s">
        <v>49</v>
      </c>
      <c r="AL1667" t="s">
        <v>287</v>
      </c>
      <c r="AM1667" t="s">
        <v>281</v>
      </c>
      <c r="AN1667" t="s">
        <v>282</v>
      </c>
    </row>
    <row r="1668" spans="37:40" x14ac:dyDescent="0.25">
      <c r="AK1668" s="32" t="s">
        <v>49</v>
      </c>
      <c r="AL1668" t="s">
        <v>287</v>
      </c>
      <c r="AM1668" t="s">
        <v>285</v>
      </c>
      <c r="AN1668" t="s">
        <v>286</v>
      </c>
    </row>
    <row r="1669" spans="37:40" x14ac:dyDescent="0.25">
      <c r="AK1669" s="32" t="s">
        <v>49</v>
      </c>
      <c r="AL1669" t="s">
        <v>287</v>
      </c>
      <c r="AM1669" t="s">
        <v>288</v>
      </c>
      <c r="AN1669" t="s">
        <v>289</v>
      </c>
    </row>
    <row r="1670" spans="37:40" x14ac:dyDescent="0.25">
      <c r="AK1670" s="32" t="s">
        <v>49</v>
      </c>
      <c r="AL1670" t="s">
        <v>287</v>
      </c>
      <c r="AM1670" t="s">
        <v>292</v>
      </c>
      <c r="AN1670" t="s">
        <v>293</v>
      </c>
    </row>
    <row r="1671" spans="37:40" x14ac:dyDescent="0.25">
      <c r="AK1671" s="32" t="s">
        <v>49</v>
      </c>
      <c r="AL1671" t="s">
        <v>287</v>
      </c>
      <c r="AM1671" t="s">
        <v>297</v>
      </c>
      <c r="AN1671" t="s">
        <v>298</v>
      </c>
    </row>
    <row r="1672" spans="37:40" x14ac:dyDescent="0.25">
      <c r="AK1672" s="32" t="s">
        <v>49</v>
      </c>
      <c r="AL1672" t="s">
        <v>287</v>
      </c>
      <c r="AM1672" t="s">
        <v>302</v>
      </c>
      <c r="AN1672" t="s">
        <v>303</v>
      </c>
    </row>
    <row r="1673" spans="37:40" x14ac:dyDescent="0.25">
      <c r="AK1673" s="32" t="s">
        <v>49</v>
      </c>
      <c r="AL1673" t="s">
        <v>287</v>
      </c>
      <c r="AM1673" t="s">
        <v>306</v>
      </c>
      <c r="AN1673" t="s">
        <v>307</v>
      </c>
    </row>
    <row r="1674" spans="37:40" x14ac:dyDescent="0.25">
      <c r="AK1674" s="32" t="s">
        <v>49</v>
      </c>
      <c r="AL1674" t="s">
        <v>287</v>
      </c>
      <c r="AM1674" t="s">
        <v>310</v>
      </c>
      <c r="AN1674" t="s">
        <v>311</v>
      </c>
    </row>
    <row r="1675" spans="37:40" x14ac:dyDescent="0.25">
      <c r="AK1675" s="32" t="s">
        <v>49</v>
      </c>
      <c r="AL1675" t="s">
        <v>287</v>
      </c>
      <c r="AM1675" t="s">
        <v>314</v>
      </c>
      <c r="AN1675" t="s">
        <v>315</v>
      </c>
    </row>
    <row r="1676" spans="37:40" x14ac:dyDescent="0.25">
      <c r="AK1676" s="32" t="s">
        <v>49</v>
      </c>
      <c r="AL1676" t="s">
        <v>287</v>
      </c>
      <c r="AM1676" t="s">
        <v>318</v>
      </c>
      <c r="AN1676" t="s">
        <v>319</v>
      </c>
    </row>
    <row r="1677" spans="37:40" x14ac:dyDescent="0.25">
      <c r="AK1677" s="32" t="s">
        <v>49</v>
      </c>
      <c r="AL1677" t="s">
        <v>287</v>
      </c>
      <c r="AM1677" t="s">
        <v>321</v>
      </c>
      <c r="AN1677" t="s">
        <v>322</v>
      </c>
    </row>
    <row r="1678" spans="37:40" x14ac:dyDescent="0.25">
      <c r="AK1678" s="32" t="s">
        <v>49</v>
      </c>
      <c r="AL1678" t="s">
        <v>287</v>
      </c>
      <c r="AM1678" t="s">
        <v>325</v>
      </c>
      <c r="AN1678" t="s">
        <v>326</v>
      </c>
    </row>
    <row r="1679" spans="37:40" x14ac:dyDescent="0.25">
      <c r="AK1679" s="32" t="s">
        <v>49</v>
      </c>
      <c r="AL1679" t="s">
        <v>287</v>
      </c>
      <c r="AM1679" t="s">
        <v>327</v>
      </c>
      <c r="AN1679" t="s">
        <v>328</v>
      </c>
    </row>
    <row r="1680" spans="37:40" x14ac:dyDescent="0.25">
      <c r="AK1680" s="32" t="s">
        <v>49</v>
      </c>
      <c r="AL1680" t="s">
        <v>287</v>
      </c>
      <c r="AM1680" t="s">
        <v>329</v>
      </c>
      <c r="AN1680" t="s">
        <v>330</v>
      </c>
    </row>
    <row r="1681" spans="37:40" x14ac:dyDescent="0.25">
      <c r="AK1681" s="32" t="s">
        <v>49</v>
      </c>
      <c r="AL1681" t="s">
        <v>287</v>
      </c>
      <c r="AM1681" t="s">
        <v>331</v>
      </c>
      <c r="AN1681" t="s">
        <v>332</v>
      </c>
    </row>
    <row r="1682" spans="37:40" x14ac:dyDescent="0.25">
      <c r="AK1682" s="32" t="s">
        <v>49</v>
      </c>
      <c r="AL1682" t="s">
        <v>287</v>
      </c>
      <c r="AM1682" t="s">
        <v>333</v>
      </c>
      <c r="AN1682" t="s">
        <v>334</v>
      </c>
    </row>
    <row r="1683" spans="37:40" x14ac:dyDescent="0.25">
      <c r="AK1683" s="32" t="s">
        <v>49</v>
      </c>
      <c r="AL1683" t="s">
        <v>287</v>
      </c>
      <c r="AM1683" t="s">
        <v>335</v>
      </c>
      <c r="AN1683" t="s">
        <v>336</v>
      </c>
    </row>
    <row r="1684" spans="37:40" x14ac:dyDescent="0.25">
      <c r="AK1684" s="32" t="s">
        <v>49</v>
      </c>
      <c r="AL1684" t="s">
        <v>287</v>
      </c>
      <c r="AM1684" t="s">
        <v>337</v>
      </c>
      <c r="AN1684" t="s">
        <v>338</v>
      </c>
    </row>
    <row r="1685" spans="37:40" x14ac:dyDescent="0.25">
      <c r="AK1685" s="32" t="s">
        <v>49</v>
      </c>
      <c r="AL1685" t="s">
        <v>287</v>
      </c>
      <c r="AM1685" t="s">
        <v>340</v>
      </c>
      <c r="AN1685" t="s">
        <v>341</v>
      </c>
    </row>
    <row r="1686" spans="37:40" x14ac:dyDescent="0.25">
      <c r="AK1686" s="32" t="s">
        <v>49</v>
      </c>
      <c r="AL1686" t="s">
        <v>287</v>
      </c>
      <c r="AM1686" t="s">
        <v>342</v>
      </c>
      <c r="AN1686" t="s">
        <v>343</v>
      </c>
    </row>
    <row r="1687" spans="37:40" x14ac:dyDescent="0.25">
      <c r="AK1687" s="32" t="s">
        <v>49</v>
      </c>
      <c r="AL1687" t="s">
        <v>287</v>
      </c>
      <c r="AM1687" t="s">
        <v>344</v>
      </c>
      <c r="AN1687" t="s">
        <v>345</v>
      </c>
    </row>
    <row r="1688" spans="37:40" x14ac:dyDescent="0.25">
      <c r="AK1688" s="32" t="s">
        <v>49</v>
      </c>
      <c r="AL1688" t="s">
        <v>287</v>
      </c>
      <c r="AM1688" t="s">
        <v>346</v>
      </c>
      <c r="AN1688" t="s">
        <v>347</v>
      </c>
    </row>
    <row r="1689" spans="37:40" x14ac:dyDescent="0.25">
      <c r="AK1689" s="32" t="s">
        <v>49</v>
      </c>
      <c r="AL1689" t="s">
        <v>287</v>
      </c>
      <c r="AM1689" t="s">
        <v>348</v>
      </c>
      <c r="AN1689" t="s">
        <v>349</v>
      </c>
    </row>
    <row r="1690" spans="37:40" x14ac:dyDescent="0.25">
      <c r="AK1690" s="32" t="s">
        <v>49</v>
      </c>
      <c r="AL1690" t="s">
        <v>287</v>
      </c>
      <c r="AM1690" t="s">
        <v>350</v>
      </c>
      <c r="AN1690" t="s">
        <v>351</v>
      </c>
    </row>
    <row r="1691" spans="37:40" x14ac:dyDescent="0.25">
      <c r="AK1691" s="32" t="s">
        <v>49</v>
      </c>
      <c r="AL1691" t="s">
        <v>287</v>
      </c>
      <c r="AM1691" t="s">
        <v>352</v>
      </c>
      <c r="AN1691" t="s">
        <v>353</v>
      </c>
    </row>
    <row r="1692" spans="37:40" x14ac:dyDescent="0.25">
      <c r="AK1692" s="32" t="s">
        <v>49</v>
      </c>
      <c r="AL1692" t="s">
        <v>287</v>
      </c>
      <c r="AM1692" t="s">
        <v>354</v>
      </c>
      <c r="AN1692" t="s">
        <v>355</v>
      </c>
    </row>
    <row r="1693" spans="37:40" x14ac:dyDescent="0.25">
      <c r="AK1693" s="32" t="s">
        <v>49</v>
      </c>
      <c r="AL1693" t="s">
        <v>287</v>
      </c>
      <c r="AM1693" t="s">
        <v>356</v>
      </c>
      <c r="AN1693" t="s">
        <v>357</v>
      </c>
    </row>
    <row r="1694" spans="37:40" x14ac:dyDescent="0.25">
      <c r="AK1694" s="32" t="s">
        <v>49</v>
      </c>
      <c r="AL1694" t="s">
        <v>287</v>
      </c>
      <c r="AM1694" t="s">
        <v>358</v>
      </c>
      <c r="AN1694" t="s">
        <v>359</v>
      </c>
    </row>
    <row r="1695" spans="37:40" x14ac:dyDescent="0.25">
      <c r="AK1695" s="32" t="s">
        <v>49</v>
      </c>
      <c r="AL1695" t="s">
        <v>287</v>
      </c>
      <c r="AM1695" t="s">
        <v>360</v>
      </c>
      <c r="AN1695" t="s">
        <v>361</v>
      </c>
    </row>
    <row r="1696" spans="37:40" x14ac:dyDescent="0.25">
      <c r="AK1696" s="32" t="s">
        <v>49</v>
      </c>
      <c r="AL1696" t="s">
        <v>287</v>
      </c>
      <c r="AM1696" t="s">
        <v>362</v>
      </c>
      <c r="AN1696" t="s">
        <v>363</v>
      </c>
    </row>
    <row r="1697" spans="37:41" x14ac:dyDescent="0.25">
      <c r="AK1697" s="32" t="s">
        <v>49</v>
      </c>
      <c r="AL1697" t="s">
        <v>287</v>
      </c>
      <c r="AM1697" t="s">
        <v>364</v>
      </c>
      <c r="AN1697" t="s">
        <v>365</v>
      </c>
    </row>
    <row r="1698" spans="37:41" x14ac:dyDescent="0.25">
      <c r="AK1698" s="32" t="s">
        <v>49</v>
      </c>
      <c r="AL1698" t="s">
        <v>287</v>
      </c>
      <c r="AM1698" t="s">
        <v>366</v>
      </c>
      <c r="AN1698" t="s">
        <v>367</v>
      </c>
    </row>
    <row r="1699" spans="37:41" x14ac:dyDescent="0.25">
      <c r="AK1699" s="32" t="s">
        <v>49</v>
      </c>
      <c r="AL1699" t="s">
        <v>287</v>
      </c>
      <c r="AM1699" t="s">
        <v>368</v>
      </c>
      <c r="AN1699" t="s">
        <v>369</v>
      </c>
    </row>
    <row r="1700" spans="37:41" x14ac:dyDescent="0.25">
      <c r="AK1700" s="32" t="s">
        <v>49</v>
      </c>
      <c r="AL1700" t="s">
        <v>287</v>
      </c>
      <c r="AM1700" t="s">
        <v>370</v>
      </c>
      <c r="AN1700" t="s">
        <v>371</v>
      </c>
    </row>
    <row r="1703" spans="37:41" x14ac:dyDescent="0.25">
      <c r="AK1703" s="32" t="s">
        <v>49</v>
      </c>
      <c r="AL1703" t="s">
        <v>291</v>
      </c>
      <c r="AM1703" t="s">
        <v>50</v>
      </c>
      <c r="AN1703" t="s">
        <v>51</v>
      </c>
    </row>
    <row r="1704" spans="37:41" x14ac:dyDescent="0.25">
      <c r="AK1704" s="32" t="s">
        <v>49</v>
      </c>
      <c r="AL1704" t="s">
        <v>291</v>
      </c>
      <c r="AM1704" t="s">
        <v>78</v>
      </c>
      <c r="AN1704" t="s">
        <v>79</v>
      </c>
      <c r="AO1704" t="s">
        <v>465</v>
      </c>
    </row>
    <row r="1705" spans="37:41" x14ac:dyDescent="0.25">
      <c r="AK1705" s="32" t="s">
        <v>49</v>
      </c>
      <c r="AL1705" t="s">
        <v>291</v>
      </c>
      <c r="AM1705" t="s">
        <v>100</v>
      </c>
      <c r="AN1705" t="s">
        <v>101</v>
      </c>
      <c r="AO1705" t="s">
        <v>467</v>
      </c>
    </row>
    <row r="1706" spans="37:41" x14ac:dyDescent="0.25">
      <c r="AK1706" s="32" t="s">
        <v>49</v>
      </c>
      <c r="AL1706" t="s">
        <v>291</v>
      </c>
      <c r="AM1706" t="s">
        <v>112</v>
      </c>
      <c r="AN1706" t="s">
        <v>113</v>
      </c>
      <c r="AO1706" t="s">
        <v>469</v>
      </c>
    </row>
    <row r="1707" spans="37:41" x14ac:dyDescent="0.25">
      <c r="AK1707" s="32" t="s">
        <v>49</v>
      </c>
      <c r="AL1707" t="s">
        <v>291</v>
      </c>
      <c r="AM1707" t="s">
        <v>127</v>
      </c>
      <c r="AN1707" t="s">
        <v>128</v>
      </c>
      <c r="AO1707" t="s">
        <v>471</v>
      </c>
    </row>
    <row r="1708" spans="37:41" x14ac:dyDescent="0.25">
      <c r="AK1708" s="32" t="s">
        <v>49</v>
      </c>
      <c r="AL1708" t="s">
        <v>291</v>
      </c>
      <c r="AM1708" t="s">
        <v>140</v>
      </c>
      <c r="AN1708" t="s">
        <v>141</v>
      </c>
      <c r="AO1708" t="s">
        <v>473</v>
      </c>
    </row>
    <row r="1709" spans="37:41" x14ac:dyDescent="0.25">
      <c r="AK1709" s="32" t="s">
        <v>49</v>
      </c>
      <c r="AL1709" t="s">
        <v>291</v>
      </c>
      <c r="AM1709" t="s">
        <v>152</v>
      </c>
      <c r="AN1709" t="s">
        <v>153</v>
      </c>
      <c r="AO1709" t="s">
        <v>475</v>
      </c>
    </row>
    <row r="1710" spans="37:41" x14ac:dyDescent="0.25">
      <c r="AK1710" s="32" t="s">
        <v>49</v>
      </c>
      <c r="AL1710" t="s">
        <v>291</v>
      </c>
      <c r="AM1710" t="s">
        <v>164</v>
      </c>
      <c r="AN1710" t="s">
        <v>165</v>
      </c>
      <c r="AO1710" t="s">
        <v>477</v>
      </c>
    </row>
    <row r="1711" spans="37:41" x14ac:dyDescent="0.25">
      <c r="AK1711" s="32" t="s">
        <v>49</v>
      </c>
      <c r="AL1711" t="s">
        <v>291</v>
      </c>
      <c r="AM1711" t="s">
        <v>179</v>
      </c>
      <c r="AN1711" t="s">
        <v>180</v>
      </c>
      <c r="AO1711" t="s">
        <v>479</v>
      </c>
    </row>
    <row r="1712" spans="37:41" x14ac:dyDescent="0.25">
      <c r="AK1712" s="32" t="s">
        <v>49</v>
      </c>
      <c r="AL1712" t="s">
        <v>291</v>
      </c>
      <c r="AM1712" t="s">
        <v>193</v>
      </c>
      <c r="AN1712" t="s">
        <v>194</v>
      </c>
      <c r="AO1712" t="s">
        <v>481</v>
      </c>
    </row>
    <row r="1713" spans="37:41" x14ac:dyDescent="0.25">
      <c r="AK1713" s="32" t="s">
        <v>49</v>
      </c>
      <c r="AL1713" t="s">
        <v>291</v>
      </c>
      <c r="AM1713" t="s">
        <v>206</v>
      </c>
      <c r="AN1713" t="s">
        <v>207</v>
      </c>
      <c r="AO1713" t="s">
        <v>483</v>
      </c>
    </row>
    <row r="1714" spans="37:41" x14ac:dyDescent="0.25">
      <c r="AK1714" s="32" t="s">
        <v>49</v>
      </c>
      <c r="AL1714" t="s">
        <v>291</v>
      </c>
      <c r="AM1714" t="s">
        <v>218</v>
      </c>
      <c r="AN1714" t="s">
        <v>219</v>
      </c>
      <c r="AO1714" t="s">
        <v>469</v>
      </c>
    </row>
    <row r="1715" spans="37:41" x14ac:dyDescent="0.25">
      <c r="AK1715" s="32" t="s">
        <v>49</v>
      </c>
      <c r="AL1715" t="s">
        <v>291</v>
      </c>
      <c r="AM1715" t="s">
        <v>224</v>
      </c>
      <c r="AN1715" t="s">
        <v>225</v>
      </c>
      <c r="AO1715" t="s">
        <v>471</v>
      </c>
    </row>
    <row r="1716" spans="37:41" x14ac:dyDescent="0.25">
      <c r="AK1716" s="32" t="s">
        <v>49</v>
      </c>
      <c r="AL1716" t="s">
        <v>291</v>
      </c>
      <c r="AM1716" t="s">
        <v>228</v>
      </c>
      <c r="AN1716" t="s">
        <v>229</v>
      </c>
      <c r="AO1716" t="s">
        <v>473</v>
      </c>
    </row>
    <row r="1717" spans="37:41" x14ac:dyDescent="0.25">
      <c r="AK1717" s="32" t="s">
        <v>49</v>
      </c>
      <c r="AL1717" t="s">
        <v>291</v>
      </c>
      <c r="AM1717" t="s">
        <v>232</v>
      </c>
      <c r="AN1717" t="s">
        <v>233</v>
      </c>
      <c r="AO1717" t="s">
        <v>467</v>
      </c>
    </row>
    <row r="1718" spans="37:41" x14ac:dyDescent="0.25">
      <c r="AK1718" s="32" t="s">
        <v>49</v>
      </c>
      <c r="AL1718" t="s">
        <v>291</v>
      </c>
      <c r="AM1718" t="s">
        <v>237</v>
      </c>
      <c r="AN1718" t="s">
        <v>238</v>
      </c>
      <c r="AO1718" t="s">
        <v>471</v>
      </c>
    </row>
    <row r="1719" spans="37:41" x14ac:dyDescent="0.25">
      <c r="AK1719" s="32" t="s">
        <v>49</v>
      </c>
      <c r="AL1719" t="s">
        <v>291</v>
      </c>
      <c r="AM1719" t="s">
        <v>242</v>
      </c>
      <c r="AN1719" t="s">
        <v>243</v>
      </c>
      <c r="AO1719" t="s">
        <v>473</v>
      </c>
    </row>
    <row r="1720" spans="37:41" x14ac:dyDescent="0.25">
      <c r="AK1720" s="32" t="s">
        <v>49</v>
      </c>
      <c r="AL1720" t="s">
        <v>291</v>
      </c>
      <c r="AM1720" t="s">
        <v>247</v>
      </c>
      <c r="AN1720" t="s">
        <v>248</v>
      </c>
      <c r="AO1720" t="s">
        <v>475</v>
      </c>
    </row>
    <row r="1721" spans="37:41" x14ac:dyDescent="0.25">
      <c r="AK1721" s="32" t="s">
        <v>49</v>
      </c>
      <c r="AL1721" t="s">
        <v>291</v>
      </c>
      <c r="AM1721" t="s">
        <v>251</v>
      </c>
      <c r="AN1721" t="s">
        <v>252</v>
      </c>
      <c r="AO1721" t="s">
        <v>477</v>
      </c>
    </row>
    <row r="1722" spans="37:41" x14ac:dyDescent="0.25">
      <c r="AK1722" s="32" t="s">
        <v>49</v>
      </c>
      <c r="AL1722" t="s">
        <v>291</v>
      </c>
      <c r="AM1722" t="s">
        <v>255</v>
      </c>
      <c r="AN1722" t="s">
        <v>256</v>
      </c>
      <c r="AO1722" t="s">
        <v>467</v>
      </c>
    </row>
    <row r="1723" spans="37:41" x14ac:dyDescent="0.25">
      <c r="AK1723" s="32" t="s">
        <v>49</v>
      </c>
      <c r="AL1723" t="s">
        <v>291</v>
      </c>
      <c r="AM1723" t="s">
        <v>259</v>
      </c>
      <c r="AN1723" t="s">
        <v>260</v>
      </c>
      <c r="AO1723" t="s">
        <v>469</v>
      </c>
    </row>
    <row r="1724" spans="37:41" x14ac:dyDescent="0.25">
      <c r="AK1724" s="32" t="s">
        <v>49</v>
      </c>
      <c r="AL1724" t="s">
        <v>291</v>
      </c>
      <c r="AM1724" t="s">
        <v>263</v>
      </c>
      <c r="AN1724" t="s">
        <v>264</v>
      </c>
      <c r="AO1724" t="s">
        <v>473</v>
      </c>
    </row>
    <row r="1725" spans="37:41" x14ac:dyDescent="0.25">
      <c r="AK1725" s="32" t="s">
        <v>49</v>
      </c>
      <c r="AL1725" t="s">
        <v>291</v>
      </c>
      <c r="AM1725" t="s">
        <v>267</v>
      </c>
      <c r="AN1725" t="s">
        <v>268</v>
      </c>
      <c r="AO1725" t="s">
        <v>475</v>
      </c>
    </row>
    <row r="1726" spans="37:41" x14ac:dyDescent="0.25">
      <c r="AK1726" s="32" t="s">
        <v>49</v>
      </c>
      <c r="AL1726" t="s">
        <v>291</v>
      </c>
      <c r="AM1726" t="s">
        <v>271</v>
      </c>
      <c r="AN1726" t="s">
        <v>272</v>
      </c>
      <c r="AO1726" t="s">
        <v>477</v>
      </c>
    </row>
    <row r="1727" spans="37:41" x14ac:dyDescent="0.25">
      <c r="AK1727" s="32" t="s">
        <v>49</v>
      </c>
      <c r="AL1727" t="s">
        <v>291</v>
      </c>
      <c r="AM1727" t="s">
        <v>274</v>
      </c>
      <c r="AN1727" t="s">
        <v>275</v>
      </c>
      <c r="AO1727" t="s">
        <v>467</v>
      </c>
    </row>
    <row r="1728" spans="37:41" x14ac:dyDescent="0.25">
      <c r="AK1728" s="32" t="s">
        <v>49</v>
      </c>
      <c r="AL1728" t="s">
        <v>291</v>
      </c>
      <c r="AM1728" t="s">
        <v>277</v>
      </c>
      <c r="AN1728" t="s">
        <v>278</v>
      </c>
      <c r="AO1728" t="s">
        <v>469</v>
      </c>
    </row>
    <row r="1729" spans="37:41" x14ac:dyDescent="0.25">
      <c r="AK1729" s="32" t="s">
        <v>49</v>
      </c>
      <c r="AL1729" t="s">
        <v>291</v>
      </c>
      <c r="AM1729" t="s">
        <v>281</v>
      </c>
      <c r="AN1729" t="s">
        <v>282</v>
      </c>
      <c r="AO1729" t="s">
        <v>471</v>
      </c>
    </row>
    <row r="1730" spans="37:41" x14ac:dyDescent="0.25">
      <c r="AK1730" s="32" t="s">
        <v>49</v>
      </c>
      <c r="AL1730" t="s">
        <v>291</v>
      </c>
      <c r="AM1730" t="s">
        <v>285</v>
      </c>
      <c r="AN1730" t="s">
        <v>286</v>
      </c>
      <c r="AO1730" t="s">
        <v>475</v>
      </c>
    </row>
    <row r="1731" spans="37:41" x14ac:dyDescent="0.25">
      <c r="AK1731" s="32" t="s">
        <v>49</v>
      </c>
      <c r="AL1731" t="s">
        <v>291</v>
      </c>
      <c r="AM1731" t="s">
        <v>288</v>
      </c>
      <c r="AN1731" t="s">
        <v>289</v>
      </c>
      <c r="AO1731" t="s">
        <v>477</v>
      </c>
    </row>
    <row r="1732" spans="37:41" x14ac:dyDescent="0.25">
      <c r="AK1732" s="32" t="s">
        <v>49</v>
      </c>
      <c r="AL1732" t="s">
        <v>291</v>
      </c>
      <c r="AM1732" t="s">
        <v>292</v>
      </c>
      <c r="AN1732" t="s">
        <v>293</v>
      </c>
      <c r="AO1732" t="s">
        <v>479</v>
      </c>
    </row>
    <row r="1733" spans="37:41" x14ac:dyDescent="0.25">
      <c r="AK1733" s="32" t="s">
        <v>49</v>
      </c>
      <c r="AL1733" t="s">
        <v>291</v>
      </c>
      <c r="AM1733" t="s">
        <v>297</v>
      </c>
      <c r="AN1733" t="s">
        <v>298</v>
      </c>
      <c r="AO1733" t="s">
        <v>481</v>
      </c>
    </row>
    <row r="1734" spans="37:41" x14ac:dyDescent="0.25">
      <c r="AK1734" s="32" t="s">
        <v>49</v>
      </c>
      <c r="AL1734" t="s">
        <v>291</v>
      </c>
      <c r="AM1734" t="s">
        <v>302</v>
      </c>
      <c r="AN1734" t="s">
        <v>303</v>
      </c>
      <c r="AO1734" t="s">
        <v>469</v>
      </c>
    </row>
    <row r="1735" spans="37:41" x14ac:dyDescent="0.25">
      <c r="AK1735" s="32" t="s">
        <v>49</v>
      </c>
      <c r="AL1735" t="s">
        <v>291</v>
      </c>
      <c r="AM1735" t="s">
        <v>306</v>
      </c>
      <c r="AN1735" t="s">
        <v>307</v>
      </c>
      <c r="AO1735" t="s">
        <v>471</v>
      </c>
    </row>
    <row r="1736" spans="37:41" x14ac:dyDescent="0.25">
      <c r="AK1736" s="32" t="s">
        <v>49</v>
      </c>
      <c r="AL1736" t="s">
        <v>291</v>
      </c>
      <c r="AM1736" t="s">
        <v>310</v>
      </c>
      <c r="AN1736" t="s">
        <v>311</v>
      </c>
      <c r="AO1736" t="s">
        <v>473</v>
      </c>
    </row>
    <row r="1737" spans="37:41" x14ac:dyDescent="0.25">
      <c r="AK1737" s="32" t="s">
        <v>49</v>
      </c>
      <c r="AL1737" t="s">
        <v>291</v>
      </c>
      <c r="AM1737" t="s">
        <v>314</v>
      </c>
      <c r="AN1737" t="s">
        <v>315</v>
      </c>
      <c r="AO1737" t="s">
        <v>477</v>
      </c>
    </row>
    <row r="1738" spans="37:41" x14ac:dyDescent="0.25">
      <c r="AK1738" s="32" t="s">
        <v>49</v>
      </c>
      <c r="AL1738" t="s">
        <v>291</v>
      </c>
      <c r="AM1738" t="s">
        <v>318</v>
      </c>
      <c r="AN1738" t="s">
        <v>319</v>
      </c>
      <c r="AO1738" t="s">
        <v>479</v>
      </c>
    </row>
    <row r="1739" spans="37:41" x14ac:dyDescent="0.25">
      <c r="AK1739" s="32" t="s">
        <v>49</v>
      </c>
      <c r="AL1739" t="s">
        <v>291</v>
      </c>
      <c r="AM1739" t="s">
        <v>321</v>
      </c>
      <c r="AN1739" t="s">
        <v>322</v>
      </c>
      <c r="AO1739" t="s">
        <v>481</v>
      </c>
    </row>
    <row r="1740" spans="37:41" x14ac:dyDescent="0.25">
      <c r="AK1740" s="32" t="s">
        <v>49</v>
      </c>
      <c r="AL1740" t="s">
        <v>291</v>
      </c>
      <c r="AM1740" t="s">
        <v>325</v>
      </c>
      <c r="AN1740" t="s">
        <v>326</v>
      </c>
      <c r="AO1740" t="s">
        <v>483</v>
      </c>
    </row>
    <row r="1741" spans="37:41" x14ac:dyDescent="0.25">
      <c r="AK1741" s="32" t="s">
        <v>49</v>
      </c>
      <c r="AL1741" t="s">
        <v>291</v>
      </c>
      <c r="AM1741" t="s">
        <v>327</v>
      </c>
      <c r="AN1741" t="s">
        <v>328</v>
      </c>
      <c r="AO1741" t="s">
        <v>469</v>
      </c>
    </row>
    <row r="1742" spans="37:41" x14ac:dyDescent="0.25">
      <c r="AK1742" s="32" t="s">
        <v>49</v>
      </c>
      <c r="AL1742" t="s">
        <v>291</v>
      </c>
      <c r="AM1742" t="s">
        <v>329</v>
      </c>
      <c r="AN1742" t="s">
        <v>330</v>
      </c>
      <c r="AO1742" t="s">
        <v>471</v>
      </c>
    </row>
    <row r="1743" spans="37:41" x14ac:dyDescent="0.25">
      <c r="AK1743" s="32" t="s">
        <v>49</v>
      </c>
      <c r="AL1743" t="s">
        <v>291</v>
      </c>
      <c r="AM1743" t="s">
        <v>331</v>
      </c>
      <c r="AN1743" t="s">
        <v>332</v>
      </c>
      <c r="AO1743" t="s">
        <v>473</v>
      </c>
    </row>
    <row r="1744" spans="37:41" x14ac:dyDescent="0.25">
      <c r="AK1744" s="32" t="s">
        <v>49</v>
      </c>
      <c r="AL1744" t="s">
        <v>291</v>
      </c>
      <c r="AM1744" t="s">
        <v>333</v>
      </c>
      <c r="AN1744" t="s">
        <v>334</v>
      </c>
      <c r="AO1744" t="s">
        <v>475</v>
      </c>
    </row>
    <row r="1745" spans="37:41" x14ac:dyDescent="0.25">
      <c r="AK1745" s="32" t="s">
        <v>49</v>
      </c>
      <c r="AL1745" t="s">
        <v>291</v>
      </c>
      <c r="AM1745" t="s">
        <v>335</v>
      </c>
      <c r="AN1745" t="s">
        <v>336</v>
      </c>
      <c r="AO1745" t="s">
        <v>479</v>
      </c>
    </row>
    <row r="1746" spans="37:41" x14ac:dyDescent="0.25">
      <c r="AK1746" s="32" t="s">
        <v>49</v>
      </c>
      <c r="AL1746" t="s">
        <v>291</v>
      </c>
      <c r="AM1746" t="s">
        <v>337</v>
      </c>
      <c r="AN1746" t="s">
        <v>338</v>
      </c>
      <c r="AO1746" t="s">
        <v>481</v>
      </c>
    </row>
    <row r="1747" spans="37:41" x14ac:dyDescent="0.25">
      <c r="AK1747" s="32" t="s">
        <v>49</v>
      </c>
      <c r="AL1747" t="s">
        <v>291</v>
      </c>
      <c r="AM1747" t="s">
        <v>340</v>
      </c>
      <c r="AN1747" t="s">
        <v>341</v>
      </c>
      <c r="AO1747" t="s">
        <v>483</v>
      </c>
    </row>
    <row r="1748" spans="37:41" x14ac:dyDescent="0.25">
      <c r="AK1748" s="32" t="s">
        <v>49</v>
      </c>
      <c r="AL1748" t="s">
        <v>291</v>
      </c>
      <c r="AM1748" t="s">
        <v>342</v>
      </c>
      <c r="AN1748" t="s">
        <v>343</v>
      </c>
      <c r="AO1748" t="s">
        <v>471</v>
      </c>
    </row>
    <row r="1749" spans="37:41" x14ac:dyDescent="0.25">
      <c r="AK1749" s="32" t="s">
        <v>49</v>
      </c>
      <c r="AL1749" t="s">
        <v>291</v>
      </c>
      <c r="AM1749" t="s">
        <v>344</v>
      </c>
      <c r="AN1749" t="s">
        <v>345</v>
      </c>
      <c r="AO1749" t="s">
        <v>473</v>
      </c>
    </row>
    <row r="1750" spans="37:41" x14ac:dyDescent="0.25">
      <c r="AK1750" s="32" t="s">
        <v>49</v>
      </c>
      <c r="AL1750" t="s">
        <v>291</v>
      </c>
      <c r="AM1750" t="s">
        <v>346</v>
      </c>
      <c r="AN1750" t="s">
        <v>347</v>
      </c>
      <c r="AO1750" t="s">
        <v>475</v>
      </c>
    </row>
    <row r="1751" spans="37:41" x14ac:dyDescent="0.25">
      <c r="AK1751" s="32" t="s">
        <v>49</v>
      </c>
      <c r="AL1751" t="s">
        <v>291</v>
      </c>
      <c r="AM1751" t="s">
        <v>348</v>
      </c>
      <c r="AN1751" t="s">
        <v>349</v>
      </c>
      <c r="AO1751" t="s">
        <v>477</v>
      </c>
    </row>
    <row r="1752" spans="37:41" x14ac:dyDescent="0.25">
      <c r="AK1752" s="32" t="s">
        <v>49</v>
      </c>
      <c r="AL1752" t="s">
        <v>291</v>
      </c>
      <c r="AM1752" t="s">
        <v>350</v>
      </c>
      <c r="AN1752" t="s">
        <v>351</v>
      </c>
      <c r="AO1752" t="s">
        <v>481</v>
      </c>
    </row>
    <row r="1753" spans="37:41" x14ac:dyDescent="0.25">
      <c r="AK1753" s="32" t="s">
        <v>49</v>
      </c>
      <c r="AL1753" t="s">
        <v>291</v>
      </c>
      <c r="AM1753" t="s">
        <v>352</v>
      </c>
      <c r="AN1753" t="s">
        <v>353</v>
      </c>
      <c r="AO1753" t="s">
        <v>483</v>
      </c>
    </row>
    <row r="1754" spans="37:41" x14ac:dyDescent="0.25">
      <c r="AK1754" s="32" t="s">
        <v>49</v>
      </c>
      <c r="AL1754" t="s">
        <v>291</v>
      </c>
      <c r="AM1754" t="s">
        <v>354</v>
      </c>
      <c r="AN1754" t="s">
        <v>355</v>
      </c>
      <c r="AO1754" t="s">
        <v>473</v>
      </c>
    </row>
    <row r="1755" spans="37:41" x14ac:dyDescent="0.25">
      <c r="AK1755" s="32" t="s">
        <v>49</v>
      </c>
      <c r="AL1755" t="s">
        <v>291</v>
      </c>
      <c r="AM1755" t="s">
        <v>356</v>
      </c>
      <c r="AN1755" t="s">
        <v>357</v>
      </c>
      <c r="AO1755" t="s">
        <v>475</v>
      </c>
    </row>
    <row r="1756" spans="37:41" x14ac:dyDescent="0.25">
      <c r="AK1756" s="32" t="s">
        <v>49</v>
      </c>
      <c r="AL1756" t="s">
        <v>291</v>
      </c>
      <c r="AM1756" t="s">
        <v>358</v>
      </c>
      <c r="AN1756" t="s">
        <v>359</v>
      </c>
      <c r="AO1756" t="s">
        <v>477</v>
      </c>
    </row>
    <row r="1757" spans="37:41" x14ac:dyDescent="0.25">
      <c r="AK1757" s="32" t="s">
        <v>49</v>
      </c>
      <c r="AL1757" t="s">
        <v>291</v>
      </c>
      <c r="AM1757" t="s">
        <v>360</v>
      </c>
      <c r="AN1757" t="s">
        <v>361</v>
      </c>
      <c r="AO1757" t="s">
        <v>479</v>
      </c>
    </row>
    <row r="1758" spans="37:41" x14ac:dyDescent="0.25">
      <c r="AK1758" s="32" t="s">
        <v>49</v>
      </c>
      <c r="AL1758" t="s">
        <v>291</v>
      </c>
      <c r="AM1758" t="s">
        <v>362</v>
      </c>
      <c r="AN1758" t="s">
        <v>363</v>
      </c>
      <c r="AO1758" t="s">
        <v>483</v>
      </c>
    </row>
    <row r="1759" spans="37:41" x14ac:dyDescent="0.25">
      <c r="AK1759" s="32" t="s">
        <v>49</v>
      </c>
      <c r="AL1759" t="s">
        <v>291</v>
      </c>
      <c r="AM1759" t="s">
        <v>364</v>
      </c>
      <c r="AN1759" t="s">
        <v>365</v>
      </c>
      <c r="AO1759" t="s">
        <v>473</v>
      </c>
    </row>
    <row r="1760" spans="37:41" x14ac:dyDescent="0.25">
      <c r="AK1760" s="32" t="s">
        <v>49</v>
      </c>
      <c r="AL1760" t="s">
        <v>291</v>
      </c>
      <c r="AM1760" t="s">
        <v>366</v>
      </c>
      <c r="AN1760" t="s">
        <v>367</v>
      </c>
      <c r="AO1760" t="s">
        <v>475</v>
      </c>
    </row>
    <row r="1761" spans="37:41" x14ac:dyDescent="0.25">
      <c r="AK1761" s="32" t="s">
        <v>49</v>
      </c>
      <c r="AL1761" t="s">
        <v>291</v>
      </c>
      <c r="AM1761" t="s">
        <v>368</v>
      </c>
      <c r="AN1761" t="s">
        <v>369</v>
      </c>
      <c r="AO1761" t="s">
        <v>477</v>
      </c>
    </row>
    <row r="1762" spans="37:41" x14ac:dyDescent="0.25">
      <c r="AK1762" s="32" t="s">
        <v>49</v>
      </c>
      <c r="AL1762" t="s">
        <v>291</v>
      </c>
      <c r="AM1762" t="s">
        <v>370</v>
      </c>
      <c r="AN1762" t="s">
        <v>371</v>
      </c>
      <c r="AO1762" t="s">
        <v>479</v>
      </c>
    </row>
    <row r="1763" spans="37:41" x14ac:dyDescent="0.25">
      <c r="AO1763" t="s">
        <v>481</v>
      </c>
    </row>
    <row r="1765" spans="37:41" x14ac:dyDescent="0.25">
      <c r="AK1765" t="s">
        <v>49</v>
      </c>
      <c r="AL1765" t="s">
        <v>296</v>
      </c>
      <c r="AM1765" t="s">
        <v>50</v>
      </c>
      <c r="AN1765" t="s">
        <v>464</v>
      </c>
    </row>
    <row r="1766" spans="37:41" x14ac:dyDescent="0.25">
      <c r="AK1766" t="s">
        <v>49</v>
      </c>
      <c r="AL1766" t="s">
        <v>296</v>
      </c>
      <c r="AM1766" t="s">
        <v>78</v>
      </c>
      <c r="AN1766" t="s">
        <v>466</v>
      </c>
    </row>
    <row r="1767" spans="37:41" x14ac:dyDescent="0.25">
      <c r="AK1767" t="s">
        <v>49</v>
      </c>
      <c r="AL1767" t="s">
        <v>296</v>
      </c>
      <c r="AM1767" t="s">
        <v>100</v>
      </c>
      <c r="AN1767" t="s">
        <v>468</v>
      </c>
    </row>
    <row r="1768" spans="37:41" x14ac:dyDescent="0.25">
      <c r="AK1768" t="s">
        <v>49</v>
      </c>
      <c r="AL1768" t="s">
        <v>296</v>
      </c>
      <c r="AM1768" t="s">
        <v>112</v>
      </c>
      <c r="AN1768" t="s">
        <v>470</v>
      </c>
    </row>
    <row r="1769" spans="37:41" x14ac:dyDescent="0.25">
      <c r="AK1769" t="s">
        <v>49</v>
      </c>
      <c r="AL1769" t="s">
        <v>296</v>
      </c>
      <c r="AM1769" t="s">
        <v>127</v>
      </c>
      <c r="AN1769" t="s">
        <v>472</v>
      </c>
    </row>
    <row r="1770" spans="37:41" x14ac:dyDescent="0.25">
      <c r="AK1770" t="s">
        <v>49</v>
      </c>
      <c r="AL1770" t="s">
        <v>296</v>
      </c>
      <c r="AM1770" t="s">
        <v>140</v>
      </c>
      <c r="AN1770" t="s">
        <v>474</v>
      </c>
    </row>
    <row r="1771" spans="37:41" x14ac:dyDescent="0.25">
      <c r="AK1771" t="s">
        <v>49</v>
      </c>
      <c r="AL1771" t="s">
        <v>296</v>
      </c>
      <c r="AM1771" t="s">
        <v>152</v>
      </c>
      <c r="AN1771" t="s">
        <v>476</v>
      </c>
    </row>
    <row r="1772" spans="37:41" x14ac:dyDescent="0.25">
      <c r="AK1772" t="s">
        <v>49</v>
      </c>
      <c r="AL1772" t="s">
        <v>296</v>
      </c>
      <c r="AM1772" t="s">
        <v>164</v>
      </c>
      <c r="AN1772" t="s">
        <v>478</v>
      </c>
    </row>
    <row r="1773" spans="37:41" x14ac:dyDescent="0.25">
      <c r="AK1773" t="s">
        <v>49</v>
      </c>
      <c r="AL1773" t="s">
        <v>296</v>
      </c>
      <c r="AM1773" t="s">
        <v>179</v>
      </c>
      <c r="AN1773" t="s">
        <v>480</v>
      </c>
    </row>
    <row r="1774" spans="37:41" x14ac:dyDescent="0.25">
      <c r="AK1774" t="s">
        <v>49</v>
      </c>
      <c r="AL1774" t="s">
        <v>296</v>
      </c>
      <c r="AM1774" t="s">
        <v>193</v>
      </c>
      <c r="AN1774" t="s">
        <v>482</v>
      </c>
    </row>
    <row r="1775" spans="37:41" x14ac:dyDescent="0.25">
      <c r="AK1775" t="s">
        <v>49</v>
      </c>
      <c r="AL1775" t="s">
        <v>296</v>
      </c>
      <c r="AM1775" t="s">
        <v>206</v>
      </c>
      <c r="AN1775" t="s">
        <v>484</v>
      </c>
    </row>
    <row r="1776" spans="37:41" x14ac:dyDescent="0.25">
      <c r="AK1776" t="s">
        <v>49</v>
      </c>
      <c r="AL1776" t="s">
        <v>296</v>
      </c>
      <c r="AM1776" t="s">
        <v>218</v>
      </c>
      <c r="AN1776" t="s">
        <v>485</v>
      </c>
    </row>
    <row r="1777" spans="37:40" x14ac:dyDescent="0.25">
      <c r="AK1777" t="s">
        <v>49</v>
      </c>
      <c r="AL1777" t="s">
        <v>296</v>
      </c>
      <c r="AM1777" t="s">
        <v>224</v>
      </c>
      <c r="AN1777" t="s">
        <v>486</v>
      </c>
    </row>
    <row r="1778" spans="37:40" x14ac:dyDescent="0.25">
      <c r="AK1778" t="s">
        <v>49</v>
      </c>
      <c r="AL1778" t="s">
        <v>296</v>
      </c>
      <c r="AM1778" s="37" t="s">
        <v>325</v>
      </c>
      <c r="AN1778" t="s">
        <v>484</v>
      </c>
    </row>
    <row r="1779" spans="37:40" x14ac:dyDescent="0.25">
      <c r="AK1779" t="s">
        <v>49</v>
      </c>
      <c r="AL1779" t="s">
        <v>296</v>
      </c>
      <c r="AM1779" t="s">
        <v>228</v>
      </c>
      <c r="AN1779" t="s">
        <v>487</v>
      </c>
    </row>
    <row r="1780" spans="37:40" x14ac:dyDescent="0.25">
      <c r="AK1780" t="s">
        <v>49</v>
      </c>
      <c r="AL1780" t="s">
        <v>296</v>
      </c>
      <c r="AM1780" t="s">
        <v>232</v>
      </c>
      <c r="AN1780" t="s">
        <v>488</v>
      </c>
    </row>
    <row r="1781" spans="37:40" x14ac:dyDescent="0.25">
      <c r="AK1781" t="s">
        <v>49</v>
      </c>
      <c r="AL1781" t="s">
        <v>296</v>
      </c>
      <c r="AM1781" t="s">
        <v>237</v>
      </c>
      <c r="AN1781" t="s">
        <v>489</v>
      </c>
    </row>
    <row r="1782" spans="37:40" x14ac:dyDescent="0.25">
      <c r="AK1782" t="s">
        <v>49</v>
      </c>
      <c r="AL1782" t="s">
        <v>296</v>
      </c>
      <c r="AM1782" t="s">
        <v>327</v>
      </c>
      <c r="AN1782" t="s">
        <v>490</v>
      </c>
    </row>
    <row r="1783" spans="37:40" x14ac:dyDescent="0.25">
      <c r="AK1783" t="s">
        <v>49</v>
      </c>
      <c r="AL1783" t="s">
        <v>296</v>
      </c>
      <c r="AM1783" s="37" t="s">
        <v>329</v>
      </c>
      <c r="AN1783" t="s">
        <v>485</v>
      </c>
    </row>
    <row r="1784" spans="37:40" x14ac:dyDescent="0.25">
      <c r="AK1784" t="s">
        <v>49</v>
      </c>
      <c r="AL1784" t="s">
        <v>296</v>
      </c>
      <c r="AM1784" s="37" t="s">
        <v>331</v>
      </c>
      <c r="AN1784" t="s">
        <v>487</v>
      </c>
    </row>
    <row r="1785" spans="37:40" x14ac:dyDescent="0.25">
      <c r="AK1785" t="s">
        <v>49</v>
      </c>
      <c r="AL1785" t="s">
        <v>296</v>
      </c>
      <c r="AM1785" t="s">
        <v>242</v>
      </c>
      <c r="AN1785" t="s">
        <v>491</v>
      </c>
    </row>
    <row r="1786" spans="37:40" x14ac:dyDescent="0.25">
      <c r="AK1786" t="s">
        <v>49</v>
      </c>
      <c r="AL1786" t="s">
        <v>296</v>
      </c>
      <c r="AM1786" t="s">
        <v>247</v>
      </c>
      <c r="AN1786" t="s">
        <v>492</v>
      </c>
    </row>
    <row r="1787" spans="37:40" x14ac:dyDescent="0.25">
      <c r="AK1787" t="s">
        <v>49</v>
      </c>
      <c r="AL1787" t="s">
        <v>296</v>
      </c>
      <c r="AM1787" t="s">
        <v>251</v>
      </c>
      <c r="AN1787" t="s">
        <v>493</v>
      </c>
    </row>
    <row r="1788" spans="37:40" x14ac:dyDescent="0.25">
      <c r="AK1788" t="s">
        <v>49</v>
      </c>
      <c r="AL1788" t="s">
        <v>296</v>
      </c>
      <c r="AM1788" s="37" t="s">
        <v>333</v>
      </c>
      <c r="AN1788" s="39" t="s">
        <v>486</v>
      </c>
    </row>
    <row r="1789" spans="37:40" x14ac:dyDescent="0.25">
      <c r="AK1789" t="s">
        <v>49</v>
      </c>
      <c r="AL1789" t="s">
        <v>296</v>
      </c>
      <c r="AM1789" s="37" t="s">
        <v>335</v>
      </c>
      <c r="AN1789" s="39" t="s">
        <v>488</v>
      </c>
    </row>
    <row r="1790" spans="37:40" x14ac:dyDescent="0.25">
      <c r="AK1790" t="s">
        <v>49</v>
      </c>
      <c r="AL1790" t="s">
        <v>296</v>
      </c>
      <c r="AM1790" s="37" t="s">
        <v>337</v>
      </c>
      <c r="AN1790" s="39" t="s">
        <v>491</v>
      </c>
    </row>
    <row r="1791" spans="37:40" x14ac:dyDescent="0.25">
      <c r="AK1791" t="s">
        <v>49</v>
      </c>
      <c r="AL1791" t="s">
        <v>296</v>
      </c>
      <c r="AM1791" s="37" t="s">
        <v>255</v>
      </c>
      <c r="AN1791" s="39" t="s">
        <v>494</v>
      </c>
    </row>
    <row r="1792" spans="37:40" x14ac:dyDescent="0.25">
      <c r="AK1792" t="s">
        <v>49</v>
      </c>
      <c r="AL1792" t="s">
        <v>296</v>
      </c>
      <c r="AM1792" t="s">
        <v>259</v>
      </c>
      <c r="AN1792" t="s">
        <v>495</v>
      </c>
    </row>
    <row r="1793" spans="37:40" x14ac:dyDescent="0.25">
      <c r="AK1793" t="s">
        <v>49</v>
      </c>
      <c r="AL1793" t="s">
        <v>296</v>
      </c>
      <c r="AM1793" s="37" t="s">
        <v>263</v>
      </c>
      <c r="AN1793" s="39" t="s">
        <v>496</v>
      </c>
    </row>
    <row r="1794" spans="37:40" x14ac:dyDescent="0.25">
      <c r="AK1794" t="s">
        <v>49</v>
      </c>
      <c r="AL1794" t="s">
        <v>296</v>
      </c>
      <c r="AM1794" t="s">
        <v>340</v>
      </c>
      <c r="AN1794" t="s">
        <v>497</v>
      </c>
    </row>
    <row r="1795" spans="37:40" x14ac:dyDescent="0.25">
      <c r="AK1795" t="s">
        <v>49</v>
      </c>
      <c r="AL1795" t="s">
        <v>296</v>
      </c>
      <c r="AM1795" s="37" t="s">
        <v>342</v>
      </c>
      <c r="AN1795" s="39" t="s">
        <v>489</v>
      </c>
    </row>
    <row r="1796" spans="37:40" x14ac:dyDescent="0.25">
      <c r="AK1796" t="s">
        <v>49</v>
      </c>
      <c r="AL1796" t="s">
        <v>296</v>
      </c>
      <c r="AM1796" s="37" t="s">
        <v>344</v>
      </c>
      <c r="AN1796" s="59" t="s">
        <v>492</v>
      </c>
    </row>
    <row r="1797" spans="37:40" x14ac:dyDescent="0.25">
      <c r="AK1797" t="s">
        <v>49</v>
      </c>
      <c r="AL1797" t="s">
        <v>296</v>
      </c>
      <c r="AM1797" s="37" t="s">
        <v>346</v>
      </c>
      <c r="AN1797" s="39" t="s">
        <v>498</v>
      </c>
    </row>
    <row r="1798" spans="37:40" x14ac:dyDescent="0.25">
      <c r="AK1798" t="s">
        <v>49</v>
      </c>
      <c r="AL1798" t="s">
        <v>296</v>
      </c>
      <c r="AM1798" t="s">
        <v>267</v>
      </c>
      <c r="AN1798" t="s">
        <v>499</v>
      </c>
    </row>
    <row r="1799" spans="37:40" x14ac:dyDescent="0.25">
      <c r="AK1799" t="s">
        <v>49</v>
      </c>
      <c r="AL1799" t="s">
        <v>296</v>
      </c>
      <c r="AM1799" s="37" t="s">
        <v>271</v>
      </c>
      <c r="AN1799" s="39" t="s">
        <v>500</v>
      </c>
    </row>
    <row r="1800" spans="37:40" x14ac:dyDescent="0.25">
      <c r="AK1800" t="s">
        <v>49</v>
      </c>
      <c r="AL1800" t="s">
        <v>296</v>
      </c>
      <c r="AM1800" t="s">
        <v>274</v>
      </c>
      <c r="AN1800" t="s">
        <v>501</v>
      </c>
    </row>
    <row r="1801" spans="37:40" x14ac:dyDescent="0.25">
      <c r="AK1801" t="s">
        <v>49</v>
      </c>
      <c r="AL1801" t="s">
        <v>296</v>
      </c>
      <c r="AM1801" t="s">
        <v>348</v>
      </c>
      <c r="AN1801" t="s">
        <v>502</v>
      </c>
    </row>
    <row r="1802" spans="37:40" x14ac:dyDescent="0.25">
      <c r="AK1802" t="s">
        <v>49</v>
      </c>
      <c r="AL1802" t="s">
        <v>296</v>
      </c>
      <c r="AM1802" s="37" t="s">
        <v>350</v>
      </c>
      <c r="AN1802" s="39" t="s">
        <v>490</v>
      </c>
    </row>
    <row r="1803" spans="37:40" x14ac:dyDescent="0.25">
      <c r="AK1803" t="s">
        <v>49</v>
      </c>
      <c r="AL1803" t="s">
        <v>296</v>
      </c>
      <c r="AM1803" s="37" t="s">
        <v>352</v>
      </c>
      <c r="AN1803" s="39" t="s">
        <v>493</v>
      </c>
    </row>
    <row r="1804" spans="37:40" x14ac:dyDescent="0.25">
      <c r="AK1804" t="s">
        <v>49</v>
      </c>
      <c r="AL1804" t="s">
        <v>296</v>
      </c>
      <c r="AM1804" s="37" t="s">
        <v>354</v>
      </c>
      <c r="AN1804" s="39" t="s">
        <v>495</v>
      </c>
    </row>
    <row r="1805" spans="37:40" x14ac:dyDescent="0.25">
      <c r="AK1805" t="s">
        <v>49</v>
      </c>
      <c r="AL1805" t="s">
        <v>296</v>
      </c>
      <c r="AM1805" s="37" t="s">
        <v>356</v>
      </c>
      <c r="AN1805" s="39" t="s">
        <v>499</v>
      </c>
    </row>
    <row r="1806" spans="37:40" x14ac:dyDescent="0.25">
      <c r="AK1806" t="s">
        <v>49</v>
      </c>
      <c r="AL1806" t="s">
        <v>296</v>
      </c>
      <c r="AM1806" t="s">
        <v>277</v>
      </c>
      <c r="AN1806" t="s">
        <v>503</v>
      </c>
    </row>
    <row r="1807" spans="37:40" x14ac:dyDescent="0.25">
      <c r="AK1807" t="s">
        <v>49</v>
      </c>
      <c r="AL1807" t="s">
        <v>296</v>
      </c>
      <c r="AM1807" t="s">
        <v>281</v>
      </c>
      <c r="AN1807" t="s">
        <v>504</v>
      </c>
    </row>
    <row r="1808" spans="37:40" x14ac:dyDescent="0.25">
      <c r="AK1808" t="s">
        <v>49</v>
      </c>
      <c r="AL1808" t="s">
        <v>296</v>
      </c>
      <c r="AM1808" t="s">
        <v>285</v>
      </c>
      <c r="AN1808" t="s">
        <v>505</v>
      </c>
    </row>
    <row r="1809" spans="37:40" x14ac:dyDescent="0.25">
      <c r="AK1809" t="s">
        <v>49</v>
      </c>
      <c r="AL1809" t="s">
        <v>296</v>
      </c>
      <c r="AM1809" s="37" t="s">
        <v>358</v>
      </c>
      <c r="AN1809" s="39" t="s">
        <v>506</v>
      </c>
    </row>
    <row r="1810" spans="37:40" x14ac:dyDescent="0.25">
      <c r="AK1810" t="s">
        <v>49</v>
      </c>
      <c r="AL1810" t="s">
        <v>296</v>
      </c>
      <c r="AM1810" s="37" t="s">
        <v>360</v>
      </c>
      <c r="AN1810" s="39" t="s">
        <v>507</v>
      </c>
    </row>
    <row r="1811" spans="37:40" x14ac:dyDescent="0.25">
      <c r="AK1811" t="s">
        <v>49</v>
      </c>
      <c r="AL1811" t="s">
        <v>296</v>
      </c>
      <c r="AM1811" s="37" t="s">
        <v>362</v>
      </c>
      <c r="AN1811" s="39" t="s">
        <v>508</v>
      </c>
    </row>
    <row r="1812" spans="37:40" x14ac:dyDescent="0.25">
      <c r="AK1812" t="s">
        <v>49</v>
      </c>
      <c r="AL1812" t="s">
        <v>296</v>
      </c>
      <c r="AM1812" s="37" t="s">
        <v>297</v>
      </c>
      <c r="AN1812" s="39" t="s">
        <v>503</v>
      </c>
    </row>
    <row r="1813" spans="37:40" x14ac:dyDescent="0.25">
      <c r="AK1813" t="s">
        <v>49</v>
      </c>
      <c r="AL1813" t="s">
        <v>296</v>
      </c>
      <c r="AM1813" s="37" t="s">
        <v>288</v>
      </c>
      <c r="AN1813" s="39" t="s">
        <v>509</v>
      </c>
    </row>
    <row r="1814" spans="37:40" x14ac:dyDescent="0.25">
      <c r="AK1814" t="s">
        <v>49</v>
      </c>
      <c r="AL1814" t="s">
        <v>296</v>
      </c>
      <c r="AM1814" t="s">
        <v>292</v>
      </c>
      <c r="AN1814" t="s">
        <v>510</v>
      </c>
    </row>
    <row r="1815" spans="37:40" x14ac:dyDescent="0.25">
      <c r="AK1815" t="s">
        <v>49</v>
      </c>
      <c r="AL1815" t="s">
        <v>296</v>
      </c>
      <c r="AM1815" s="37" t="s">
        <v>364</v>
      </c>
      <c r="AN1815" s="39" t="s">
        <v>497</v>
      </c>
    </row>
    <row r="1816" spans="37:40" x14ac:dyDescent="0.25">
      <c r="AK1816" t="s">
        <v>49</v>
      </c>
      <c r="AL1816" t="s">
        <v>296</v>
      </c>
      <c r="AM1816" s="37" t="s">
        <v>366</v>
      </c>
      <c r="AN1816" s="39" t="s">
        <v>501</v>
      </c>
    </row>
    <row r="1817" spans="37:40" x14ac:dyDescent="0.25">
      <c r="AK1817" t="s">
        <v>49</v>
      </c>
      <c r="AL1817" t="s">
        <v>296</v>
      </c>
      <c r="AM1817" s="37" t="s">
        <v>310</v>
      </c>
      <c r="AN1817" s="39" t="s">
        <v>504</v>
      </c>
    </row>
    <row r="1818" spans="37:40" x14ac:dyDescent="0.25">
      <c r="AK1818" t="s">
        <v>49</v>
      </c>
      <c r="AL1818" t="s">
        <v>296</v>
      </c>
      <c r="AM1818" s="37" t="s">
        <v>306</v>
      </c>
      <c r="AN1818" s="39" t="s">
        <v>511</v>
      </c>
    </row>
    <row r="1819" spans="37:40" x14ac:dyDescent="0.25">
      <c r="AK1819" t="s">
        <v>49</v>
      </c>
      <c r="AL1819" t="s">
        <v>296</v>
      </c>
      <c r="AM1819" t="s">
        <v>302</v>
      </c>
      <c r="AN1819" t="s">
        <v>512</v>
      </c>
    </row>
    <row r="1820" spans="37:40" x14ac:dyDescent="0.25">
      <c r="AK1820" t="s">
        <v>49</v>
      </c>
      <c r="AL1820" t="s">
        <v>296</v>
      </c>
      <c r="AM1820" s="37" t="s">
        <v>368</v>
      </c>
      <c r="AN1820" s="39" t="s">
        <v>513</v>
      </c>
    </row>
    <row r="1821" spans="37:40" x14ac:dyDescent="0.25">
      <c r="AK1821" t="s">
        <v>49</v>
      </c>
      <c r="AL1821" t="s">
        <v>296</v>
      </c>
      <c r="AM1821" s="37" t="s">
        <v>370</v>
      </c>
      <c r="AN1821" s="39" t="s">
        <v>502</v>
      </c>
    </row>
    <row r="1822" spans="37:40" x14ac:dyDescent="0.25">
      <c r="AK1822" t="s">
        <v>49</v>
      </c>
      <c r="AL1822" t="s">
        <v>296</v>
      </c>
      <c r="AM1822" s="37" t="s">
        <v>321</v>
      </c>
      <c r="AN1822" s="39" t="s">
        <v>505</v>
      </c>
    </row>
    <row r="1823" spans="37:40" x14ac:dyDescent="0.25">
      <c r="AK1823" t="s">
        <v>49</v>
      </c>
      <c r="AL1823" t="s">
        <v>296</v>
      </c>
      <c r="AM1823" s="37" t="s">
        <v>318</v>
      </c>
      <c r="AN1823" s="39" t="s">
        <v>510</v>
      </c>
    </row>
    <row r="1824" spans="37:40" x14ac:dyDescent="0.25">
      <c r="AK1824" t="s">
        <v>49</v>
      </c>
      <c r="AL1824" t="s">
        <v>296</v>
      </c>
      <c r="AM1824" s="37" t="s">
        <v>314</v>
      </c>
      <c r="AN1824" s="39" t="s">
        <v>512</v>
      </c>
    </row>
    <row r="1826" spans="37:40" x14ac:dyDescent="0.25">
      <c r="AK1826" s="32" t="s">
        <v>49</v>
      </c>
      <c r="AL1826" t="s">
        <v>301</v>
      </c>
      <c r="AM1826" t="s">
        <v>50</v>
      </c>
      <c r="AN1826" t="s">
        <v>517</v>
      </c>
    </row>
    <row r="1827" spans="37:40" x14ac:dyDescent="0.25">
      <c r="AK1827" s="32" t="s">
        <v>49</v>
      </c>
      <c r="AL1827" t="s">
        <v>301</v>
      </c>
      <c r="AM1827" t="s">
        <v>78</v>
      </c>
      <c r="AN1827" t="s">
        <v>518</v>
      </c>
    </row>
    <row r="1828" spans="37:40" x14ac:dyDescent="0.25">
      <c r="AK1828" s="32" t="s">
        <v>49</v>
      </c>
      <c r="AL1828" t="s">
        <v>301</v>
      </c>
      <c r="AM1828" t="s">
        <v>100</v>
      </c>
      <c r="AN1828" t="s">
        <v>519</v>
      </c>
    </row>
    <row r="1829" spans="37:40" x14ac:dyDescent="0.25">
      <c r="AK1829" s="32" t="s">
        <v>49</v>
      </c>
      <c r="AL1829" t="s">
        <v>301</v>
      </c>
      <c r="AM1829" t="s">
        <v>112</v>
      </c>
      <c r="AN1829" t="s">
        <v>520</v>
      </c>
    </row>
    <row r="1830" spans="37:40" x14ac:dyDescent="0.25">
      <c r="AK1830" s="32" t="s">
        <v>49</v>
      </c>
      <c r="AL1830" t="s">
        <v>301</v>
      </c>
      <c r="AM1830" t="s">
        <v>127</v>
      </c>
      <c r="AN1830" t="s">
        <v>521</v>
      </c>
    </row>
    <row r="1831" spans="37:40" x14ac:dyDescent="0.25">
      <c r="AK1831" s="32" t="s">
        <v>49</v>
      </c>
      <c r="AL1831" t="s">
        <v>301</v>
      </c>
      <c r="AM1831" t="s">
        <v>140</v>
      </c>
      <c r="AN1831" t="s">
        <v>522</v>
      </c>
    </row>
    <row r="1832" spans="37:40" x14ac:dyDescent="0.25">
      <c r="AK1832" s="32" t="s">
        <v>49</v>
      </c>
      <c r="AL1832" t="s">
        <v>301</v>
      </c>
      <c r="AM1832" t="s">
        <v>152</v>
      </c>
      <c r="AN1832" t="s">
        <v>523</v>
      </c>
    </row>
    <row r="1833" spans="37:40" x14ac:dyDescent="0.25">
      <c r="AK1833" s="32" t="s">
        <v>49</v>
      </c>
      <c r="AL1833" t="s">
        <v>301</v>
      </c>
      <c r="AM1833" t="s">
        <v>164</v>
      </c>
      <c r="AN1833" t="s">
        <v>524</v>
      </c>
    </row>
    <row r="1834" spans="37:40" x14ac:dyDescent="0.25">
      <c r="AK1834" s="32" t="s">
        <v>49</v>
      </c>
      <c r="AL1834" t="s">
        <v>301</v>
      </c>
      <c r="AM1834" t="s">
        <v>179</v>
      </c>
      <c r="AN1834" t="s">
        <v>525</v>
      </c>
    </row>
    <row r="1835" spans="37:40" x14ac:dyDescent="0.25">
      <c r="AK1835" s="32" t="s">
        <v>49</v>
      </c>
      <c r="AL1835" t="s">
        <v>301</v>
      </c>
      <c r="AM1835" t="s">
        <v>193</v>
      </c>
      <c r="AN1835" t="s">
        <v>526</v>
      </c>
    </row>
    <row r="1836" spans="37:40" x14ac:dyDescent="0.25">
      <c r="AK1836" s="32" t="s">
        <v>49</v>
      </c>
      <c r="AL1836" t="s">
        <v>301</v>
      </c>
      <c r="AM1836" s="55"/>
      <c r="AN1836" s="55"/>
    </row>
    <row r="1837" spans="37:40" x14ac:dyDescent="0.25">
      <c r="AK1837" s="32" t="s">
        <v>49</v>
      </c>
      <c r="AL1837" t="s">
        <v>301</v>
      </c>
      <c r="AM1837" s="55"/>
      <c r="AN1837" s="55"/>
    </row>
    <row r="1838" spans="37:40" x14ac:dyDescent="0.25">
      <c r="AK1838" s="32" t="s">
        <v>49</v>
      </c>
      <c r="AL1838" t="s">
        <v>301</v>
      </c>
      <c r="AM1838" s="55"/>
      <c r="AN1838" s="55"/>
    </row>
    <row r="1839" spans="37:40" x14ac:dyDescent="0.25">
      <c r="AK1839" s="32" t="s">
        <v>49</v>
      </c>
      <c r="AL1839" t="s">
        <v>301</v>
      </c>
      <c r="AM1839" s="55"/>
      <c r="AN1839" s="55"/>
    </row>
    <row r="1840" spans="37:40" x14ac:dyDescent="0.25">
      <c r="AK1840" s="32" t="s">
        <v>49</v>
      </c>
      <c r="AL1840" t="s">
        <v>301</v>
      </c>
      <c r="AM1840" s="55"/>
      <c r="AN1840" s="55"/>
    </row>
    <row r="1841" spans="37:41" x14ac:dyDescent="0.25">
      <c r="AK1841" s="32" t="s">
        <v>49</v>
      </c>
      <c r="AL1841" t="s">
        <v>301</v>
      </c>
      <c r="AM1841" s="55"/>
      <c r="AN1841" s="55"/>
    </row>
    <row r="1842" spans="37:41" x14ac:dyDescent="0.25">
      <c r="AM1842" s="49"/>
      <c r="AN1842" s="49"/>
    </row>
    <row r="1843" spans="37:41" x14ac:dyDescent="0.25">
      <c r="AK1843" s="32" t="s">
        <v>49</v>
      </c>
      <c r="AL1843" t="s">
        <v>305</v>
      </c>
      <c r="AM1843" t="s">
        <v>50</v>
      </c>
      <c r="AN1843" t="s">
        <v>51</v>
      </c>
    </row>
    <row r="1844" spans="37:41" x14ac:dyDescent="0.25">
      <c r="AK1844" s="32" t="s">
        <v>49</v>
      </c>
      <c r="AL1844" t="s">
        <v>305</v>
      </c>
      <c r="AM1844" t="s">
        <v>78</v>
      </c>
      <c r="AN1844" t="s">
        <v>79</v>
      </c>
      <c r="AO1844" t="s">
        <v>465</v>
      </c>
    </row>
    <row r="1845" spans="37:41" x14ac:dyDescent="0.25">
      <c r="AK1845" s="32" t="s">
        <v>49</v>
      </c>
      <c r="AL1845" t="s">
        <v>305</v>
      </c>
      <c r="AM1845" t="s">
        <v>100</v>
      </c>
      <c r="AN1845" t="s">
        <v>101</v>
      </c>
      <c r="AO1845" t="s">
        <v>467</v>
      </c>
    </row>
    <row r="1846" spans="37:41" x14ac:dyDescent="0.25">
      <c r="AK1846" s="32" t="s">
        <v>49</v>
      </c>
      <c r="AL1846" t="s">
        <v>305</v>
      </c>
      <c r="AM1846" t="s">
        <v>112</v>
      </c>
      <c r="AN1846" t="s">
        <v>113</v>
      </c>
      <c r="AO1846" t="s">
        <v>469</v>
      </c>
    </row>
    <row r="1847" spans="37:41" x14ac:dyDescent="0.25">
      <c r="AK1847" s="32" t="s">
        <v>49</v>
      </c>
      <c r="AL1847" t="s">
        <v>305</v>
      </c>
      <c r="AM1847" t="s">
        <v>127</v>
      </c>
      <c r="AN1847" t="s">
        <v>128</v>
      </c>
      <c r="AO1847" t="s">
        <v>471</v>
      </c>
    </row>
    <row r="1848" spans="37:41" x14ac:dyDescent="0.25">
      <c r="AK1848" s="32" t="s">
        <v>49</v>
      </c>
      <c r="AL1848" t="s">
        <v>305</v>
      </c>
      <c r="AM1848" t="s">
        <v>140</v>
      </c>
      <c r="AN1848" t="s">
        <v>141</v>
      </c>
      <c r="AO1848" t="s">
        <v>473</v>
      </c>
    </row>
    <row r="1849" spans="37:41" x14ac:dyDescent="0.25">
      <c r="AK1849" s="32" t="s">
        <v>49</v>
      </c>
      <c r="AL1849" t="s">
        <v>305</v>
      </c>
      <c r="AM1849" t="s">
        <v>152</v>
      </c>
      <c r="AN1849" t="s">
        <v>153</v>
      </c>
      <c r="AO1849" t="s">
        <v>475</v>
      </c>
    </row>
    <row r="1850" spans="37:41" x14ac:dyDescent="0.25">
      <c r="AK1850" s="32" t="s">
        <v>49</v>
      </c>
      <c r="AL1850" t="s">
        <v>305</v>
      </c>
      <c r="AM1850" t="s">
        <v>164</v>
      </c>
      <c r="AN1850" t="s">
        <v>165</v>
      </c>
      <c r="AO1850" t="s">
        <v>477</v>
      </c>
    </row>
    <row r="1851" spans="37:41" x14ac:dyDescent="0.25">
      <c r="AK1851" s="32" t="s">
        <v>49</v>
      </c>
      <c r="AL1851" t="s">
        <v>305</v>
      </c>
      <c r="AM1851" t="s">
        <v>179</v>
      </c>
      <c r="AN1851" t="s">
        <v>180</v>
      </c>
      <c r="AO1851" t="s">
        <v>479</v>
      </c>
    </row>
    <row r="1852" spans="37:41" x14ac:dyDescent="0.25">
      <c r="AK1852" s="32" t="s">
        <v>49</v>
      </c>
      <c r="AL1852" t="s">
        <v>305</v>
      </c>
      <c r="AM1852" t="s">
        <v>193</v>
      </c>
      <c r="AN1852" t="s">
        <v>194</v>
      </c>
      <c r="AO1852" t="s">
        <v>481</v>
      </c>
    </row>
    <row r="1853" spans="37:41" x14ac:dyDescent="0.25">
      <c r="AK1853" s="32" t="s">
        <v>49</v>
      </c>
      <c r="AL1853" t="s">
        <v>305</v>
      </c>
      <c r="AM1853" t="s">
        <v>206</v>
      </c>
      <c r="AN1853" t="s">
        <v>207</v>
      </c>
      <c r="AO1853" t="s">
        <v>483</v>
      </c>
    </row>
    <row r="1854" spans="37:41" x14ac:dyDescent="0.25">
      <c r="AK1854" s="32" t="s">
        <v>49</v>
      </c>
      <c r="AL1854" t="s">
        <v>305</v>
      </c>
      <c r="AM1854" t="s">
        <v>218</v>
      </c>
      <c r="AN1854" t="s">
        <v>219</v>
      </c>
      <c r="AO1854" t="s">
        <v>469</v>
      </c>
    </row>
    <row r="1855" spans="37:41" x14ac:dyDescent="0.25">
      <c r="AK1855" s="32" t="s">
        <v>49</v>
      </c>
      <c r="AL1855" t="s">
        <v>305</v>
      </c>
      <c r="AM1855" t="s">
        <v>224</v>
      </c>
      <c r="AN1855" t="s">
        <v>225</v>
      </c>
      <c r="AO1855" t="s">
        <v>471</v>
      </c>
    </row>
    <row r="1856" spans="37:41" x14ac:dyDescent="0.25">
      <c r="AK1856" s="32" t="s">
        <v>49</v>
      </c>
      <c r="AL1856" t="s">
        <v>305</v>
      </c>
      <c r="AM1856" t="s">
        <v>228</v>
      </c>
      <c r="AN1856" t="s">
        <v>229</v>
      </c>
      <c r="AO1856" t="s">
        <v>473</v>
      </c>
    </row>
    <row r="1857" spans="37:41" x14ac:dyDescent="0.25">
      <c r="AK1857" s="32" t="s">
        <v>49</v>
      </c>
      <c r="AL1857" t="s">
        <v>305</v>
      </c>
      <c r="AM1857" t="s">
        <v>232</v>
      </c>
      <c r="AN1857" t="s">
        <v>233</v>
      </c>
      <c r="AO1857" t="s">
        <v>467</v>
      </c>
    </row>
    <row r="1858" spans="37:41" x14ac:dyDescent="0.25">
      <c r="AK1858" s="32" t="s">
        <v>49</v>
      </c>
      <c r="AL1858" t="s">
        <v>305</v>
      </c>
      <c r="AM1858" t="s">
        <v>237</v>
      </c>
      <c r="AN1858" t="s">
        <v>238</v>
      </c>
      <c r="AO1858" t="s">
        <v>471</v>
      </c>
    </row>
    <row r="1859" spans="37:41" x14ac:dyDescent="0.25">
      <c r="AK1859" s="32" t="s">
        <v>49</v>
      </c>
      <c r="AL1859" t="s">
        <v>305</v>
      </c>
      <c r="AM1859" t="s">
        <v>242</v>
      </c>
      <c r="AN1859" t="s">
        <v>243</v>
      </c>
      <c r="AO1859" t="s">
        <v>473</v>
      </c>
    </row>
    <row r="1860" spans="37:41" x14ac:dyDescent="0.25">
      <c r="AK1860" s="32" t="s">
        <v>49</v>
      </c>
      <c r="AL1860" t="s">
        <v>305</v>
      </c>
      <c r="AM1860" t="s">
        <v>247</v>
      </c>
      <c r="AN1860" t="s">
        <v>248</v>
      </c>
      <c r="AO1860" t="s">
        <v>475</v>
      </c>
    </row>
    <row r="1861" spans="37:41" x14ac:dyDescent="0.25">
      <c r="AK1861" s="32" t="s">
        <v>49</v>
      </c>
      <c r="AL1861" t="s">
        <v>305</v>
      </c>
      <c r="AM1861" t="s">
        <v>251</v>
      </c>
      <c r="AN1861" t="s">
        <v>252</v>
      </c>
      <c r="AO1861" t="s">
        <v>477</v>
      </c>
    </row>
    <row r="1862" spans="37:41" x14ac:dyDescent="0.25">
      <c r="AK1862" s="32" t="s">
        <v>49</v>
      </c>
      <c r="AL1862" t="s">
        <v>305</v>
      </c>
      <c r="AM1862" t="s">
        <v>255</v>
      </c>
      <c r="AN1862" t="s">
        <v>256</v>
      </c>
      <c r="AO1862" t="s">
        <v>467</v>
      </c>
    </row>
    <row r="1863" spans="37:41" x14ac:dyDescent="0.25">
      <c r="AK1863" s="32" t="s">
        <v>49</v>
      </c>
      <c r="AL1863" t="s">
        <v>305</v>
      </c>
      <c r="AM1863" t="s">
        <v>259</v>
      </c>
      <c r="AN1863" t="s">
        <v>260</v>
      </c>
      <c r="AO1863" t="s">
        <v>469</v>
      </c>
    </row>
    <row r="1864" spans="37:41" x14ac:dyDescent="0.25">
      <c r="AK1864" s="32" t="s">
        <v>49</v>
      </c>
      <c r="AL1864" t="s">
        <v>305</v>
      </c>
      <c r="AM1864" t="s">
        <v>263</v>
      </c>
      <c r="AN1864" t="s">
        <v>264</v>
      </c>
      <c r="AO1864" t="s">
        <v>473</v>
      </c>
    </row>
    <row r="1865" spans="37:41" x14ac:dyDescent="0.25">
      <c r="AK1865" s="32" t="s">
        <v>49</v>
      </c>
      <c r="AL1865" t="s">
        <v>305</v>
      </c>
      <c r="AM1865" t="s">
        <v>267</v>
      </c>
      <c r="AN1865" t="s">
        <v>268</v>
      </c>
      <c r="AO1865" t="s">
        <v>475</v>
      </c>
    </row>
    <row r="1866" spans="37:41" x14ac:dyDescent="0.25">
      <c r="AK1866" s="32" t="s">
        <v>49</v>
      </c>
      <c r="AL1866" t="s">
        <v>305</v>
      </c>
      <c r="AM1866" t="s">
        <v>271</v>
      </c>
      <c r="AN1866" t="s">
        <v>272</v>
      </c>
      <c r="AO1866" t="s">
        <v>477</v>
      </c>
    </row>
    <row r="1867" spans="37:41" x14ac:dyDescent="0.25">
      <c r="AK1867" s="32" t="s">
        <v>49</v>
      </c>
      <c r="AL1867" t="s">
        <v>305</v>
      </c>
      <c r="AM1867" t="s">
        <v>274</v>
      </c>
      <c r="AN1867" t="s">
        <v>275</v>
      </c>
      <c r="AO1867" t="s">
        <v>467</v>
      </c>
    </row>
    <row r="1868" spans="37:41" x14ac:dyDescent="0.25">
      <c r="AK1868" s="32" t="s">
        <v>49</v>
      </c>
      <c r="AL1868" t="s">
        <v>305</v>
      </c>
      <c r="AM1868" t="s">
        <v>277</v>
      </c>
      <c r="AN1868" t="s">
        <v>278</v>
      </c>
      <c r="AO1868" t="s">
        <v>469</v>
      </c>
    </row>
    <row r="1869" spans="37:41" x14ac:dyDescent="0.25">
      <c r="AK1869" s="32" t="s">
        <v>49</v>
      </c>
      <c r="AL1869" t="s">
        <v>305</v>
      </c>
      <c r="AM1869" t="s">
        <v>281</v>
      </c>
      <c r="AN1869" t="s">
        <v>282</v>
      </c>
      <c r="AO1869" t="s">
        <v>471</v>
      </c>
    </row>
    <row r="1870" spans="37:41" x14ac:dyDescent="0.25">
      <c r="AK1870" s="32" t="s">
        <v>49</v>
      </c>
      <c r="AL1870" t="s">
        <v>305</v>
      </c>
      <c r="AM1870" t="s">
        <v>285</v>
      </c>
      <c r="AN1870" t="s">
        <v>286</v>
      </c>
      <c r="AO1870" t="s">
        <v>475</v>
      </c>
    </row>
    <row r="1871" spans="37:41" x14ac:dyDescent="0.25">
      <c r="AK1871" s="32" t="s">
        <v>49</v>
      </c>
      <c r="AL1871" t="s">
        <v>305</v>
      </c>
      <c r="AM1871" t="s">
        <v>288</v>
      </c>
      <c r="AN1871" t="s">
        <v>289</v>
      </c>
      <c r="AO1871" t="s">
        <v>477</v>
      </c>
    </row>
    <row r="1872" spans="37:41" x14ac:dyDescent="0.25">
      <c r="AK1872" s="32" t="s">
        <v>49</v>
      </c>
      <c r="AL1872" t="s">
        <v>305</v>
      </c>
      <c r="AM1872" t="s">
        <v>292</v>
      </c>
      <c r="AN1872" t="s">
        <v>293</v>
      </c>
      <c r="AO1872" t="s">
        <v>479</v>
      </c>
    </row>
    <row r="1873" spans="37:41" x14ac:dyDescent="0.25">
      <c r="AK1873" s="32" t="s">
        <v>49</v>
      </c>
      <c r="AL1873" t="s">
        <v>305</v>
      </c>
      <c r="AM1873" t="s">
        <v>297</v>
      </c>
      <c r="AN1873" t="s">
        <v>298</v>
      </c>
      <c r="AO1873" t="s">
        <v>481</v>
      </c>
    </row>
    <row r="1874" spans="37:41" x14ac:dyDescent="0.25">
      <c r="AK1874" s="32" t="s">
        <v>49</v>
      </c>
      <c r="AL1874" t="s">
        <v>305</v>
      </c>
      <c r="AM1874" t="s">
        <v>302</v>
      </c>
      <c r="AN1874" t="s">
        <v>303</v>
      </c>
      <c r="AO1874" t="s">
        <v>469</v>
      </c>
    </row>
    <row r="1875" spans="37:41" x14ac:dyDescent="0.25">
      <c r="AK1875" s="32" t="s">
        <v>49</v>
      </c>
      <c r="AL1875" t="s">
        <v>305</v>
      </c>
      <c r="AM1875" t="s">
        <v>306</v>
      </c>
      <c r="AN1875" t="s">
        <v>307</v>
      </c>
      <c r="AO1875" t="s">
        <v>471</v>
      </c>
    </row>
    <row r="1876" spans="37:41" x14ac:dyDescent="0.25">
      <c r="AK1876" s="32" t="s">
        <v>49</v>
      </c>
      <c r="AL1876" t="s">
        <v>305</v>
      </c>
      <c r="AM1876" t="s">
        <v>310</v>
      </c>
      <c r="AN1876" t="s">
        <v>311</v>
      </c>
      <c r="AO1876" t="s">
        <v>473</v>
      </c>
    </row>
    <row r="1877" spans="37:41" x14ac:dyDescent="0.25">
      <c r="AK1877" s="32" t="s">
        <v>49</v>
      </c>
      <c r="AL1877" t="s">
        <v>305</v>
      </c>
      <c r="AM1877" t="s">
        <v>314</v>
      </c>
      <c r="AN1877" t="s">
        <v>315</v>
      </c>
      <c r="AO1877" t="s">
        <v>477</v>
      </c>
    </row>
    <row r="1878" spans="37:41" x14ac:dyDescent="0.25">
      <c r="AK1878" s="32" t="s">
        <v>49</v>
      </c>
      <c r="AL1878" t="s">
        <v>305</v>
      </c>
      <c r="AM1878" t="s">
        <v>318</v>
      </c>
      <c r="AN1878" t="s">
        <v>319</v>
      </c>
      <c r="AO1878" t="s">
        <v>479</v>
      </c>
    </row>
    <row r="1879" spans="37:41" x14ac:dyDescent="0.25">
      <c r="AK1879" s="32" t="s">
        <v>49</v>
      </c>
      <c r="AL1879" t="s">
        <v>305</v>
      </c>
      <c r="AM1879" t="s">
        <v>321</v>
      </c>
      <c r="AN1879" t="s">
        <v>322</v>
      </c>
      <c r="AO1879" t="s">
        <v>481</v>
      </c>
    </row>
    <row r="1880" spans="37:41" x14ac:dyDescent="0.25">
      <c r="AK1880" s="32" t="s">
        <v>49</v>
      </c>
      <c r="AL1880" t="s">
        <v>305</v>
      </c>
      <c r="AM1880" t="s">
        <v>325</v>
      </c>
      <c r="AN1880" t="s">
        <v>326</v>
      </c>
      <c r="AO1880" t="s">
        <v>483</v>
      </c>
    </row>
    <row r="1881" spans="37:41" x14ac:dyDescent="0.25">
      <c r="AK1881" s="32" t="s">
        <v>49</v>
      </c>
      <c r="AL1881" t="s">
        <v>305</v>
      </c>
      <c r="AM1881" t="s">
        <v>327</v>
      </c>
      <c r="AN1881" t="s">
        <v>328</v>
      </c>
      <c r="AO1881" t="s">
        <v>469</v>
      </c>
    </row>
    <row r="1882" spans="37:41" x14ac:dyDescent="0.25">
      <c r="AK1882" s="32" t="s">
        <v>49</v>
      </c>
      <c r="AL1882" t="s">
        <v>305</v>
      </c>
      <c r="AM1882" t="s">
        <v>329</v>
      </c>
      <c r="AN1882" t="s">
        <v>330</v>
      </c>
      <c r="AO1882" t="s">
        <v>471</v>
      </c>
    </row>
    <row r="1883" spans="37:41" x14ac:dyDescent="0.25">
      <c r="AK1883" s="32" t="s">
        <v>49</v>
      </c>
      <c r="AL1883" t="s">
        <v>305</v>
      </c>
      <c r="AM1883" t="s">
        <v>331</v>
      </c>
      <c r="AN1883" t="s">
        <v>332</v>
      </c>
      <c r="AO1883" t="s">
        <v>473</v>
      </c>
    </row>
    <row r="1884" spans="37:41" x14ac:dyDescent="0.25">
      <c r="AK1884" s="32" t="s">
        <v>49</v>
      </c>
      <c r="AL1884" t="s">
        <v>305</v>
      </c>
      <c r="AM1884" t="s">
        <v>333</v>
      </c>
      <c r="AN1884" t="s">
        <v>334</v>
      </c>
      <c r="AO1884" t="s">
        <v>475</v>
      </c>
    </row>
    <row r="1885" spans="37:41" x14ac:dyDescent="0.25">
      <c r="AK1885" s="32" t="s">
        <v>49</v>
      </c>
      <c r="AL1885" t="s">
        <v>305</v>
      </c>
      <c r="AM1885" t="s">
        <v>335</v>
      </c>
      <c r="AN1885" t="s">
        <v>336</v>
      </c>
      <c r="AO1885" t="s">
        <v>479</v>
      </c>
    </row>
    <row r="1886" spans="37:41" x14ac:dyDescent="0.25">
      <c r="AK1886" s="32" t="s">
        <v>49</v>
      </c>
      <c r="AL1886" t="s">
        <v>305</v>
      </c>
      <c r="AM1886" t="s">
        <v>337</v>
      </c>
      <c r="AN1886" t="s">
        <v>338</v>
      </c>
      <c r="AO1886" t="s">
        <v>481</v>
      </c>
    </row>
    <row r="1887" spans="37:41" x14ac:dyDescent="0.25">
      <c r="AK1887" s="32" t="s">
        <v>49</v>
      </c>
      <c r="AL1887" t="s">
        <v>305</v>
      </c>
      <c r="AM1887" t="s">
        <v>340</v>
      </c>
      <c r="AN1887" t="s">
        <v>341</v>
      </c>
      <c r="AO1887" t="s">
        <v>483</v>
      </c>
    </row>
    <row r="1888" spans="37:41" x14ac:dyDescent="0.25">
      <c r="AK1888" s="32" t="s">
        <v>49</v>
      </c>
      <c r="AL1888" t="s">
        <v>305</v>
      </c>
      <c r="AM1888" t="s">
        <v>342</v>
      </c>
      <c r="AN1888" t="s">
        <v>343</v>
      </c>
      <c r="AO1888" t="s">
        <v>471</v>
      </c>
    </row>
    <row r="1889" spans="37:41" x14ac:dyDescent="0.25">
      <c r="AK1889" s="32" t="s">
        <v>49</v>
      </c>
      <c r="AL1889" t="s">
        <v>305</v>
      </c>
      <c r="AM1889" t="s">
        <v>344</v>
      </c>
      <c r="AN1889" t="s">
        <v>345</v>
      </c>
      <c r="AO1889" t="s">
        <v>473</v>
      </c>
    </row>
    <row r="1890" spans="37:41" x14ac:dyDescent="0.25">
      <c r="AK1890" s="32" t="s">
        <v>49</v>
      </c>
      <c r="AL1890" t="s">
        <v>305</v>
      </c>
      <c r="AM1890" t="s">
        <v>346</v>
      </c>
      <c r="AN1890" t="s">
        <v>347</v>
      </c>
      <c r="AO1890" t="s">
        <v>475</v>
      </c>
    </row>
    <row r="1891" spans="37:41" x14ac:dyDescent="0.25">
      <c r="AK1891" s="32" t="s">
        <v>49</v>
      </c>
      <c r="AL1891" t="s">
        <v>305</v>
      </c>
      <c r="AM1891" t="s">
        <v>348</v>
      </c>
      <c r="AN1891" t="s">
        <v>349</v>
      </c>
      <c r="AO1891" t="s">
        <v>477</v>
      </c>
    </row>
    <row r="1892" spans="37:41" x14ac:dyDescent="0.25">
      <c r="AK1892" s="32" t="s">
        <v>49</v>
      </c>
      <c r="AL1892" t="s">
        <v>305</v>
      </c>
      <c r="AM1892" t="s">
        <v>350</v>
      </c>
      <c r="AN1892" t="s">
        <v>351</v>
      </c>
      <c r="AO1892" t="s">
        <v>481</v>
      </c>
    </row>
    <row r="1893" spans="37:41" x14ac:dyDescent="0.25">
      <c r="AK1893" s="32" t="s">
        <v>49</v>
      </c>
      <c r="AL1893" t="s">
        <v>305</v>
      </c>
      <c r="AM1893" t="s">
        <v>352</v>
      </c>
      <c r="AN1893" t="s">
        <v>353</v>
      </c>
      <c r="AO1893" t="s">
        <v>483</v>
      </c>
    </row>
    <row r="1894" spans="37:41" x14ac:dyDescent="0.25">
      <c r="AK1894" s="32" t="s">
        <v>49</v>
      </c>
      <c r="AL1894" t="s">
        <v>305</v>
      </c>
      <c r="AM1894" t="s">
        <v>354</v>
      </c>
      <c r="AN1894" t="s">
        <v>355</v>
      </c>
      <c r="AO1894" t="s">
        <v>473</v>
      </c>
    </row>
    <row r="1895" spans="37:41" x14ac:dyDescent="0.25">
      <c r="AK1895" s="32" t="s">
        <v>49</v>
      </c>
      <c r="AL1895" t="s">
        <v>305</v>
      </c>
      <c r="AM1895" t="s">
        <v>356</v>
      </c>
      <c r="AN1895" t="s">
        <v>357</v>
      </c>
      <c r="AO1895" t="s">
        <v>475</v>
      </c>
    </row>
    <row r="1896" spans="37:41" x14ac:dyDescent="0.25">
      <c r="AK1896" s="32" t="s">
        <v>49</v>
      </c>
      <c r="AL1896" t="s">
        <v>305</v>
      </c>
      <c r="AM1896" t="s">
        <v>358</v>
      </c>
      <c r="AN1896" t="s">
        <v>359</v>
      </c>
      <c r="AO1896" t="s">
        <v>477</v>
      </c>
    </row>
    <row r="1897" spans="37:41" x14ac:dyDescent="0.25">
      <c r="AK1897" s="32" t="s">
        <v>49</v>
      </c>
      <c r="AL1897" t="s">
        <v>305</v>
      </c>
      <c r="AM1897" t="s">
        <v>360</v>
      </c>
      <c r="AN1897" t="s">
        <v>361</v>
      </c>
      <c r="AO1897" t="s">
        <v>479</v>
      </c>
    </row>
    <row r="1898" spans="37:41" x14ac:dyDescent="0.25">
      <c r="AK1898" s="32" t="s">
        <v>49</v>
      </c>
      <c r="AL1898" t="s">
        <v>305</v>
      </c>
      <c r="AM1898" t="s">
        <v>362</v>
      </c>
      <c r="AN1898" t="s">
        <v>363</v>
      </c>
      <c r="AO1898" t="s">
        <v>483</v>
      </c>
    </row>
    <row r="1899" spans="37:41" x14ac:dyDescent="0.25">
      <c r="AK1899" s="32" t="s">
        <v>49</v>
      </c>
      <c r="AL1899" t="s">
        <v>305</v>
      </c>
      <c r="AM1899" t="s">
        <v>364</v>
      </c>
      <c r="AN1899" t="s">
        <v>365</v>
      </c>
      <c r="AO1899" t="s">
        <v>473</v>
      </c>
    </row>
    <row r="1900" spans="37:41" x14ac:dyDescent="0.25">
      <c r="AK1900" s="32" t="s">
        <v>49</v>
      </c>
      <c r="AL1900" t="s">
        <v>305</v>
      </c>
      <c r="AM1900" t="s">
        <v>366</v>
      </c>
      <c r="AN1900" t="s">
        <v>367</v>
      </c>
      <c r="AO1900" t="s">
        <v>475</v>
      </c>
    </row>
    <row r="1901" spans="37:41" x14ac:dyDescent="0.25">
      <c r="AK1901" s="32" t="s">
        <v>49</v>
      </c>
      <c r="AL1901" t="s">
        <v>305</v>
      </c>
      <c r="AM1901" t="s">
        <v>368</v>
      </c>
      <c r="AN1901" t="s">
        <v>369</v>
      </c>
      <c r="AO1901" t="s">
        <v>477</v>
      </c>
    </row>
    <row r="1902" spans="37:41" x14ac:dyDescent="0.25">
      <c r="AK1902" s="32" t="s">
        <v>49</v>
      </c>
      <c r="AL1902" t="s">
        <v>305</v>
      </c>
      <c r="AM1902" t="s">
        <v>370</v>
      </c>
      <c r="AN1902" t="s">
        <v>371</v>
      </c>
      <c r="AO1902" t="s">
        <v>479</v>
      </c>
    </row>
    <row r="1903" spans="37:41" x14ac:dyDescent="0.25">
      <c r="AO1903" t="s">
        <v>481</v>
      </c>
    </row>
    <row r="1905" spans="37:40" x14ac:dyDescent="0.25">
      <c r="AK1905" t="s">
        <v>49</v>
      </c>
      <c r="AL1905" t="s">
        <v>309</v>
      </c>
      <c r="AM1905" t="s">
        <v>50</v>
      </c>
      <c r="AN1905" t="s">
        <v>464</v>
      </c>
    </row>
    <row r="1906" spans="37:40" x14ac:dyDescent="0.25">
      <c r="AK1906" t="s">
        <v>49</v>
      </c>
      <c r="AL1906" t="s">
        <v>309</v>
      </c>
      <c r="AM1906" t="s">
        <v>78</v>
      </c>
      <c r="AN1906" t="s">
        <v>466</v>
      </c>
    </row>
    <row r="1907" spans="37:40" x14ac:dyDescent="0.25">
      <c r="AK1907" t="s">
        <v>49</v>
      </c>
      <c r="AL1907" t="s">
        <v>309</v>
      </c>
      <c r="AM1907" t="s">
        <v>100</v>
      </c>
      <c r="AN1907" t="s">
        <v>468</v>
      </c>
    </row>
    <row r="1908" spans="37:40" x14ac:dyDescent="0.25">
      <c r="AK1908" t="s">
        <v>49</v>
      </c>
      <c r="AL1908" t="s">
        <v>309</v>
      </c>
      <c r="AM1908" t="s">
        <v>112</v>
      </c>
      <c r="AN1908" t="s">
        <v>470</v>
      </c>
    </row>
    <row r="1909" spans="37:40" x14ac:dyDescent="0.25">
      <c r="AK1909" t="s">
        <v>49</v>
      </c>
      <c r="AL1909" t="s">
        <v>309</v>
      </c>
      <c r="AM1909" t="s">
        <v>127</v>
      </c>
      <c r="AN1909" t="s">
        <v>472</v>
      </c>
    </row>
    <row r="1910" spans="37:40" x14ac:dyDescent="0.25">
      <c r="AK1910" t="s">
        <v>49</v>
      </c>
      <c r="AL1910" t="s">
        <v>309</v>
      </c>
      <c r="AM1910" t="s">
        <v>140</v>
      </c>
      <c r="AN1910" t="s">
        <v>474</v>
      </c>
    </row>
    <row r="1911" spans="37:40" x14ac:dyDescent="0.25">
      <c r="AK1911" t="s">
        <v>49</v>
      </c>
      <c r="AL1911" t="s">
        <v>309</v>
      </c>
      <c r="AM1911" t="s">
        <v>152</v>
      </c>
      <c r="AN1911" t="s">
        <v>476</v>
      </c>
    </row>
    <row r="1912" spans="37:40" x14ac:dyDescent="0.25">
      <c r="AK1912" t="s">
        <v>49</v>
      </c>
      <c r="AL1912" t="s">
        <v>309</v>
      </c>
      <c r="AM1912" t="s">
        <v>164</v>
      </c>
      <c r="AN1912" t="s">
        <v>478</v>
      </c>
    </row>
    <row r="1913" spans="37:40" x14ac:dyDescent="0.25">
      <c r="AK1913" t="s">
        <v>49</v>
      </c>
      <c r="AL1913" t="s">
        <v>309</v>
      </c>
      <c r="AM1913" t="s">
        <v>179</v>
      </c>
      <c r="AN1913" t="s">
        <v>480</v>
      </c>
    </row>
    <row r="1914" spans="37:40" x14ac:dyDescent="0.25">
      <c r="AK1914" t="s">
        <v>49</v>
      </c>
      <c r="AL1914" t="s">
        <v>309</v>
      </c>
      <c r="AM1914" t="s">
        <v>193</v>
      </c>
      <c r="AN1914" t="s">
        <v>482</v>
      </c>
    </row>
    <row r="1915" spans="37:40" x14ac:dyDescent="0.25">
      <c r="AK1915" t="s">
        <v>49</v>
      </c>
      <c r="AL1915" t="s">
        <v>309</v>
      </c>
      <c r="AM1915" t="s">
        <v>206</v>
      </c>
      <c r="AN1915" t="s">
        <v>484</v>
      </c>
    </row>
    <row r="1916" spans="37:40" x14ac:dyDescent="0.25">
      <c r="AK1916" t="s">
        <v>49</v>
      </c>
      <c r="AL1916" t="s">
        <v>309</v>
      </c>
      <c r="AM1916" t="s">
        <v>218</v>
      </c>
      <c r="AN1916" t="s">
        <v>485</v>
      </c>
    </row>
    <row r="1917" spans="37:40" x14ac:dyDescent="0.25">
      <c r="AK1917" t="s">
        <v>49</v>
      </c>
      <c r="AL1917" t="s">
        <v>309</v>
      </c>
      <c r="AM1917" t="s">
        <v>224</v>
      </c>
      <c r="AN1917" t="s">
        <v>486</v>
      </c>
    </row>
    <row r="1918" spans="37:40" x14ac:dyDescent="0.25">
      <c r="AK1918" t="s">
        <v>49</v>
      </c>
      <c r="AL1918" t="s">
        <v>309</v>
      </c>
      <c r="AM1918" s="37" t="s">
        <v>325</v>
      </c>
      <c r="AN1918" t="s">
        <v>484</v>
      </c>
    </row>
    <row r="1919" spans="37:40" x14ac:dyDescent="0.25">
      <c r="AK1919" t="s">
        <v>49</v>
      </c>
      <c r="AL1919" t="s">
        <v>309</v>
      </c>
      <c r="AM1919" t="s">
        <v>228</v>
      </c>
      <c r="AN1919" t="s">
        <v>487</v>
      </c>
    </row>
    <row r="1920" spans="37:40" x14ac:dyDescent="0.25">
      <c r="AK1920" t="s">
        <v>49</v>
      </c>
      <c r="AL1920" t="s">
        <v>309</v>
      </c>
      <c r="AM1920" t="s">
        <v>232</v>
      </c>
      <c r="AN1920" t="s">
        <v>488</v>
      </c>
    </row>
    <row r="1921" spans="37:40" x14ac:dyDescent="0.25">
      <c r="AK1921" t="s">
        <v>49</v>
      </c>
      <c r="AL1921" t="s">
        <v>309</v>
      </c>
      <c r="AM1921" t="s">
        <v>237</v>
      </c>
      <c r="AN1921" t="s">
        <v>489</v>
      </c>
    </row>
    <row r="1922" spans="37:40" x14ac:dyDescent="0.25">
      <c r="AK1922" t="s">
        <v>49</v>
      </c>
      <c r="AL1922" t="s">
        <v>309</v>
      </c>
      <c r="AM1922" t="s">
        <v>327</v>
      </c>
      <c r="AN1922" t="s">
        <v>490</v>
      </c>
    </row>
    <row r="1923" spans="37:40" x14ac:dyDescent="0.25">
      <c r="AK1923" t="s">
        <v>49</v>
      </c>
      <c r="AL1923" t="s">
        <v>309</v>
      </c>
      <c r="AM1923" s="37" t="s">
        <v>329</v>
      </c>
      <c r="AN1923" t="s">
        <v>485</v>
      </c>
    </row>
    <row r="1924" spans="37:40" x14ac:dyDescent="0.25">
      <c r="AK1924" t="s">
        <v>49</v>
      </c>
      <c r="AL1924" t="s">
        <v>309</v>
      </c>
      <c r="AM1924" s="37" t="s">
        <v>331</v>
      </c>
      <c r="AN1924" t="s">
        <v>487</v>
      </c>
    </row>
    <row r="1925" spans="37:40" x14ac:dyDescent="0.25">
      <c r="AK1925" t="s">
        <v>49</v>
      </c>
      <c r="AL1925" t="s">
        <v>309</v>
      </c>
      <c r="AM1925" t="s">
        <v>242</v>
      </c>
      <c r="AN1925" t="s">
        <v>491</v>
      </c>
    </row>
    <row r="1926" spans="37:40" x14ac:dyDescent="0.25">
      <c r="AK1926" t="s">
        <v>49</v>
      </c>
      <c r="AL1926" t="s">
        <v>309</v>
      </c>
      <c r="AM1926" t="s">
        <v>247</v>
      </c>
      <c r="AN1926" t="s">
        <v>492</v>
      </c>
    </row>
    <row r="1927" spans="37:40" x14ac:dyDescent="0.25">
      <c r="AK1927" t="s">
        <v>49</v>
      </c>
      <c r="AL1927" t="s">
        <v>309</v>
      </c>
      <c r="AM1927" t="s">
        <v>251</v>
      </c>
      <c r="AN1927" t="s">
        <v>493</v>
      </c>
    </row>
    <row r="1928" spans="37:40" x14ac:dyDescent="0.25">
      <c r="AK1928" t="s">
        <v>49</v>
      </c>
      <c r="AL1928" t="s">
        <v>309</v>
      </c>
      <c r="AM1928" s="37" t="s">
        <v>333</v>
      </c>
      <c r="AN1928" s="39" t="s">
        <v>486</v>
      </c>
    </row>
    <row r="1929" spans="37:40" x14ac:dyDescent="0.25">
      <c r="AK1929" t="s">
        <v>49</v>
      </c>
      <c r="AL1929" t="s">
        <v>309</v>
      </c>
      <c r="AM1929" s="37" t="s">
        <v>335</v>
      </c>
      <c r="AN1929" s="39" t="s">
        <v>488</v>
      </c>
    </row>
    <row r="1930" spans="37:40" x14ac:dyDescent="0.25">
      <c r="AK1930" t="s">
        <v>49</v>
      </c>
      <c r="AL1930" t="s">
        <v>309</v>
      </c>
      <c r="AM1930" s="37" t="s">
        <v>337</v>
      </c>
      <c r="AN1930" s="39" t="s">
        <v>491</v>
      </c>
    </row>
    <row r="1931" spans="37:40" x14ac:dyDescent="0.25">
      <c r="AK1931" t="s">
        <v>49</v>
      </c>
      <c r="AL1931" t="s">
        <v>309</v>
      </c>
      <c r="AM1931" s="37" t="s">
        <v>255</v>
      </c>
      <c r="AN1931" s="39" t="s">
        <v>494</v>
      </c>
    </row>
    <row r="1932" spans="37:40" x14ac:dyDescent="0.25">
      <c r="AK1932" t="s">
        <v>49</v>
      </c>
      <c r="AL1932" t="s">
        <v>309</v>
      </c>
      <c r="AM1932" t="s">
        <v>259</v>
      </c>
      <c r="AN1932" t="s">
        <v>495</v>
      </c>
    </row>
    <row r="1933" spans="37:40" x14ac:dyDescent="0.25">
      <c r="AK1933" t="s">
        <v>49</v>
      </c>
      <c r="AL1933" t="s">
        <v>309</v>
      </c>
      <c r="AM1933" s="37" t="s">
        <v>263</v>
      </c>
      <c r="AN1933" s="39" t="s">
        <v>496</v>
      </c>
    </row>
    <row r="1934" spans="37:40" x14ac:dyDescent="0.25">
      <c r="AK1934" t="s">
        <v>49</v>
      </c>
      <c r="AL1934" t="s">
        <v>309</v>
      </c>
      <c r="AM1934" t="s">
        <v>340</v>
      </c>
      <c r="AN1934" t="s">
        <v>497</v>
      </c>
    </row>
    <row r="1935" spans="37:40" x14ac:dyDescent="0.25">
      <c r="AK1935" t="s">
        <v>49</v>
      </c>
      <c r="AL1935" t="s">
        <v>309</v>
      </c>
      <c r="AM1935" s="37" t="s">
        <v>342</v>
      </c>
      <c r="AN1935" s="39" t="s">
        <v>489</v>
      </c>
    </row>
    <row r="1936" spans="37:40" x14ac:dyDescent="0.25">
      <c r="AK1936" t="s">
        <v>49</v>
      </c>
      <c r="AL1936" t="s">
        <v>309</v>
      </c>
      <c r="AM1936" s="37" t="s">
        <v>344</v>
      </c>
      <c r="AN1936" s="59" t="s">
        <v>492</v>
      </c>
    </row>
    <row r="1937" spans="37:40" x14ac:dyDescent="0.25">
      <c r="AK1937" t="s">
        <v>49</v>
      </c>
      <c r="AL1937" t="s">
        <v>309</v>
      </c>
      <c r="AM1937" s="37" t="s">
        <v>346</v>
      </c>
      <c r="AN1937" s="39" t="s">
        <v>498</v>
      </c>
    </row>
    <row r="1938" spans="37:40" x14ac:dyDescent="0.25">
      <c r="AK1938" t="s">
        <v>49</v>
      </c>
      <c r="AL1938" t="s">
        <v>309</v>
      </c>
      <c r="AM1938" t="s">
        <v>267</v>
      </c>
      <c r="AN1938" t="s">
        <v>499</v>
      </c>
    </row>
    <row r="1939" spans="37:40" x14ac:dyDescent="0.25">
      <c r="AK1939" t="s">
        <v>49</v>
      </c>
      <c r="AL1939" t="s">
        <v>309</v>
      </c>
      <c r="AM1939" s="37" t="s">
        <v>271</v>
      </c>
      <c r="AN1939" s="39" t="s">
        <v>500</v>
      </c>
    </row>
    <row r="1940" spans="37:40" x14ac:dyDescent="0.25">
      <c r="AK1940" t="s">
        <v>49</v>
      </c>
      <c r="AL1940" t="s">
        <v>309</v>
      </c>
      <c r="AM1940" t="s">
        <v>274</v>
      </c>
      <c r="AN1940" t="s">
        <v>501</v>
      </c>
    </row>
    <row r="1941" spans="37:40" x14ac:dyDescent="0.25">
      <c r="AK1941" t="s">
        <v>49</v>
      </c>
      <c r="AL1941" t="s">
        <v>309</v>
      </c>
      <c r="AM1941" t="s">
        <v>348</v>
      </c>
      <c r="AN1941" t="s">
        <v>502</v>
      </c>
    </row>
    <row r="1942" spans="37:40" x14ac:dyDescent="0.25">
      <c r="AK1942" t="s">
        <v>49</v>
      </c>
      <c r="AL1942" t="s">
        <v>309</v>
      </c>
      <c r="AM1942" s="37" t="s">
        <v>350</v>
      </c>
      <c r="AN1942" s="39" t="s">
        <v>490</v>
      </c>
    </row>
    <row r="1943" spans="37:40" x14ac:dyDescent="0.25">
      <c r="AK1943" t="s">
        <v>49</v>
      </c>
      <c r="AL1943" t="s">
        <v>309</v>
      </c>
      <c r="AM1943" s="37" t="s">
        <v>352</v>
      </c>
      <c r="AN1943" s="39" t="s">
        <v>493</v>
      </c>
    </row>
    <row r="1944" spans="37:40" x14ac:dyDescent="0.25">
      <c r="AK1944" t="s">
        <v>49</v>
      </c>
      <c r="AL1944" t="s">
        <v>309</v>
      </c>
      <c r="AM1944" s="37" t="s">
        <v>354</v>
      </c>
      <c r="AN1944" s="39" t="s">
        <v>495</v>
      </c>
    </row>
    <row r="1945" spans="37:40" x14ac:dyDescent="0.25">
      <c r="AK1945" t="s">
        <v>49</v>
      </c>
      <c r="AL1945" t="s">
        <v>309</v>
      </c>
      <c r="AM1945" s="37" t="s">
        <v>356</v>
      </c>
      <c r="AN1945" s="39" t="s">
        <v>499</v>
      </c>
    </row>
    <row r="1946" spans="37:40" x14ac:dyDescent="0.25">
      <c r="AK1946" t="s">
        <v>49</v>
      </c>
      <c r="AL1946" t="s">
        <v>309</v>
      </c>
      <c r="AM1946" t="s">
        <v>277</v>
      </c>
      <c r="AN1946" t="s">
        <v>503</v>
      </c>
    </row>
    <row r="1947" spans="37:40" x14ac:dyDescent="0.25">
      <c r="AK1947" t="s">
        <v>49</v>
      </c>
      <c r="AL1947" t="s">
        <v>309</v>
      </c>
      <c r="AM1947" t="s">
        <v>281</v>
      </c>
      <c r="AN1947" t="s">
        <v>504</v>
      </c>
    </row>
    <row r="1948" spans="37:40" x14ac:dyDescent="0.25">
      <c r="AK1948" t="s">
        <v>49</v>
      </c>
      <c r="AL1948" t="s">
        <v>309</v>
      </c>
      <c r="AM1948" t="s">
        <v>285</v>
      </c>
      <c r="AN1948" t="s">
        <v>505</v>
      </c>
    </row>
    <row r="1949" spans="37:40" x14ac:dyDescent="0.25">
      <c r="AK1949" t="s">
        <v>49</v>
      </c>
      <c r="AL1949" t="s">
        <v>309</v>
      </c>
      <c r="AM1949" s="37" t="s">
        <v>358</v>
      </c>
      <c r="AN1949" s="39" t="s">
        <v>506</v>
      </c>
    </row>
    <row r="1950" spans="37:40" x14ac:dyDescent="0.25">
      <c r="AK1950" t="s">
        <v>49</v>
      </c>
      <c r="AL1950" t="s">
        <v>309</v>
      </c>
      <c r="AM1950" s="37" t="s">
        <v>360</v>
      </c>
      <c r="AN1950" s="39" t="s">
        <v>507</v>
      </c>
    </row>
    <row r="1951" spans="37:40" x14ac:dyDescent="0.25">
      <c r="AK1951" t="s">
        <v>49</v>
      </c>
      <c r="AL1951" t="s">
        <v>309</v>
      </c>
      <c r="AM1951" s="37" t="s">
        <v>362</v>
      </c>
      <c r="AN1951" s="39" t="s">
        <v>508</v>
      </c>
    </row>
    <row r="1952" spans="37:40" x14ac:dyDescent="0.25">
      <c r="AK1952" t="s">
        <v>49</v>
      </c>
      <c r="AL1952" t="s">
        <v>309</v>
      </c>
      <c r="AM1952" s="37" t="s">
        <v>297</v>
      </c>
      <c r="AN1952" s="39" t="s">
        <v>503</v>
      </c>
    </row>
    <row r="1953" spans="37:40" x14ac:dyDescent="0.25">
      <c r="AK1953" t="s">
        <v>49</v>
      </c>
      <c r="AL1953" t="s">
        <v>309</v>
      </c>
      <c r="AM1953" s="37" t="s">
        <v>288</v>
      </c>
      <c r="AN1953" s="39" t="s">
        <v>509</v>
      </c>
    </row>
    <row r="1954" spans="37:40" x14ac:dyDescent="0.25">
      <c r="AK1954" t="s">
        <v>49</v>
      </c>
      <c r="AL1954" t="s">
        <v>309</v>
      </c>
      <c r="AM1954" t="s">
        <v>292</v>
      </c>
      <c r="AN1954" t="s">
        <v>510</v>
      </c>
    </row>
    <row r="1955" spans="37:40" x14ac:dyDescent="0.25">
      <c r="AK1955" t="s">
        <v>49</v>
      </c>
      <c r="AL1955" t="s">
        <v>309</v>
      </c>
      <c r="AM1955" s="37" t="s">
        <v>364</v>
      </c>
      <c r="AN1955" s="39" t="s">
        <v>497</v>
      </c>
    </row>
    <row r="1956" spans="37:40" x14ac:dyDescent="0.25">
      <c r="AK1956" t="s">
        <v>49</v>
      </c>
      <c r="AL1956" t="s">
        <v>309</v>
      </c>
      <c r="AM1956" s="37" t="s">
        <v>366</v>
      </c>
      <c r="AN1956" s="39" t="s">
        <v>501</v>
      </c>
    </row>
    <row r="1957" spans="37:40" x14ac:dyDescent="0.25">
      <c r="AK1957" t="s">
        <v>49</v>
      </c>
      <c r="AL1957" t="s">
        <v>309</v>
      </c>
      <c r="AM1957" s="37" t="s">
        <v>310</v>
      </c>
      <c r="AN1957" s="39" t="s">
        <v>504</v>
      </c>
    </row>
    <row r="1958" spans="37:40" x14ac:dyDescent="0.25">
      <c r="AK1958" t="s">
        <v>49</v>
      </c>
      <c r="AL1958" t="s">
        <v>309</v>
      </c>
      <c r="AM1958" s="37" t="s">
        <v>306</v>
      </c>
      <c r="AN1958" s="39" t="s">
        <v>511</v>
      </c>
    </row>
    <row r="1959" spans="37:40" x14ac:dyDescent="0.25">
      <c r="AK1959" t="s">
        <v>49</v>
      </c>
      <c r="AL1959" t="s">
        <v>309</v>
      </c>
      <c r="AM1959" t="s">
        <v>302</v>
      </c>
      <c r="AN1959" t="s">
        <v>512</v>
      </c>
    </row>
    <row r="1960" spans="37:40" x14ac:dyDescent="0.25">
      <c r="AK1960" t="s">
        <v>49</v>
      </c>
      <c r="AL1960" t="s">
        <v>309</v>
      </c>
      <c r="AM1960" s="37" t="s">
        <v>368</v>
      </c>
      <c r="AN1960" s="39" t="s">
        <v>513</v>
      </c>
    </row>
    <row r="1961" spans="37:40" x14ac:dyDescent="0.25">
      <c r="AK1961" t="s">
        <v>49</v>
      </c>
      <c r="AL1961" t="s">
        <v>309</v>
      </c>
      <c r="AM1961" s="37" t="s">
        <v>370</v>
      </c>
      <c r="AN1961" s="39" t="s">
        <v>502</v>
      </c>
    </row>
    <row r="1962" spans="37:40" x14ac:dyDescent="0.25">
      <c r="AK1962" t="s">
        <v>49</v>
      </c>
      <c r="AL1962" t="s">
        <v>309</v>
      </c>
      <c r="AM1962" s="37" t="s">
        <v>321</v>
      </c>
      <c r="AN1962" s="39" t="s">
        <v>505</v>
      </c>
    </row>
    <row r="1963" spans="37:40" x14ac:dyDescent="0.25">
      <c r="AK1963" t="s">
        <v>49</v>
      </c>
      <c r="AL1963" t="s">
        <v>309</v>
      </c>
      <c r="AM1963" s="37" t="s">
        <v>318</v>
      </c>
      <c r="AN1963" s="39" t="s">
        <v>510</v>
      </c>
    </row>
    <row r="1964" spans="37:40" x14ac:dyDescent="0.25">
      <c r="AK1964" t="s">
        <v>49</v>
      </c>
      <c r="AL1964" t="s">
        <v>309</v>
      </c>
      <c r="AM1964" s="37" t="s">
        <v>314</v>
      </c>
      <c r="AN1964" s="39" t="s">
        <v>512</v>
      </c>
    </row>
    <row r="1966" spans="37:40" x14ac:dyDescent="0.25">
      <c r="AK1966" s="32" t="s">
        <v>49</v>
      </c>
      <c r="AL1966" t="s">
        <v>313</v>
      </c>
      <c r="AM1966" t="s">
        <v>50</v>
      </c>
      <c r="AN1966" t="s">
        <v>51</v>
      </c>
    </row>
    <row r="1967" spans="37:40" x14ac:dyDescent="0.25">
      <c r="AK1967" s="32" t="s">
        <v>49</v>
      </c>
      <c r="AL1967" t="s">
        <v>313</v>
      </c>
      <c r="AM1967" t="s">
        <v>78</v>
      </c>
      <c r="AN1967" t="s">
        <v>79</v>
      </c>
    </row>
    <row r="1968" spans="37:40" x14ac:dyDescent="0.25">
      <c r="AK1968" s="32" t="s">
        <v>49</v>
      </c>
      <c r="AL1968" t="s">
        <v>313</v>
      </c>
      <c r="AM1968" t="s">
        <v>100</v>
      </c>
      <c r="AN1968" t="s">
        <v>101</v>
      </c>
    </row>
    <row r="1969" spans="37:40" x14ac:dyDescent="0.25">
      <c r="AK1969" s="32" t="s">
        <v>49</v>
      </c>
      <c r="AL1969" t="s">
        <v>313</v>
      </c>
      <c r="AM1969" t="s">
        <v>112</v>
      </c>
      <c r="AN1969" t="s">
        <v>113</v>
      </c>
    </row>
    <row r="1970" spans="37:40" x14ac:dyDescent="0.25">
      <c r="AK1970" s="32" t="s">
        <v>49</v>
      </c>
      <c r="AL1970" t="s">
        <v>313</v>
      </c>
      <c r="AM1970" t="s">
        <v>127</v>
      </c>
      <c r="AN1970" t="s">
        <v>128</v>
      </c>
    </row>
    <row r="1971" spans="37:40" x14ac:dyDescent="0.25">
      <c r="AK1971" s="32" t="s">
        <v>49</v>
      </c>
      <c r="AL1971" t="s">
        <v>313</v>
      </c>
      <c r="AM1971" t="s">
        <v>140</v>
      </c>
      <c r="AN1971" t="s">
        <v>141</v>
      </c>
    </row>
    <row r="1972" spans="37:40" x14ac:dyDescent="0.25">
      <c r="AK1972" s="32" t="s">
        <v>49</v>
      </c>
      <c r="AL1972" t="s">
        <v>313</v>
      </c>
      <c r="AM1972" t="s">
        <v>152</v>
      </c>
      <c r="AN1972" t="s">
        <v>153</v>
      </c>
    </row>
    <row r="1973" spans="37:40" x14ac:dyDescent="0.25">
      <c r="AK1973" s="32" t="s">
        <v>49</v>
      </c>
      <c r="AL1973" t="s">
        <v>313</v>
      </c>
      <c r="AM1973" t="s">
        <v>164</v>
      </c>
      <c r="AN1973" t="s">
        <v>165</v>
      </c>
    </row>
    <row r="1974" spans="37:40" x14ac:dyDescent="0.25">
      <c r="AK1974" s="32" t="s">
        <v>49</v>
      </c>
      <c r="AL1974" t="s">
        <v>313</v>
      </c>
      <c r="AM1974" t="s">
        <v>179</v>
      </c>
      <c r="AN1974" t="s">
        <v>180</v>
      </c>
    </row>
    <row r="1975" spans="37:40" x14ac:dyDescent="0.25">
      <c r="AK1975" s="32" t="s">
        <v>49</v>
      </c>
      <c r="AL1975" t="s">
        <v>313</v>
      </c>
      <c r="AM1975" t="s">
        <v>193</v>
      </c>
      <c r="AN1975" t="s">
        <v>194</v>
      </c>
    </row>
    <row r="1976" spans="37:40" x14ac:dyDescent="0.25">
      <c r="AK1976" s="32" t="s">
        <v>49</v>
      </c>
      <c r="AL1976" t="s">
        <v>313</v>
      </c>
      <c r="AM1976" t="s">
        <v>206</v>
      </c>
      <c r="AN1976" t="s">
        <v>207</v>
      </c>
    </row>
    <row r="1977" spans="37:40" x14ac:dyDescent="0.25">
      <c r="AK1977" s="32" t="s">
        <v>49</v>
      </c>
      <c r="AL1977" t="s">
        <v>313</v>
      </c>
      <c r="AM1977" t="s">
        <v>218</v>
      </c>
      <c r="AN1977" t="s">
        <v>219</v>
      </c>
    </row>
    <row r="1978" spans="37:40" x14ac:dyDescent="0.25">
      <c r="AK1978" s="32" t="s">
        <v>49</v>
      </c>
      <c r="AL1978" t="s">
        <v>313</v>
      </c>
      <c r="AM1978" t="s">
        <v>224</v>
      </c>
      <c r="AN1978" t="s">
        <v>225</v>
      </c>
    </row>
    <row r="1979" spans="37:40" x14ac:dyDescent="0.25">
      <c r="AK1979" s="32" t="s">
        <v>49</v>
      </c>
      <c r="AL1979" t="s">
        <v>313</v>
      </c>
      <c r="AM1979" t="s">
        <v>228</v>
      </c>
      <c r="AN1979" t="s">
        <v>229</v>
      </c>
    </row>
    <row r="1980" spans="37:40" x14ac:dyDescent="0.25">
      <c r="AK1980" s="32" t="s">
        <v>49</v>
      </c>
      <c r="AL1980" t="s">
        <v>313</v>
      </c>
      <c r="AM1980" t="s">
        <v>232</v>
      </c>
      <c r="AN1980" t="s">
        <v>233</v>
      </c>
    </row>
    <row r="1981" spans="37:40" x14ac:dyDescent="0.25">
      <c r="AK1981" s="32" t="s">
        <v>49</v>
      </c>
      <c r="AL1981" t="s">
        <v>313</v>
      </c>
      <c r="AM1981" t="s">
        <v>237</v>
      </c>
      <c r="AN1981" t="s">
        <v>238</v>
      </c>
    </row>
    <row r="1982" spans="37:40" x14ac:dyDescent="0.25">
      <c r="AK1982" s="32" t="s">
        <v>49</v>
      </c>
      <c r="AL1982" t="s">
        <v>313</v>
      </c>
      <c r="AM1982" t="s">
        <v>242</v>
      </c>
      <c r="AN1982" t="s">
        <v>243</v>
      </c>
    </row>
    <row r="1983" spans="37:40" x14ac:dyDescent="0.25">
      <c r="AK1983" s="32" t="s">
        <v>49</v>
      </c>
      <c r="AL1983" t="s">
        <v>313</v>
      </c>
      <c r="AM1983" t="s">
        <v>247</v>
      </c>
      <c r="AN1983" t="s">
        <v>248</v>
      </c>
    </row>
    <row r="1984" spans="37:40" x14ac:dyDescent="0.25">
      <c r="AK1984" s="32" t="s">
        <v>49</v>
      </c>
      <c r="AL1984" t="s">
        <v>313</v>
      </c>
      <c r="AM1984" t="s">
        <v>251</v>
      </c>
      <c r="AN1984" t="s">
        <v>252</v>
      </c>
    </row>
    <row r="1985" spans="37:40" x14ac:dyDescent="0.25">
      <c r="AK1985" s="32" t="s">
        <v>49</v>
      </c>
      <c r="AL1985" t="s">
        <v>313</v>
      </c>
      <c r="AM1985" t="s">
        <v>255</v>
      </c>
      <c r="AN1985" t="s">
        <v>256</v>
      </c>
    </row>
    <row r="1986" spans="37:40" x14ac:dyDescent="0.25">
      <c r="AK1986" s="32" t="s">
        <v>49</v>
      </c>
      <c r="AL1986" t="s">
        <v>313</v>
      </c>
      <c r="AM1986" t="s">
        <v>259</v>
      </c>
      <c r="AN1986" t="s">
        <v>260</v>
      </c>
    </row>
    <row r="1987" spans="37:40" x14ac:dyDescent="0.25">
      <c r="AK1987" s="32" t="s">
        <v>49</v>
      </c>
      <c r="AL1987" t="s">
        <v>313</v>
      </c>
      <c r="AM1987" t="s">
        <v>263</v>
      </c>
      <c r="AN1987" t="s">
        <v>264</v>
      </c>
    </row>
    <row r="1988" spans="37:40" x14ac:dyDescent="0.25">
      <c r="AK1988" s="32" t="s">
        <v>49</v>
      </c>
      <c r="AL1988" t="s">
        <v>313</v>
      </c>
      <c r="AM1988" t="s">
        <v>267</v>
      </c>
      <c r="AN1988" t="s">
        <v>268</v>
      </c>
    </row>
    <row r="1989" spans="37:40" x14ac:dyDescent="0.25">
      <c r="AK1989" s="32" t="s">
        <v>49</v>
      </c>
      <c r="AL1989" t="s">
        <v>313</v>
      </c>
      <c r="AM1989" t="s">
        <v>271</v>
      </c>
      <c r="AN1989" t="s">
        <v>272</v>
      </c>
    </row>
    <row r="1990" spans="37:40" x14ac:dyDescent="0.25">
      <c r="AK1990" s="32" t="s">
        <v>49</v>
      </c>
      <c r="AL1990" t="s">
        <v>313</v>
      </c>
      <c r="AM1990" t="s">
        <v>274</v>
      </c>
      <c r="AN1990" t="s">
        <v>275</v>
      </c>
    </row>
    <row r="1991" spans="37:40" x14ac:dyDescent="0.25">
      <c r="AK1991" s="32" t="s">
        <v>49</v>
      </c>
      <c r="AL1991" t="s">
        <v>313</v>
      </c>
      <c r="AM1991" t="s">
        <v>277</v>
      </c>
      <c r="AN1991" t="s">
        <v>278</v>
      </c>
    </row>
    <row r="1992" spans="37:40" x14ac:dyDescent="0.25">
      <c r="AK1992" s="32" t="s">
        <v>49</v>
      </c>
      <c r="AL1992" t="s">
        <v>313</v>
      </c>
      <c r="AM1992" t="s">
        <v>281</v>
      </c>
      <c r="AN1992" t="s">
        <v>282</v>
      </c>
    </row>
    <row r="1993" spans="37:40" x14ac:dyDescent="0.25">
      <c r="AK1993" s="32" t="s">
        <v>49</v>
      </c>
      <c r="AL1993" t="s">
        <v>313</v>
      </c>
      <c r="AM1993" t="s">
        <v>285</v>
      </c>
      <c r="AN1993" t="s">
        <v>286</v>
      </c>
    </row>
    <row r="1994" spans="37:40" x14ac:dyDescent="0.25">
      <c r="AK1994" s="32" t="s">
        <v>49</v>
      </c>
      <c r="AL1994" t="s">
        <v>313</v>
      </c>
      <c r="AM1994" t="s">
        <v>288</v>
      </c>
      <c r="AN1994" t="s">
        <v>289</v>
      </c>
    </row>
    <row r="1995" spans="37:40" x14ac:dyDescent="0.25">
      <c r="AK1995" s="32" t="s">
        <v>49</v>
      </c>
      <c r="AL1995" t="s">
        <v>313</v>
      </c>
      <c r="AM1995" t="s">
        <v>292</v>
      </c>
      <c r="AN1995" t="s">
        <v>293</v>
      </c>
    </row>
    <row r="1996" spans="37:40" x14ac:dyDescent="0.25">
      <c r="AK1996" s="32" t="s">
        <v>49</v>
      </c>
      <c r="AL1996" t="s">
        <v>313</v>
      </c>
      <c r="AM1996" t="s">
        <v>297</v>
      </c>
      <c r="AN1996" t="s">
        <v>298</v>
      </c>
    </row>
    <row r="1997" spans="37:40" x14ac:dyDescent="0.25">
      <c r="AK1997" s="32" t="s">
        <v>49</v>
      </c>
      <c r="AL1997" t="s">
        <v>313</v>
      </c>
      <c r="AM1997" t="s">
        <v>302</v>
      </c>
      <c r="AN1997" t="s">
        <v>303</v>
      </c>
    </row>
    <row r="1998" spans="37:40" x14ac:dyDescent="0.25">
      <c r="AK1998" s="32" t="s">
        <v>49</v>
      </c>
      <c r="AL1998" t="s">
        <v>313</v>
      </c>
      <c r="AM1998" t="s">
        <v>306</v>
      </c>
      <c r="AN1998" t="s">
        <v>307</v>
      </c>
    </row>
    <row r="1999" spans="37:40" x14ac:dyDescent="0.25">
      <c r="AK1999" s="32" t="s">
        <v>49</v>
      </c>
      <c r="AL1999" t="s">
        <v>313</v>
      </c>
      <c r="AM1999" t="s">
        <v>310</v>
      </c>
      <c r="AN1999" t="s">
        <v>311</v>
      </c>
    </row>
    <row r="2000" spans="37:40" x14ac:dyDescent="0.25">
      <c r="AK2000" s="32" t="s">
        <v>49</v>
      </c>
      <c r="AL2000" t="s">
        <v>313</v>
      </c>
      <c r="AM2000" t="s">
        <v>314</v>
      </c>
      <c r="AN2000" t="s">
        <v>315</v>
      </c>
    </row>
    <row r="2001" spans="37:40" x14ac:dyDescent="0.25">
      <c r="AK2001" s="32" t="s">
        <v>49</v>
      </c>
      <c r="AL2001" t="s">
        <v>313</v>
      </c>
      <c r="AM2001" t="s">
        <v>318</v>
      </c>
      <c r="AN2001" t="s">
        <v>319</v>
      </c>
    </row>
    <row r="2002" spans="37:40" x14ac:dyDescent="0.25">
      <c r="AK2002" s="32" t="s">
        <v>49</v>
      </c>
      <c r="AL2002" t="s">
        <v>313</v>
      </c>
      <c r="AM2002" t="s">
        <v>321</v>
      </c>
      <c r="AN2002" t="s">
        <v>322</v>
      </c>
    </row>
    <row r="2003" spans="37:40" x14ac:dyDescent="0.25">
      <c r="AK2003" s="32" t="s">
        <v>49</v>
      </c>
      <c r="AL2003" t="s">
        <v>313</v>
      </c>
      <c r="AM2003" t="s">
        <v>325</v>
      </c>
      <c r="AN2003" t="s">
        <v>326</v>
      </c>
    </row>
    <row r="2004" spans="37:40" x14ac:dyDescent="0.25">
      <c r="AK2004" s="32" t="s">
        <v>49</v>
      </c>
      <c r="AL2004" t="s">
        <v>313</v>
      </c>
      <c r="AM2004" t="s">
        <v>327</v>
      </c>
      <c r="AN2004" t="s">
        <v>328</v>
      </c>
    </row>
    <row r="2005" spans="37:40" x14ac:dyDescent="0.25">
      <c r="AK2005" s="32" t="s">
        <v>49</v>
      </c>
      <c r="AL2005" t="s">
        <v>313</v>
      </c>
      <c r="AM2005" t="s">
        <v>329</v>
      </c>
      <c r="AN2005" t="s">
        <v>330</v>
      </c>
    </row>
    <row r="2006" spans="37:40" x14ac:dyDescent="0.25">
      <c r="AK2006" s="32" t="s">
        <v>49</v>
      </c>
      <c r="AL2006" t="s">
        <v>313</v>
      </c>
      <c r="AM2006" t="s">
        <v>331</v>
      </c>
      <c r="AN2006" t="s">
        <v>332</v>
      </c>
    </row>
    <row r="2007" spans="37:40" x14ac:dyDescent="0.25">
      <c r="AK2007" s="32" t="s">
        <v>49</v>
      </c>
      <c r="AL2007" t="s">
        <v>313</v>
      </c>
      <c r="AM2007" t="s">
        <v>333</v>
      </c>
      <c r="AN2007" t="s">
        <v>334</v>
      </c>
    </row>
    <row r="2008" spans="37:40" x14ac:dyDescent="0.25">
      <c r="AK2008" s="32" t="s">
        <v>49</v>
      </c>
      <c r="AL2008" t="s">
        <v>313</v>
      </c>
      <c r="AM2008" t="s">
        <v>335</v>
      </c>
      <c r="AN2008" t="s">
        <v>336</v>
      </c>
    </row>
    <row r="2009" spans="37:40" x14ac:dyDescent="0.25">
      <c r="AK2009" s="32" t="s">
        <v>49</v>
      </c>
      <c r="AL2009" t="s">
        <v>313</v>
      </c>
      <c r="AM2009" t="s">
        <v>337</v>
      </c>
      <c r="AN2009" t="s">
        <v>338</v>
      </c>
    </row>
    <row r="2010" spans="37:40" x14ac:dyDescent="0.25">
      <c r="AK2010" s="32" t="s">
        <v>49</v>
      </c>
      <c r="AL2010" t="s">
        <v>313</v>
      </c>
      <c r="AM2010" t="s">
        <v>340</v>
      </c>
      <c r="AN2010" t="s">
        <v>341</v>
      </c>
    </row>
    <row r="2011" spans="37:40" x14ac:dyDescent="0.25">
      <c r="AK2011" s="32" t="s">
        <v>49</v>
      </c>
      <c r="AL2011" t="s">
        <v>313</v>
      </c>
      <c r="AM2011" t="s">
        <v>342</v>
      </c>
      <c r="AN2011" t="s">
        <v>343</v>
      </c>
    </row>
    <row r="2012" spans="37:40" x14ac:dyDescent="0.25">
      <c r="AK2012" s="32" t="s">
        <v>49</v>
      </c>
      <c r="AL2012" t="s">
        <v>313</v>
      </c>
      <c r="AM2012" t="s">
        <v>344</v>
      </c>
      <c r="AN2012" t="s">
        <v>345</v>
      </c>
    </row>
    <row r="2013" spans="37:40" x14ac:dyDescent="0.25">
      <c r="AK2013" s="32" t="s">
        <v>49</v>
      </c>
      <c r="AL2013" t="s">
        <v>313</v>
      </c>
      <c r="AM2013" t="s">
        <v>346</v>
      </c>
      <c r="AN2013" t="s">
        <v>347</v>
      </c>
    </row>
    <row r="2014" spans="37:40" x14ac:dyDescent="0.25">
      <c r="AK2014" s="32" t="s">
        <v>49</v>
      </c>
      <c r="AL2014" t="s">
        <v>313</v>
      </c>
      <c r="AM2014" t="s">
        <v>348</v>
      </c>
      <c r="AN2014" t="s">
        <v>349</v>
      </c>
    </row>
    <row r="2015" spans="37:40" x14ac:dyDescent="0.25">
      <c r="AK2015" s="32" t="s">
        <v>49</v>
      </c>
      <c r="AL2015" t="s">
        <v>313</v>
      </c>
      <c r="AM2015" t="s">
        <v>350</v>
      </c>
      <c r="AN2015" t="s">
        <v>351</v>
      </c>
    </row>
    <row r="2016" spans="37:40" x14ac:dyDescent="0.25">
      <c r="AK2016" s="32" t="s">
        <v>49</v>
      </c>
      <c r="AL2016" t="s">
        <v>313</v>
      </c>
      <c r="AM2016" t="s">
        <v>352</v>
      </c>
      <c r="AN2016" t="s">
        <v>353</v>
      </c>
    </row>
    <row r="2017" spans="37:40" x14ac:dyDescent="0.25">
      <c r="AK2017" s="32" t="s">
        <v>49</v>
      </c>
      <c r="AL2017" t="s">
        <v>313</v>
      </c>
      <c r="AM2017" t="s">
        <v>354</v>
      </c>
      <c r="AN2017" t="s">
        <v>355</v>
      </c>
    </row>
    <row r="2018" spans="37:40" x14ac:dyDescent="0.25">
      <c r="AK2018" s="32" t="s">
        <v>49</v>
      </c>
      <c r="AL2018" t="s">
        <v>313</v>
      </c>
      <c r="AM2018" t="s">
        <v>356</v>
      </c>
      <c r="AN2018" t="s">
        <v>357</v>
      </c>
    </row>
    <row r="2019" spans="37:40" x14ac:dyDescent="0.25">
      <c r="AK2019" s="32" t="s">
        <v>49</v>
      </c>
      <c r="AL2019" t="s">
        <v>313</v>
      </c>
      <c r="AM2019" t="s">
        <v>358</v>
      </c>
      <c r="AN2019" t="s">
        <v>359</v>
      </c>
    </row>
    <row r="2020" spans="37:40" x14ac:dyDescent="0.25">
      <c r="AK2020" s="32" t="s">
        <v>49</v>
      </c>
      <c r="AL2020" t="s">
        <v>313</v>
      </c>
      <c r="AM2020" t="s">
        <v>360</v>
      </c>
      <c r="AN2020" t="s">
        <v>361</v>
      </c>
    </row>
    <row r="2021" spans="37:40" x14ac:dyDescent="0.25">
      <c r="AK2021" s="32" t="s">
        <v>49</v>
      </c>
      <c r="AL2021" t="s">
        <v>313</v>
      </c>
      <c r="AM2021" t="s">
        <v>362</v>
      </c>
      <c r="AN2021" t="s">
        <v>363</v>
      </c>
    </row>
    <row r="2022" spans="37:40" x14ac:dyDescent="0.25">
      <c r="AK2022" s="32" t="s">
        <v>49</v>
      </c>
      <c r="AL2022" t="s">
        <v>313</v>
      </c>
      <c r="AM2022" t="s">
        <v>364</v>
      </c>
      <c r="AN2022" t="s">
        <v>365</v>
      </c>
    </row>
    <row r="2023" spans="37:40" x14ac:dyDescent="0.25">
      <c r="AK2023" s="32" t="s">
        <v>49</v>
      </c>
      <c r="AL2023" t="s">
        <v>313</v>
      </c>
      <c r="AM2023" t="s">
        <v>366</v>
      </c>
      <c r="AN2023" t="s">
        <v>367</v>
      </c>
    </row>
    <row r="2024" spans="37:40" x14ac:dyDescent="0.25">
      <c r="AK2024" s="32" t="s">
        <v>49</v>
      </c>
      <c r="AL2024" t="s">
        <v>313</v>
      </c>
      <c r="AM2024" t="s">
        <v>368</v>
      </c>
      <c r="AN2024" t="s">
        <v>369</v>
      </c>
    </row>
    <row r="2025" spans="37:40" x14ac:dyDescent="0.25">
      <c r="AK2025" s="32" t="s">
        <v>49</v>
      </c>
      <c r="AL2025" t="s">
        <v>313</v>
      </c>
      <c r="AM2025" t="s">
        <v>370</v>
      </c>
      <c r="AN2025" t="s">
        <v>371</v>
      </c>
    </row>
    <row r="2028" spans="37:40" x14ac:dyDescent="0.25">
      <c r="AK2028" s="32" t="s">
        <v>49</v>
      </c>
      <c r="AL2028" t="s">
        <v>317</v>
      </c>
      <c r="AM2028" t="s">
        <v>50</v>
      </c>
      <c r="AN2028" t="s">
        <v>51</v>
      </c>
    </row>
    <row r="2029" spans="37:40" x14ac:dyDescent="0.25">
      <c r="AK2029" s="32" t="s">
        <v>49</v>
      </c>
      <c r="AL2029" t="s">
        <v>317</v>
      </c>
      <c r="AM2029" t="s">
        <v>78</v>
      </c>
      <c r="AN2029" t="s">
        <v>79</v>
      </c>
    </row>
    <row r="2030" spans="37:40" x14ac:dyDescent="0.25">
      <c r="AK2030" s="32" t="s">
        <v>49</v>
      </c>
      <c r="AL2030" t="s">
        <v>317</v>
      </c>
      <c r="AM2030" t="s">
        <v>100</v>
      </c>
      <c r="AN2030" t="s">
        <v>101</v>
      </c>
    </row>
    <row r="2031" spans="37:40" x14ac:dyDescent="0.25">
      <c r="AK2031" s="32" t="s">
        <v>49</v>
      </c>
      <c r="AL2031" t="s">
        <v>317</v>
      </c>
      <c r="AM2031" t="s">
        <v>112</v>
      </c>
      <c r="AN2031" t="s">
        <v>113</v>
      </c>
    </row>
    <row r="2032" spans="37:40" x14ac:dyDescent="0.25">
      <c r="AK2032" s="32" t="s">
        <v>49</v>
      </c>
      <c r="AL2032" t="s">
        <v>317</v>
      </c>
      <c r="AM2032" t="s">
        <v>127</v>
      </c>
      <c r="AN2032" t="s">
        <v>128</v>
      </c>
    </row>
    <row r="2033" spans="37:40" x14ac:dyDescent="0.25">
      <c r="AK2033" s="32" t="s">
        <v>49</v>
      </c>
      <c r="AL2033" t="s">
        <v>317</v>
      </c>
      <c r="AM2033" t="s">
        <v>140</v>
      </c>
      <c r="AN2033" t="s">
        <v>141</v>
      </c>
    </row>
    <row r="2034" spans="37:40" x14ac:dyDescent="0.25">
      <c r="AK2034" s="32" t="s">
        <v>49</v>
      </c>
      <c r="AL2034" t="s">
        <v>317</v>
      </c>
      <c r="AM2034" t="s">
        <v>152</v>
      </c>
      <c r="AN2034" t="s">
        <v>153</v>
      </c>
    </row>
    <row r="2035" spans="37:40" x14ac:dyDescent="0.25">
      <c r="AK2035" s="32" t="s">
        <v>49</v>
      </c>
      <c r="AL2035" t="s">
        <v>317</v>
      </c>
      <c r="AM2035" t="s">
        <v>164</v>
      </c>
      <c r="AN2035" t="s">
        <v>165</v>
      </c>
    </row>
    <row r="2036" spans="37:40" x14ac:dyDescent="0.25">
      <c r="AK2036" s="32" t="s">
        <v>49</v>
      </c>
      <c r="AL2036" t="s">
        <v>317</v>
      </c>
      <c r="AM2036" t="s">
        <v>179</v>
      </c>
      <c r="AN2036" t="s">
        <v>180</v>
      </c>
    </row>
    <row r="2037" spans="37:40" x14ac:dyDescent="0.25">
      <c r="AK2037" s="32" t="s">
        <v>49</v>
      </c>
      <c r="AL2037" t="s">
        <v>317</v>
      </c>
      <c r="AM2037" t="s">
        <v>193</v>
      </c>
      <c r="AN2037" t="s">
        <v>194</v>
      </c>
    </row>
    <row r="2038" spans="37:40" x14ac:dyDescent="0.25">
      <c r="AK2038" s="32" t="s">
        <v>49</v>
      </c>
      <c r="AL2038" t="s">
        <v>317</v>
      </c>
      <c r="AM2038" t="s">
        <v>206</v>
      </c>
      <c r="AN2038" t="s">
        <v>207</v>
      </c>
    </row>
    <row r="2039" spans="37:40" x14ac:dyDescent="0.25">
      <c r="AK2039" s="32" t="s">
        <v>49</v>
      </c>
      <c r="AL2039" t="s">
        <v>317</v>
      </c>
      <c r="AM2039" t="s">
        <v>218</v>
      </c>
      <c r="AN2039" t="s">
        <v>219</v>
      </c>
    </row>
    <row r="2040" spans="37:40" x14ac:dyDescent="0.25">
      <c r="AK2040" s="32" t="s">
        <v>49</v>
      </c>
      <c r="AL2040" t="s">
        <v>317</v>
      </c>
      <c r="AM2040" t="s">
        <v>224</v>
      </c>
      <c r="AN2040" t="s">
        <v>225</v>
      </c>
    </row>
    <row r="2041" spans="37:40" x14ac:dyDescent="0.25">
      <c r="AK2041" s="32" t="s">
        <v>49</v>
      </c>
      <c r="AL2041" t="s">
        <v>317</v>
      </c>
      <c r="AM2041" t="s">
        <v>228</v>
      </c>
      <c r="AN2041" t="s">
        <v>229</v>
      </c>
    </row>
    <row r="2042" spans="37:40" x14ac:dyDescent="0.25">
      <c r="AK2042" s="32" t="s">
        <v>49</v>
      </c>
      <c r="AL2042" t="s">
        <v>317</v>
      </c>
      <c r="AM2042" t="s">
        <v>232</v>
      </c>
      <c r="AN2042" t="s">
        <v>233</v>
      </c>
    </row>
    <row r="2043" spans="37:40" x14ac:dyDescent="0.25">
      <c r="AK2043" s="32" t="s">
        <v>49</v>
      </c>
      <c r="AL2043" t="s">
        <v>317</v>
      </c>
      <c r="AM2043" t="s">
        <v>237</v>
      </c>
      <c r="AN2043" t="s">
        <v>238</v>
      </c>
    </row>
    <row r="2044" spans="37:40" x14ac:dyDescent="0.25">
      <c r="AK2044" s="32" t="s">
        <v>49</v>
      </c>
      <c r="AL2044" t="s">
        <v>317</v>
      </c>
      <c r="AM2044" t="s">
        <v>242</v>
      </c>
      <c r="AN2044" t="s">
        <v>243</v>
      </c>
    </row>
    <row r="2045" spans="37:40" x14ac:dyDescent="0.25">
      <c r="AK2045" s="32" t="s">
        <v>49</v>
      </c>
      <c r="AL2045" t="s">
        <v>317</v>
      </c>
      <c r="AM2045" t="s">
        <v>247</v>
      </c>
      <c r="AN2045" t="s">
        <v>248</v>
      </c>
    </row>
    <row r="2046" spans="37:40" x14ac:dyDescent="0.25">
      <c r="AK2046" s="32" t="s">
        <v>49</v>
      </c>
      <c r="AL2046" t="s">
        <v>317</v>
      </c>
      <c r="AM2046" t="s">
        <v>251</v>
      </c>
      <c r="AN2046" t="s">
        <v>252</v>
      </c>
    </row>
    <row r="2047" spans="37:40" x14ac:dyDescent="0.25">
      <c r="AK2047" s="32" t="s">
        <v>49</v>
      </c>
      <c r="AL2047" t="s">
        <v>317</v>
      </c>
      <c r="AM2047" t="s">
        <v>255</v>
      </c>
      <c r="AN2047" t="s">
        <v>256</v>
      </c>
    </row>
    <row r="2048" spans="37:40" x14ac:dyDescent="0.25">
      <c r="AK2048" s="32" t="s">
        <v>49</v>
      </c>
      <c r="AL2048" t="s">
        <v>317</v>
      </c>
      <c r="AM2048" t="s">
        <v>259</v>
      </c>
      <c r="AN2048" t="s">
        <v>260</v>
      </c>
    </row>
    <row r="2049" spans="37:40" x14ac:dyDescent="0.25">
      <c r="AK2049" s="32" t="s">
        <v>49</v>
      </c>
      <c r="AL2049" t="s">
        <v>317</v>
      </c>
      <c r="AM2049" t="s">
        <v>263</v>
      </c>
      <c r="AN2049" t="s">
        <v>264</v>
      </c>
    </row>
    <row r="2050" spans="37:40" x14ac:dyDescent="0.25">
      <c r="AK2050" s="32" t="s">
        <v>49</v>
      </c>
      <c r="AL2050" t="s">
        <v>317</v>
      </c>
      <c r="AM2050" t="s">
        <v>267</v>
      </c>
      <c r="AN2050" t="s">
        <v>268</v>
      </c>
    </row>
    <row r="2051" spans="37:40" x14ac:dyDescent="0.25">
      <c r="AK2051" s="32" t="s">
        <v>49</v>
      </c>
      <c r="AL2051" t="s">
        <v>317</v>
      </c>
      <c r="AM2051" t="s">
        <v>271</v>
      </c>
      <c r="AN2051" t="s">
        <v>272</v>
      </c>
    </row>
    <row r="2052" spans="37:40" x14ac:dyDescent="0.25">
      <c r="AK2052" s="32" t="s">
        <v>49</v>
      </c>
      <c r="AL2052" t="s">
        <v>317</v>
      </c>
      <c r="AM2052" t="s">
        <v>274</v>
      </c>
      <c r="AN2052" t="s">
        <v>275</v>
      </c>
    </row>
    <row r="2053" spans="37:40" x14ac:dyDescent="0.25">
      <c r="AK2053" s="32" t="s">
        <v>49</v>
      </c>
      <c r="AL2053" t="s">
        <v>317</v>
      </c>
      <c r="AM2053" t="s">
        <v>277</v>
      </c>
      <c r="AN2053" t="s">
        <v>278</v>
      </c>
    </row>
    <row r="2054" spans="37:40" x14ac:dyDescent="0.25">
      <c r="AK2054" s="32" t="s">
        <v>49</v>
      </c>
      <c r="AL2054" t="s">
        <v>317</v>
      </c>
      <c r="AM2054" t="s">
        <v>281</v>
      </c>
      <c r="AN2054" t="s">
        <v>282</v>
      </c>
    </row>
    <row r="2055" spans="37:40" x14ac:dyDescent="0.25">
      <c r="AK2055" s="32" t="s">
        <v>49</v>
      </c>
      <c r="AL2055" t="s">
        <v>317</v>
      </c>
      <c r="AM2055" t="s">
        <v>285</v>
      </c>
      <c r="AN2055" t="s">
        <v>286</v>
      </c>
    </row>
    <row r="2056" spans="37:40" x14ac:dyDescent="0.25">
      <c r="AK2056" s="32" t="s">
        <v>49</v>
      </c>
      <c r="AL2056" t="s">
        <v>317</v>
      </c>
      <c r="AM2056" t="s">
        <v>288</v>
      </c>
      <c r="AN2056" t="s">
        <v>289</v>
      </c>
    </row>
    <row r="2057" spans="37:40" x14ac:dyDescent="0.25">
      <c r="AK2057" s="32" t="s">
        <v>49</v>
      </c>
      <c r="AL2057" t="s">
        <v>317</v>
      </c>
      <c r="AM2057" t="s">
        <v>292</v>
      </c>
      <c r="AN2057" t="s">
        <v>293</v>
      </c>
    </row>
    <row r="2058" spans="37:40" x14ac:dyDescent="0.25">
      <c r="AK2058" s="32" t="s">
        <v>49</v>
      </c>
      <c r="AL2058" t="s">
        <v>317</v>
      </c>
      <c r="AM2058" t="s">
        <v>297</v>
      </c>
      <c r="AN2058" t="s">
        <v>298</v>
      </c>
    </row>
    <row r="2059" spans="37:40" x14ac:dyDescent="0.25">
      <c r="AK2059" s="32" t="s">
        <v>49</v>
      </c>
      <c r="AL2059" t="s">
        <v>317</v>
      </c>
      <c r="AM2059" t="s">
        <v>302</v>
      </c>
      <c r="AN2059" t="s">
        <v>303</v>
      </c>
    </row>
    <row r="2060" spans="37:40" x14ac:dyDescent="0.25">
      <c r="AK2060" s="32" t="s">
        <v>49</v>
      </c>
      <c r="AL2060" t="s">
        <v>317</v>
      </c>
      <c r="AM2060" t="s">
        <v>306</v>
      </c>
      <c r="AN2060" t="s">
        <v>307</v>
      </c>
    </row>
    <row r="2061" spans="37:40" x14ac:dyDescent="0.25">
      <c r="AK2061" s="32" t="s">
        <v>49</v>
      </c>
      <c r="AL2061" t="s">
        <v>317</v>
      </c>
      <c r="AM2061" t="s">
        <v>310</v>
      </c>
      <c r="AN2061" t="s">
        <v>311</v>
      </c>
    </row>
    <row r="2062" spans="37:40" x14ac:dyDescent="0.25">
      <c r="AK2062" s="32" t="s">
        <v>49</v>
      </c>
      <c r="AL2062" t="s">
        <v>317</v>
      </c>
      <c r="AM2062" t="s">
        <v>314</v>
      </c>
      <c r="AN2062" t="s">
        <v>315</v>
      </c>
    </row>
    <row r="2063" spans="37:40" x14ac:dyDescent="0.25">
      <c r="AK2063" s="32" t="s">
        <v>49</v>
      </c>
      <c r="AL2063" t="s">
        <v>317</v>
      </c>
      <c r="AM2063" t="s">
        <v>318</v>
      </c>
      <c r="AN2063" t="s">
        <v>319</v>
      </c>
    </row>
    <row r="2064" spans="37:40" x14ac:dyDescent="0.25">
      <c r="AK2064" s="32" t="s">
        <v>49</v>
      </c>
      <c r="AL2064" t="s">
        <v>317</v>
      </c>
      <c r="AM2064" t="s">
        <v>321</v>
      </c>
      <c r="AN2064" t="s">
        <v>322</v>
      </c>
    </row>
    <row r="2065" spans="37:40" x14ac:dyDescent="0.25">
      <c r="AK2065" s="32" t="s">
        <v>49</v>
      </c>
      <c r="AL2065" t="s">
        <v>317</v>
      </c>
      <c r="AM2065" t="s">
        <v>325</v>
      </c>
      <c r="AN2065" t="s">
        <v>326</v>
      </c>
    </row>
    <row r="2066" spans="37:40" x14ac:dyDescent="0.25">
      <c r="AK2066" s="32" t="s">
        <v>49</v>
      </c>
      <c r="AL2066" t="s">
        <v>317</v>
      </c>
      <c r="AM2066" t="s">
        <v>327</v>
      </c>
      <c r="AN2066" t="s">
        <v>328</v>
      </c>
    </row>
    <row r="2067" spans="37:40" x14ac:dyDescent="0.25">
      <c r="AK2067" s="32" t="s">
        <v>49</v>
      </c>
      <c r="AL2067" t="s">
        <v>317</v>
      </c>
      <c r="AM2067" t="s">
        <v>329</v>
      </c>
      <c r="AN2067" t="s">
        <v>330</v>
      </c>
    </row>
    <row r="2068" spans="37:40" x14ac:dyDescent="0.25">
      <c r="AK2068" s="32" t="s">
        <v>49</v>
      </c>
      <c r="AL2068" t="s">
        <v>317</v>
      </c>
      <c r="AM2068" t="s">
        <v>331</v>
      </c>
      <c r="AN2068" t="s">
        <v>332</v>
      </c>
    </row>
    <row r="2069" spans="37:40" x14ac:dyDescent="0.25">
      <c r="AK2069" s="32" t="s">
        <v>49</v>
      </c>
      <c r="AL2069" t="s">
        <v>317</v>
      </c>
      <c r="AM2069" t="s">
        <v>333</v>
      </c>
      <c r="AN2069" t="s">
        <v>334</v>
      </c>
    </row>
    <row r="2070" spans="37:40" x14ac:dyDescent="0.25">
      <c r="AK2070" s="32" t="s">
        <v>49</v>
      </c>
      <c r="AL2070" t="s">
        <v>317</v>
      </c>
      <c r="AM2070" t="s">
        <v>335</v>
      </c>
      <c r="AN2070" t="s">
        <v>336</v>
      </c>
    </row>
    <row r="2071" spans="37:40" x14ac:dyDescent="0.25">
      <c r="AK2071" s="32" t="s">
        <v>49</v>
      </c>
      <c r="AL2071" t="s">
        <v>317</v>
      </c>
      <c r="AM2071" t="s">
        <v>337</v>
      </c>
      <c r="AN2071" t="s">
        <v>338</v>
      </c>
    </row>
    <row r="2072" spans="37:40" x14ac:dyDescent="0.25">
      <c r="AK2072" s="32" t="s">
        <v>49</v>
      </c>
      <c r="AL2072" t="s">
        <v>317</v>
      </c>
      <c r="AM2072" t="s">
        <v>340</v>
      </c>
      <c r="AN2072" t="s">
        <v>341</v>
      </c>
    </row>
    <row r="2073" spans="37:40" x14ac:dyDescent="0.25">
      <c r="AK2073" s="32" t="s">
        <v>49</v>
      </c>
      <c r="AL2073" t="s">
        <v>317</v>
      </c>
      <c r="AM2073" t="s">
        <v>342</v>
      </c>
      <c r="AN2073" t="s">
        <v>343</v>
      </c>
    </row>
    <row r="2074" spans="37:40" x14ac:dyDescent="0.25">
      <c r="AK2074" s="32" t="s">
        <v>49</v>
      </c>
      <c r="AL2074" t="s">
        <v>317</v>
      </c>
      <c r="AM2074" t="s">
        <v>344</v>
      </c>
      <c r="AN2074" t="s">
        <v>345</v>
      </c>
    </row>
    <row r="2075" spans="37:40" x14ac:dyDescent="0.25">
      <c r="AK2075" s="32" t="s">
        <v>49</v>
      </c>
      <c r="AL2075" t="s">
        <v>317</v>
      </c>
      <c r="AM2075" t="s">
        <v>346</v>
      </c>
      <c r="AN2075" t="s">
        <v>347</v>
      </c>
    </row>
    <row r="2076" spans="37:40" x14ac:dyDescent="0.25">
      <c r="AK2076" s="32" t="s">
        <v>49</v>
      </c>
      <c r="AL2076" t="s">
        <v>317</v>
      </c>
      <c r="AM2076" t="s">
        <v>348</v>
      </c>
      <c r="AN2076" t="s">
        <v>349</v>
      </c>
    </row>
    <row r="2077" spans="37:40" x14ac:dyDescent="0.25">
      <c r="AK2077" s="32" t="s">
        <v>49</v>
      </c>
      <c r="AL2077" t="s">
        <v>317</v>
      </c>
      <c r="AM2077" t="s">
        <v>350</v>
      </c>
      <c r="AN2077" t="s">
        <v>351</v>
      </c>
    </row>
    <row r="2078" spans="37:40" x14ac:dyDescent="0.25">
      <c r="AK2078" s="32" t="s">
        <v>49</v>
      </c>
      <c r="AL2078" t="s">
        <v>317</v>
      </c>
      <c r="AM2078" t="s">
        <v>352</v>
      </c>
      <c r="AN2078" t="s">
        <v>353</v>
      </c>
    </row>
    <row r="2079" spans="37:40" x14ac:dyDescent="0.25">
      <c r="AK2079" s="32" t="s">
        <v>49</v>
      </c>
      <c r="AL2079" t="s">
        <v>317</v>
      </c>
      <c r="AM2079" t="s">
        <v>354</v>
      </c>
      <c r="AN2079" t="s">
        <v>355</v>
      </c>
    </row>
    <row r="2080" spans="37:40" x14ac:dyDescent="0.25">
      <c r="AK2080" s="32" t="s">
        <v>49</v>
      </c>
      <c r="AL2080" t="s">
        <v>317</v>
      </c>
      <c r="AM2080" t="s">
        <v>356</v>
      </c>
      <c r="AN2080" t="s">
        <v>357</v>
      </c>
    </row>
    <row r="2081" spans="37:40" x14ac:dyDescent="0.25">
      <c r="AK2081" s="32" t="s">
        <v>49</v>
      </c>
      <c r="AL2081" t="s">
        <v>317</v>
      </c>
      <c r="AM2081" t="s">
        <v>358</v>
      </c>
      <c r="AN2081" t="s">
        <v>359</v>
      </c>
    </row>
    <row r="2082" spans="37:40" x14ac:dyDescent="0.25">
      <c r="AK2082" s="32" t="s">
        <v>49</v>
      </c>
      <c r="AL2082" t="s">
        <v>317</v>
      </c>
      <c r="AM2082" t="s">
        <v>360</v>
      </c>
      <c r="AN2082" t="s">
        <v>361</v>
      </c>
    </row>
    <row r="2083" spans="37:40" x14ac:dyDescent="0.25">
      <c r="AK2083" s="32" t="s">
        <v>49</v>
      </c>
      <c r="AL2083" t="s">
        <v>317</v>
      </c>
      <c r="AM2083" t="s">
        <v>362</v>
      </c>
      <c r="AN2083" t="s">
        <v>363</v>
      </c>
    </row>
    <row r="2084" spans="37:40" x14ac:dyDescent="0.25">
      <c r="AK2084" s="32" t="s">
        <v>49</v>
      </c>
      <c r="AL2084" t="s">
        <v>317</v>
      </c>
      <c r="AM2084" t="s">
        <v>364</v>
      </c>
      <c r="AN2084" t="s">
        <v>365</v>
      </c>
    </row>
    <row r="2085" spans="37:40" x14ac:dyDescent="0.25">
      <c r="AK2085" s="32" t="s">
        <v>49</v>
      </c>
      <c r="AL2085" t="s">
        <v>317</v>
      </c>
      <c r="AM2085" t="s">
        <v>366</v>
      </c>
      <c r="AN2085" t="s">
        <v>367</v>
      </c>
    </row>
    <row r="2086" spans="37:40" x14ac:dyDescent="0.25">
      <c r="AK2086" s="32" t="s">
        <v>49</v>
      </c>
      <c r="AL2086" t="s">
        <v>317</v>
      </c>
      <c r="AM2086" t="s">
        <v>368</v>
      </c>
      <c r="AN2086" t="s">
        <v>369</v>
      </c>
    </row>
    <row r="2087" spans="37:40" x14ac:dyDescent="0.25">
      <c r="AK2087" s="32" t="s">
        <v>49</v>
      </c>
      <c r="AL2087" t="s">
        <v>317</v>
      </c>
      <c r="AM2087" t="s">
        <v>370</v>
      </c>
      <c r="AN2087" t="s">
        <v>371</v>
      </c>
    </row>
    <row r="2090" spans="37:40" x14ac:dyDescent="0.25">
      <c r="AK2090" s="32" t="s">
        <v>49</v>
      </c>
      <c r="AL2090" t="s">
        <v>320</v>
      </c>
      <c r="AM2090" t="s">
        <v>50</v>
      </c>
      <c r="AN2090" t="s">
        <v>51</v>
      </c>
    </row>
    <row r="2091" spans="37:40" x14ac:dyDescent="0.25">
      <c r="AK2091" s="32" t="s">
        <v>49</v>
      </c>
      <c r="AL2091" t="s">
        <v>320</v>
      </c>
      <c r="AM2091" t="s">
        <v>78</v>
      </c>
      <c r="AN2091" t="s">
        <v>79</v>
      </c>
    </row>
    <row r="2092" spans="37:40" x14ac:dyDescent="0.25">
      <c r="AK2092" s="32" t="s">
        <v>49</v>
      </c>
      <c r="AL2092" t="s">
        <v>320</v>
      </c>
      <c r="AM2092" t="s">
        <v>100</v>
      </c>
      <c r="AN2092" t="s">
        <v>101</v>
      </c>
    </row>
    <row r="2093" spans="37:40" x14ac:dyDescent="0.25">
      <c r="AK2093" s="32" t="s">
        <v>49</v>
      </c>
      <c r="AL2093" t="s">
        <v>320</v>
      </c>
      <c r="AM2093" t="s">
        <v>112</v>
      </c>
      <c r="AN2093" t="s">
        <v>113</v>
      </c>
    </row>
    <row r="2094" spans="37:40" x14ac:dyDescent="0.25">
      <c r="AK2094" s="32" t="s">
        <v>49</v>
      </c>
      <c r="AL2094" t="s">
        <v>320</v>
      </c>
      <c r="AM2094" t="s">
        <v>127</v>
      </c>
      <c r="AN2094" t="s">
        <v>128</v>
      </c>
    </row>
    <row r="2095" spans="37:40" x14ac:dyDescent="0.25">
      <c r="AK2095" s="32" t="s">
        <v>49</v>
      </c>
      <c r="AL2095" t="s">
        <v>320</v>
      </c>
      <c r="AM2095" t="s">
        <v>140</v>
      </c>
      <c r="AN2095" t="s">
        <v>141</v>
      </c>
    </row>
    <row r="2096" spans="37:40" x14ac:dyDescent="0.25">
      <c r="AK2096" s="32" t="s">
        <v>49</v>
      </c>
      <c r="AL2096" t="s">
        <v>320</v>
      </c>
      <c r="AM2096" t="s">
        <v>152</v>
      </c>
      <c r="AN2096" t="s">
        <v>153</v>
      </c>
    </row>
    <row r="2097" spans="37:40" x14ac:dyDescent="0.25">
      <c r="AK2097" s="32" t="s">
        <v>49</v>
      </c>
      <c r="AL2097" t="s">
        <v>320</v>
      </c>
      <c r="AM2097" t="s">
        <v>164</v>
      </c>
      <c r="AN2097" t="s">
        <v>165</v>
      </c>
    </row>
    <row r="2098" spans="37:40" x14ac:dyDescent="0.25">
      <c r="AK2098" s="32" t="s">
        <v>49</v>
      </c>
      <c r="AL2098" t="s">
        <v>320</v>
      </c>
      <c r="AM2098" t="s">
        <v>179</v>
      </c>
      <c r="AN2098" t="s">
        <v>180</v>
      </c>
    </row>
    <row r="2099" spans="37:40" x14ac:dyDescent="0.25">
      <c r="AK2099" s="32" t="s">
        <v>49</v>
      </c>
      <c r="AL2099" t="s">
        <v>320</v>
      </c>
      <c r="AM2099" t="s">
        <v>193</v>
      </c>
      <c r="AN2099" t="s">
        <v>194</v>
      </c>
    </row>
    <row r="2100" spans="37:40" x14ac:dyDescent="0.25">
      <c r="AK2100" s="32" t="s">
        <v>49</v>
      </c>
      <c r="AL2100" t="s">
        <v>320</v>
      </c>
      <c r="AM2100" t="s">
        <v>206</v>
      </c>
      <c r="AN2100" t="s">
        <v>207</v>
      </c>
    </row>
    <row r="2101" spans="37:40" x14ac:dyDescent="0.25">
      <c r="AK2101" s="32" t="s">
        <v>49</v>
      </c>
      <c r="AL2101" t="s">
        <v>320</v>
      </c>
      <c r="AM2101" t="s">
        <v>218</v>
      </c>
      <c r="AN2101" t="s">
        <v>219</v>
      </c>
    </row>
    <row r="2102" spans="37:40" x14ac:dyDescent="0.25">
      <c r="AK2102" s="32" t="s">
        <v>49</v>
      </c>
      <c r="AL2102" t="s">
        <v>320</v>
      </c>
      <c r="AM2102" t="s">
        <v>224</v>
      </c>
      <c r="AN2102" t="s">
        <v>225</v>
      </c>
    </row>
    <row r="2103" spans="37:40" x14ac:dyDescent="0.25">
      <c r="AK2103" s="32" t="s">
        <v>49</v>
      </c>
      <c r="AL2103" t="s">
        <v>320</v>
      </c>
      <c r="AM2103" t="s">
        <v>228</v>
      </c>
      <c r="AN2103" t="s">
        <v>229</v>
      </c>
    </row>
    <row r="2104" spans="37:40" x14ac:dyDescent="0.25">
      <c r="AK2104" s="32" t="s">
        <v>49</v>
      </c>
      <c r="AL2104" t="s">
        <v>320</v>
      </c>
      <c r="AM2104" t="s">
        <v>232</v>
      </c>
      <c r="AN2104" t="s">
        <v>233</v>
      </c>
    </row>
    <row r="2105" spans="37:40" x14ac:dyDescent="0.25">
      <c r="AK2105" s="32" t="s">
        <v>49</v>
      </c>
      <c r="AL2105" t="s">
        <v>320</v>
      </c>
      <c r="AM2105" t="s">
        <v>237</v>
      </c>
      <c r="AN2105" t="s">
        <v>238</v>
      </c>
    </row>
    <row r="2106" spans="37:40" x14ac:dyDescent="0.25">
      <c r="AK2106" s="32" t="s">
        <v>49</v>
      </c>
      <c r="AL2106" t="s">
        <v>320</v>
      </c>
      <c r="AM2106" t="s">
        <v>242</v>
      </c>
      <c r="AN2106" t="s">
        <v>243</v>
      </c>
    </row>
    <row r="2107" spans="37:40" x14ac:dyDescent="0.25">
      <c r="AK2107" s="32" t="s">
        <v>49</v>
      </c>
      <c r="AL2107" t="s">
        <v>320</v>
      </c>
      <c r="AM2107" t="s">
        <v>247</v>
      </c>
      <c r="AN2107" t="s">
        <v>248</v>
      </c>
    </row>
    <row r="2108" spans="37:40" x14ac:dyDescent="0.25">
      <c r="AK2108" s="32" t="s">
        <v>49</v>
      </c>
      <c r="AL2108" t="s">
        <v>320</v>
      </c>
      <c r="AM2108" t="s">
        <v>251</v>
      </c>
      <c r="AN2108" t="s">
        <v>252</v>
      </c>
    </row>
    <row r="2109" spans="37:40" x14ac:dyDescent="0.25">
      <c r="AK2109" s="32" t="s">
        <v>49</v>
      </c>
      <c r="AL2109" t="s">
        <v>320</v>
      </c>
      <c r="AM2109" t="s">
        <v>255</v>
      </c>
      <c r="AN2109" t="s">
        <v>256</v>
      </c>
    </row>
    <row r="2110" spans="37:40" x14ac:dyDescent="0.25">
      <c r="AK2110" s="32" t="s">
        <v>49</v>
      </c>
      <c r="AL2110" t="s">
        <v>320</v>
      </c>
      <c r="AM2110" t="s">
        <v>259</v>
      </c>
      <c r="AN2110" t="s">
        <v>260</v>
      </c>
    </row>
    <row r="2111" spans="37:40" x14ac:dyDescent="0.25">
      <c r="AK2111" s="32" t="s">
        <v>49</v>
      </c>
      <c r="AL2111" t="s">
        <v>320</v>
      </c>
      <c r="AM2111" t="s">
        <v>263</v>
      </c>
      <c r="AN2111" t="s">
        <v>264</v>
      </c>
    </row>
    <row r="2112" spans="37:40" x14ac:dyDescent="0.25">
      <c r="AK2112" s="32" t="s">
        <v>49</v>
      </c>
      <c r="AL2112" t="s">
        <v>320</v>
      </c>
      <c r="AM2112" t="s">
        <v>267</v>
      </c>
      <c r="AN2112" t="s">
        <v>268</v>
      </c>
    </row>
    <row r="2113" spans="37:40" x14ac:dyDescent="0.25">
      <c r="AK2113" s="32" t="s">
        <v>49</v>
      </c>
      <c r="AL2113" t="s">
        <v>320</v>
      </c>
      <c r="AM2113" t="s">
        <v>271</v>
      </c>
      <c r="AN2113" t="s">
        <v>272</v>
      </c>
    </row>
    <row r="2114" spans="37:40" x14ac:dyDescent="0.25">
      <c r="AK2114" s="32" t="s">
        <v>49</v>
      </c>
      <c r="AL2114" t="s">
        <v>320</v>
      </c>
      <c r="AM2114" t="s">
        <v>274</v>
      </c>
      <c r="AN2114" t="s">
        <v>275</v>
      </c>
    </row>
    <row r="2115" spans="37:40" x14ac:dyDescent="0.25">
      <c r="AK2115" s="32" t="s">
        <v>49</v>
      </c>
      <c r="AL2115" t="s">
        <v>320</v>
      </c>
      <c r="AM2115" t="s">
        <v>277</v>
      </c>
      <c r="AN2115" t="s">
        <v>278</v>
      </c>
    </row>
    <row r="2116" spans="37:40" x14ac:dyDescent="0.25">
      <c r="AK2116" s="32" t="s">
        <v>49</v>
      </c>
      <c r="AL2116" t="s">
        <v>320</v>
      </c>
      <c r="AM2116" t="s">
        <v>281</v>
      </c>
      <c r="AN2116" t="s">
        <v>282</v>
      </c>
    </row>
    <row r="2117" spans="37:40" x14ac:dyDescent="0.25">
      <c r="AK2117" s="32" t="s">
        <v>49</v>
      </c>
      <c r="AL2117" t="s">
        <v>320</v>
      </c>
      <c r="AM2117" t="s">
        <v>285</v>
      </c>
      <c r="AN2117" t="s">
        <v>286</v>
      </c>
    </row>
    <row r="2118" spans="37:40" x14ac:dyDescent="0.25">
      <c r="AK2118" s="32" t="s">
        <v>49</v>
      </c>
      <c r="AL2118" t="s">
        <v>320</v>
      </c>
      <c r="AM2118" t="s">
        <v>288</v>
      </c>
      <c r="AN2118" t="s">
        <v>289</v>
      </c>
    </row>
    <row r="2119" spans="37:40" x14ac:dyDescent="0.25">
      <c r="AK2119" s="32" t="s">
        <v>49</v>
      </c>
      <c r="AL2119" t="s">
        <v>320</v>
      </c>
      <c r="AM2119" t="s">
        <v>292</v>
      </c>
      <c r="AN2119" t="s">
        <v>293</v>
      </c>
    </row>
    <row r="2120" spans="37:40" x14ac:dyDescent="0.25">
      <c r="AK2120" s="32" t="s">
        <v>49</v>
      </c>
      <c r="AL2120" t="s">
        <v>320</v>
      </c>
      <c r="AM2120" t="s">
        <v>297</v>
      </c>
      <c r="AN2120" t="s">
        <v>298</v>
      </c>
    </row>
    <row r="2121" spans="37:40" x14ac:dyDescent="0.25">
      <c r="AK2121" s="32" t="s">
        <v>49</v>
      </c>
      <c r="AL2121" t="s">
        <v>320</v>
      </c>
      <c r="AM2121" t="s">
        <v>302</v>
      </c>
      <c r="AN2121" t="s">
        <v>303</v>
      </c>
    </row>
    <row r="2122" spans="37:40" x14ac:dyDescent="0.25">
      <c r="AK2122" s="32" t="s">
        <v>49</v>
      </c>
      <c r="AL2122" t="s">
        <v>320</v>
      </c>
      <c r="AM2122" t="s">
        <v>306</v>
      </c>
      <c r="AN2122" t="s">
        <v>307</v>
      </c>
    </row>
    <row r="2123" spans="37:40" x14ac:dyDescent="0.25">
      <c r="AK2123" s="32" t="s">
        <v>49</v>
      </c>
      <c r="AL2123" t="s">
        <v>320</v>
      </c>
      <c r="AM2123" t="s">
        <v>310</v>
      </c>
      <c r="AN2123" t="s">
        <v>311</v>
      </c>
    </row>
    <row r="2124" spans="37:40" x14ac:dyDescent="0.25">
      <c r="AK2124" s="32" t="s">
        <v>49</v>
      </c>
      <c r="AL2124" t="s">
        <v>320</v>
      </c>
      <c r="AM2124" t="s">
        <v>314</v>
      </c>
      <c r="AN2124" t="s">
        <v>315</v>
      </c>
    </row>
    <row r="2125" spans="37:40" x14ac:dyDescent="0.25">
      <c r="AK2125" s="32" t="s">
        <v>49</v>
      </c>
      <c r="AL2125" t="s">
        <v>320</v>
      </c>
      <c r="AM2125" t="s">
        <v>318</v>
      </c>
      <c r="AN2125" t="s">
        <v>319</v>
      </c>
    </row>
    <row r="2126" spans="37:40" x14ac:dyDescent="0.25">
      <c r="AK2126" s="32" t="s">
        <v>49</v>
      </c>
      <c r="AL2126" t="s">
        <v>320</v>
      </c>
      <c r="AM2126" t="s">
        <v>321</v>
      </c>
      <c r="AN2126" t="s">
        <v>322</v>
      </c>
    </row>
    <row r="2127" spans="37:40" x14ac:dyDescent="0.25">
      <c r="AK2127" s="32" t="s">
        <v>49</v>
      </c>
      <c r="AL2127" t="s">
        <v>320</v>
      </c>
      <c r="AM2127" t="s">
        <v>325</v>
      </c>
      <c r="AN2127" t="s">
        <v>326</v>
      </c>
    </row>
    <row r="2128" spans="37:40" x14ac:dyDescent="0.25">
      <c r="AK2128" s="32" t="s">
        <v>49</v>
      </c>
      <c r="AL2128" t="s">
        <v>320</v>
      </c>
      <c r="AM2128" t="s">
        <v>327</v>
      </c>
      <c r="AN2128" t="s">
        <v>328</v>
      </c>
    </row>
    <row r="2129" spans="37:40" x14ac:dyDescent="0.25">
      <c r="AK2129" s="32" t="s">
        <v>49</v>
      </c>
      <c r="AL2129" t="s">
        <v>320</v>
      </c>
      <c r="AM2129" t="s">
        <v>329</v>
      </c>
      <c r="AN2129" t="s">
        <v>330</v>
      </c>
    </row>
    <row r="2130" spans="37:40" x14ac:dyDescent="0.25">
      <c r="AK2130" s="32" t="s">
        <v>49</v>
      </c>
      <c r="AL2130" t="s">
        <v>320</v>
      </c>
      <c r="AM2130" t="s">
        <v>331</v>
      </c>
      <c r="AN2130" t="s">
        <v>332</v>
      </c>
    </row>
    <row r="2131" spans="37:40" x14ac:dyDescent="0.25">
      <c r="AK2131" s="32" t="s">
        <v>49</v>
      </c>
      <c r="AL2131" t="s">
        <v>320</v>
      </c>
      <c r="AM2131" t="s">
        <v>333</v>
      </c>
      <c r="AN2131" t="s">
        <v>334</v>
      </c>
    </row>
    <row r="2132" spans="37:40" x14ac:dyDescent="0.25">
      <c r="AK2132" s="32" t="s">
        <v>49</v>
      </c>
      <c r="AL2132" t="s">
        <v>320</v>
      </c>
      <c r="AM2132" t="s">
        <v>335</v>
      </c>
      <c r="AN2132" t="s">
        <v>336</v>
      </c>
    </row>
    <row r="2133" spans="37:40" x14ac:dyDescent="0.25">
      <c r="AK2133" s="32" t="s">
        <v>49</v>
      </c>
      <c r="AL2133" t="s">
        <v>320</v>
      </c>
      <c r="AM2133" t="s">
        <v>337</v>
      </c>
      <c r="AN2133" t="s">
        <v>338</v>
      </c>
    </row>
    <row r="2134" spans="37:40" x14ac:dyDescent="0.25">
      <c r="AK2134" s="32" t="s">
        <v>49</v>
      </c>
      <c r="AL2134" t="s">
        <v>320</v>
      </c>
      <c r="AM2134" t="s">
        <v>340</v>
      </c>
      <c r="AN2134" t="s">
        <v>341</v>
      </c>
    </row>
    <row r="2135" spans="37:40" x14ac:dyDescent="0.25">
      <c r="AK2135" s="32" t="s">
        <v>49</v>
      </c>
      <c r="AL2135" t="s">
        <v>320</v>
      </c>
      <c r="AM2135" t="s">
        <v>342</v>
      </c>
      <c r="AN2135" t="s">
        <v>343</v>
      </c>
    </row>
    <row r="2136" spans="37:40" x14ac:dyDescent="0.25">
      <c r="AK2136" s="32" t="s">
        <v>49</v>
      </c>
      <c r="AL2136" t="s">
        <v>320</v>
      </c>
      <c r="AM2136" t="s">
        <v>344</v>
      </c>
      <c r="AN2136" t="s">
        <v>345</v>
      </c>
    </row>
    <row r="2137" spans="37:40" x14ac:dyDescent="0.25">
      <c r="AK2137" s="32" t="s">
        <v>49</v>
      </c>
      <c r="AL2137" t="s">
        <v>320</v>
      </c>
      <c r="AM2137" t="s">
        <v>346</v>
      </c>
      <c r="AN2137" t="s">
        <v>347</v>
      </c>
    </row>
    <row r="2138" spans="37:40" x14ac:dyDescent="0.25">
      <c r="AK2138" s="32" t="s">
        <v>49</v>
      </c>
      <c r="AL2138" t="s">
        <v>320</v>
      </c>
      <c r="AM2138" t="s">
        <v>348</v>
      </c>
      <c r="AN2138" t="s">
        <v>349</v>
      </c>
    </row>
    <row r="2139" spans="37:40" x14ac:dyDescent="0.25">
      <c r="AK2139" s="32" t="s">
        <v>49</v>
      </c>
      <c r="AL2139" t="s">
        <v>320</v>
      </c>
      <c r="AM2139" t="s">
        <v>350</v>
      </c>
      <c r="AN2139" t="s">
        <v>351</v>
      </c>
    </row>
    <row r="2140" spans="37:40" x14ac:dyDescent="0.25">
      <c r="AK2140" s="32" t="s">
        <v>49</v>
      </c>
      <c r="AL2140" t="s">
        <v>320</v>
      </c>
      <c r="AM2140" t="s">
        <v>352</v>
      </c>
      <c r="AN2140" t="s">
        <v>353</v>
      </c>
    </row>
    <row r="2141" spans="37:40" x14ac:dyDescent="0.25">
      <c r="AK2141" s="32" t="s">
        <v>49</v>
      </c>
      <c r="AL2141" t="s">
        <v>320</v>
      </c>
      <c r="AM2141" t="s">
        <v>354</v>
      </c>
      <c r="AN2141" t="s">
        <v>355</v>
      </c>
    </row>
    <row r="2142" spans="37:40" x14ac:dyDescent="0.25">
      <c r="AK2142" s="32" t="s">
        <v>49</v>
      </c>
      <c r="AL2142" t="s">
        <v>320</v>
      </c>
      <c r="AM2142" t="s">
        <v>356</v>
      </c>
      <c r="AN2142" t="s">
        <v>357</v>
      </c>
    </row>
    <row r="2143" spans="37:40" x14ac:dyDescent="0.25">
      <c r="AK2143" s="32" t="s">
        <v>49</v>
      </c>
      <c r="AL2143" t="s">
        <v>320</v>
      </c>
      <c r="AM2143" t="s">
        <v>358</v>
      </c>
      <c r="AN2143" t="s">
        <v>359</v>
      </c>
    </row>
    <row r="2144" spans="37:40" x14ac:dyDescent="0.25">
      <c r="AK2144" s="32" t="s">
        <v>49</v>
      </c>
      <c r="AL2144" t="s">
        <v>320</v>
      </c>
      <c r="AM2144" t="s">
        <v>360</v>
      </c>
      <c r="AN2144" t="s">
        <v>361</v>
      </c>
    </row>
    <row r="2145" spans="37:40" x14ac:dyDescent="0.25">
      <c r="AK2145" s="32" t="s">
        <v>49</v>
      </c>
      <c r="AL2145" t="s">
        <v>320</v>
      </c>
      <c r="AM2145" t="s">
        <v>362</v>
      </c>
      <c r="AN2145" t="s">
        <v>363</v>
      </c>
    </row>
    <row r="2146" spans="37:40" x14ac:dyDescent="0.25">
      <c r="AK2146" s="32" t="s">
        <v>49</v>
      </c>
      <c r="AL2146" t="s">
        <v>320</v>
      </c>
      <c r="AM2146" t="s">
        <v>364</v>
      </c>
      <c r="AN2146" t="s">
        <v>365</v>
      </c>
    </row>
    <row r="2147" spans="37:40" x14ac:dyDescent="0.25">
      <c r="AK2147" s="32" t="s">
        <v>49</v>
      </c>
      <c r="AL2147" t="s">
        <v>320</v>
      </c>
      <c r="AM2147" t="s">
        <v>366</v>
      </c>
      <c r="AN2147" t="s">
        <v>367</v>
      </c>
    </row>
    <row r="2148" spans="37:40" x14ac:dyDescent="0.25">
      <c r="AK2148" s="32" t="s">
        <v>49</v>
      </c>
      <c r="AL2148" t="s">
        <v>320</v>
      </c>
      <c r="AM2148" t="s">
        <v>368</v>
      </c>
      <c r="AN2148" t="s">
        <v>369</v>
      </c>
    </row>
    <row r="2149" spans="37:40" x14ac:dyDescent="0.25">
      <c r="AK2149" s="32" t="s">
        <v>49</v>
      </c>
      <c r="AL2149" t="s">
        <v>320</v>
      </c>
      <c r="AM2149" t="s">
        <v>370</v>
      </c>
      <c r="AN2149" t="s">
        <v>371</v>
      </c>
    </row>
    <row r="2152" spans="37:40" x14ac:dyDescent="0.25">
      <c r="AK2152" s="32" t="s">
        <v>49</v>
      </c>
      <c r="AL2152" t="s">
        <v>324</v>
      </c>
      <c r="AM2152" t="s">
        <v>50</v>
      </c>
      <c r="AN2152" t="s">
        <v>51</v>
      </c>
    </row>
    <row r="2153" spans="37:40" x14ac:dyDescent="0.25">
      <c r="AK2153" s="32" t="s">
        <v>49</v>
      </c>
      <c r="AL2153" t="s">
        <v>324</v>
      </c>
      <c r="AM2153" t="s">
        <v>78</v>
      </c>
      <c r="AN2153" t="s">
        <v>79</v>
      </c>
    </row>
    <row r="2154" spans="37:40" x14ac:dyDescent="0.25">
      <c r="AK2154" s="32" t="s">
        <v>49</v>
      </c>
      <c r="AL2154" t="s">
        <v>324</v>
      </c>
      <c r="AM2154" t="s">
        <v>100</v>
      </c>
      <c r="AN2154" t="s">
        <v>101</v>
      </c>
    </row>
    <row r="2155" spans="37:40" x14ac:dyDescent="0.25">
      <c r="AK2155" s="32" t="s">
        <v>49</v>
      </c>
      <c r="AL2155" t="s">
        <v>324</v>
      </c>
      <c r="AM2155" t="s">
        <v>112</v>
      </c>
      <c r="AN2155" t="s">
        <v>113</v>
      </c>
    </row>
    <row r="2156" spans="37:40" x14ac:dyDescent="0.25">
      <c r="AK2156" s="32" t="s">
        <v>49</v>
      </c>
      <c r="AL2156" t="s">
        <v>324</v>
      </c>
      <c r="AM2156" t="s">
        <v>127</v>
      </c>
      <c r="AN2156" t="s">
        <v>128</v>
      </c>
    </row>
    <row r="2157" spans="37:40" x14ac:dyDescent="0.25">
      <c r="AK2157" s="32" t="s">
        <v>49</v>
      </c>
      <c r="AL2157" t="s">
        <v>324</v>
      </c>
      <c r="AM2157" t="s">
        <v>140</v>
      </c>
      <c r="AN2157" t="s">
        <v>141</v>
      </c>
    </row>
    <row r="2158" spans="37:40" x14ac:dyDescent="0.25">
      <c r="AK2158" s="32" t="s">
        <v>49</v>
      </c>
      <c r="AL2158" t="s">
        <v>324</v>
      </c>
      <c r="AM2158" t="s">
        <v>152</v>
      </c>
      <c r="AN2158" t="s">
        <v>153</v>
      </c>
    </row>
    <row r="2159" spans="37:40" x14ac:dyDescent="0.25">
      <c r="AK2159" s="32" t="s">
        <v>49</v>
      </c>
      <c r="AL2159" t="s">
        <v>324</v>
      </c>
      <c r="AM2159" t="s">
        <v>164</v>
      </c>
      <c r="AN2159" t="s">
        <v>165</v>
      </c>
    </row>
    <row r="2160" spans="37:40" x14ac:dyDescent="0.25">
      <c r="AK2160" s="32" t="s">
        <v>49</v>
      </c>
      <c r="AL2160" t="s">
        <v>324</v>
      </c>
      <c r="AM2160" t="s">
        <v>179</v>
      </c>
      <c r="AN2160" t="s">
        <v>180</v>
      </c>
    </row>
    <row r="2161" spans="37:40" x14ac:dyDescent="0.25">
      <c r="AK2161" s="32" t="s">
        <v>49</v>
      </c>
      <c r="AL2161" t="s">
        <v>324</v>
      </c>
      <c r="AM2161" t="s">
        <v>193</v>
      </c>
      <c r="AN2161" t="s">
        <v>194</v>
      </c>
    </row>
    <row r="2162" spans="37:40" x14ac:dyDescent="0.25">
      <c r="AK2162" s="32" t="s">
        <v>49</v>
      </c>
      <c r="AL2162" t="s">
        <v>324</v>
      </c>
      <c r="AM2162" t="s">
        <v>206</v>
      </c>
      <c r="AN2162" t="s">
        <v>207</v>
      </c>
    </row>
    <row r="2163" spans="37:40" x14ac:dyDescent="0.25">
      <c r="AK2163" s="32" t="s">
        <v>49</v>
      </c>
      <c r="AL2163" t="s">
        <v>324</v>
      </c>
      <c r="AM2163" t="s">
        <v>218</v>
      </c>
      <c r="AN2163" t="s">
        <v>219</v>
      </c>
    </row>
    <row r="2164" spans="37:40" x14ac:dyDescent="0.25">
      <c r="AK2164" s="32" t="s">
        <v>49</v>
      </c>
      <c r="AL2164" t="s">
        <v>324</v>
      </c>
      <c r="AM2164" t="s">
        <v>224</v>
      </c>
      <c r="AN2164" t="s">
        <v>225</v>
      </c>
    </row>
    <row r="2165" spans="37:40" x14ac:dyDescent="0.25">
      <c r="AK2165" s="32" t="s">
        <v>49</v>
      </c>
      <c r="AL2165" t="s">
        <v>324</v>
      </c>
      <c r="AM2165" t="s">
        <v>228</v>
      </c>
      <c r="AN2165" t="s">
        <v>229</v>
      </c>
    </row>
    <row r="2166" spans="37:40" x14ac:dyDescent="0.25">
      <c r="AK2166" s="32" t="s">
        <v>49</v>
      </c>
      <c r="AL2166" t="s">
        <v>324</v>
      </c>
      <c r="AM2166" t="s">
        <v>232</v>
      </c>
      <c r="AN2166" t="s">
        <v>233</v>
      </c>
    </row>
    <row r="2167" spans="37:40" x14ac:dyDescent="0.25">
      <c r="AK2167" s="32" t="s">
        <v>49</v>
      </c>
      <c r="AL2167" t="s">
        <v>324</v>
      </c>
      <c r="AM2167" t="s">
        <v>237</v>
      </c>
      <c r="AN2167" t="s">
        <v>238</v>
      </c>
    </row>
    <row r="2168" spans="37:40" x14ac:dyDescent="0.25">
      <c r="AK2168" s="32" t="s">
        <v>49</v>
      </c>
      <c r="AL2168" t="s">
        <v>324</v>
      </c>
      <c r="AM2168" t="s">
        <v>242</v>
      </c>
      <c r="AN2168" t="s">
        <v>243</v>
      </c>
    </row>
    <row r="2169" spans="37:40" x14ac:dyDescent="0.25">
      <c r="AK2169" s="32" t="s">
        <v>49</v>
      </c>
      <c r="AL2169" t="s">
        <v>324</v>
      </c>
      <c r="AM2169" t="s">
        <v>247</v>
      </c>
      <c r="AN2169" t="s">
        <v>248</v>
      </c>
    </row>
    <row r="2170" spans="37:40" x14ac:dyDescent="0.25">
      <c r="AK2170" s="32" t="s">
        <v>49</v>
      </c>
      <c r="AL2170" t="s">
        <v>324</v>
      </c>
      <c r="AM2170" t="s">
        <v>251</v>
      </c>
      <c r="AN2170" t="s">
        <v>252</v>
      </c>
    </row>
    <row r="2171" spans="37:40" x14ac:dyDescent="0.25">
      <c r="AK2171" s="32" t="s">
        <v>49</v>
      </c>
      <c r="AL2171" t="s">
        <v>324</v>
      </c>
      <c r="AM2171" t="s">
        <v>255</v>
      </c>
      <c r="AN2171" t="s">
        <v>256</v>
      </c>
    </row>
    <row r="2172" spans="37:40" x14ac:dyDescent="0.25">
      <c r="AK2172" s="32" t="s">
        <v>49</v>
      </c>
      <c r="AL2172" t="s">
        <v>324</v>
      </c>
      <c r="AM2172" t="s">
        <v>259</v>
      </c>
      <c r="AN2172" t="s">
        <v>260</v>
      </c>
    </row>
    <row r="2173" spans="37:40" x14ac:dyDescent="0.25">
      <c r="AK2173" s="32" t="s">
        <v>49</v>
      </c>
      <c r="AL2173" t="s">
        <v>324</v>
      </c>
      <c r="AM2173" t="s">
        <v>263</v>
      </c>
      <c r="AN2173" t="s">
        <v>264</v>
      </c>
    </row>
    <row r="2174" spans="37:40" x14ac:dyDescent="0.25">
      <c r="AK2174" s="32" t="s">
        <v>49</v>
      </c>
      <c r="AL2174" t="s">
        <v>324</v>
      </c>
      <c r="AM2174" t="s">
        <v>267</v>
      </c>
      <c r="AN2174" t="s">
        <v>268</v>
      </c>
    </row>
    <row r="2175" spans="37:40" x14ac:dyDescent="0.25">
      <c r="AK2175" s="32" t="s">
        <v>49</v>
      </c>
      <c r="AL2175" t="s">
        <v>324</v>
      </c>
      <c r="AM2175" t="s">
        <v>271</v>
      </c>
      <c r="AN2175" t="s">
        <v>272</v>
      </c>
    </row>
    <row r="2176" spans="37:40" x14ac:dyDescent="0.25">
      <c r="AK2176" s="32" t="s">
        <v>49</v>
      </c>
      <c r="AL2176" t="s">
        <v>324</v>
      </c>
      <c r="AM2176" t="s">
        <v>274</v>
      </c>
      <c r="AN2176" t="s">
        <v>275</v>
      </c>
    </row>
    <row r="2177" spans="37:40" x14ac:dyDescent="0.25">
      <c r="AK2177" s="32" t="s">
        <v>49</v>
      </c>
      <c r="AL2177" t="s">
        <v>324</v>
      </c>
      <c r="AM2177" t="s">
        <v>277</v>
      </c>
      <c r="AN2177" t="s">
        <v>278</v>
      </c>
    </row>
    <row r="2178" spans="37:40" x14ac:dyDescent="0.25">
      <c r="AK2178" s="32" t="s">
        <v>49</v>
      </c>
      <c r="AL2178" t="s">
        <v>324</v>
      </c>
      <c r="AM2178" t="s">
        <v>281</v>
      </c>
      <c r="AN2178" t="s">
        <v>282</v>
      </c>
    </row>
    <row r="2179" spans="37:40" x14ac:dyDescent="0.25">
      <c r="AK2179" s="32" t="s">
        <v>49</v>
      </c>
      <c r="AL2179" t="s">
        <v>324</v>
      </c>
      <c r="AM2179" t="s">
        <v>285</v>
      </c>
      <c r="AN2179" t="s">
        <v>286</v>
      </c>
    </row>
    <row r="2180" spans="37:40" x14ac:dyDescent="0.25">
      <c r="AK2180" s="32" t="s">
        <v>49</v>
      </c>
      <c r="AL2180" t="s">
        <v>324</v>
      </c>
      <c r="AM2180" t="s">
        <v>288</v>
      </c>
      <c r="AN2180" t="s">
        <v>289</v>
      </c>
    </row>
    <row r="2181" spans="37:40" x14ac:dyDescent="0.25">
      <c r="AK2181" s="32" t="s">
        <v>49</v>
      </c>
      <c r="AL2181" t="s">
        <v>324</v>
      </c>
      <c r="AM2181" t="s">
        <v>292</v>
      </c>
      <c r="AN2181" t="s">
        <v>293</v>
      </c>
    </row>
    <row r="2182" spans="37:40" x14ac:dyDescent="0.25">
      <c r="AK2182" s="32" t="s">
        <v>49</v>
      </c>
      <c r="AL2182" t="s">
        <v>324</v>
      </c>
      <c r="AM2182" t="s">
        <v>297</v>
      </c>
      <c r="AN2182" t="s">
        <v>298</v>
      </c>
    </row>
    <row r="2183" spans="37:40" x14ac:dyDescent="0.25">
      <c r="AK2183" s="32" t="s">
        <v>49</v>
      </c>
      <c r="AL2183" t="s">
        <v>324</v>
      </c>
      <c r="AM2183" t="s">
        <v>302</v>
      </c>
      <c r="AN2183" t="s">
        <v>303</v>
      </c>
    </row>
    <row r="2184" spans="37:40" x14ac:dyDescent="0.25">
      <c r="AK2184" s="32" t="s">
        <v>49</v>
      </c>
      <c r="AL2184" t="s">
        <v>324</v>
      </c>
      <c r="AM2184" t="s">
        <v>306</v>
      </c>
      <c r="AN2184" t="s">
        <v>307</v>
      </c>
    </row>
    <row r="2185" spans="37:40" x14ac:dyDescent="0.25">
      <c r="AK2185" s="32" t="s">
        <v>49</v>
      </c>
      <c r="AL2185" t="s">
        <v>324</v>
      </c>
      <c r="AM2185" t="s">
        <v>310</v>
      </c>
      <c r="AN2185" t="s">
        <v>311</v>
      </c>
    </row>
    <row r="2186" spans="37:40" x14ac:dyDescent="0.25">
      <c r="AK2186" s="32" t="s">
        <v>49</v>
      </c>
      <c r="AL2186" t="s">
        <v>324</v>
      </c>
      <c r="AM2186" t="s">
        <v>314</v>
      </c>
      <c r="AN2186" t="s">
        <v>315</v>
      </c>
    </row>
    <row r="2187" spans="37:40" x14ac:dyDescent="0.25">
      <c r="AK2187" s="32" t="s">
        <v>49</v>
      </c>
      <c r="AL2187" t="s">
        <v>324</v>
      </c>
      <c r="AM2187" t="s">
        <v>318</v>
      </c>
      <c r="AN2187" t="s">
        <v>319</v>
      </c>
    </row>
    <row r="2188" spans="37:40" x14ac:dyDescent="0.25">
      <c r="AK2188" s="32" t="s">
        <v>49</v>
      </c>
      <c r="AL2188" t="s">
        <v>324</v>
      </c>
      <c r="AM2188" t="s">
        <v>321</v>
      </c>
      <c r="AN2188" t="s">
        <v>322</v>
      </c>
    </row>
    <row r="2189" spans="37:40" x14ac:dyDescent="0.25">
      <c r="AK2189" s="32" t="s">
        <v>49</v>
      </c>
      <c r="AL2189" t="s">
        <v>324</v>
      </c>
      <c r="AM2189" t="s">
        <v>325</v>
      </c>
      <c r="AN2189" t="s">
        <v>326</v>
      </c>
    </row>
    <row r="2190" spans="37:40" x14ac:dyDescent="0.25">
      <c r="AK2190" s="32" t="s">
        <v>49</v>
      </c>
      <c r="AL2190" t="s">
        <v>324</v>
      </c>
      <c r="AM2190" t="s">
        <v>327</v>
      </c>
      <c r="AN2190" t="s">
        <v>328</v>
      </c>
    </row>
    <row r="2191" spans="37:40" x14ac:dyDescent="0.25">
      <c r="AK2191" s="32" t="s">
        <v>49</v>
      </c>
      <c r="AL2191" t="s">
        <v>324</v>
      </c>
      <c r="AM2191" t="s">
        <v>329</v>
      </c>
      <c r="AN2191" t="s">
        <v>330</v>
      </c>
    </row>
    <row r="2192" spans="37:40" x14ac:dyDescent="0.25">
      <c r="AK2192" s="32" t="s">
        <v>49</v>
      </c>
      <c r="AL2192" t="s">
        <v>324</v>
      </c>
      <c r="AM2192" t="s">
        <v>331</v>
      </c>
      <c r="AN2192" t="s">
        <v>332</v>
      </c>
    </row>
    <row r="2193" spans="37:40" x14ac:dyDescent="0.25">
      <c r="AK2193" s="32" t="s">
        <v>49</v>
      </c>
      <c r="AL2193" t="s">
        <v>324</v>
      </c>
      <c r="AM2193" t="s">
        <v>333</v>
      </c>
      <c r="AN2193" t="s">
        <v>334</v>
      </c>
    </row>
    <row r="2194" spans="37:40" x14ac:dyDescent="0.25">
      <c r="AK2194" s="32" t="s">
        <v>49</v>
      </c>
      <c r="AL2194" t="s">
        <v>324</v>
      </c>
      <c r="AM2194" t="s">
        <v>335</v>
      </c>
      <c r="AN2194" t="s">
        <v>336</v>
      </c>
    </row>
    <row r="2195" spans="37:40" x14ac:dyDescent="0.25">
      <c r="AK2195" s="32" t="s">
        <v>49</v>
      </c>
      <c r="AL2195" t="s">
        <v>324</v>
      </c>
      <c r="AM2195" t="s">
        <v>337</v>
      </c>
      <c r="AN2195" t="s">
        <v>338</v>
      </c>
    </row>
    <row r="2196" spans="37:40" x14ac:dyDescent="0.25">
      <c r="AK2196" s="32" t="s">
        <v>49</v>
      </c>
      <c r="AL2196" t="s">
        <v>324</v>
      </c>
      <c r="AM2196" t="s">
        <v>340</v>
      </c>
      <c r="AN2196" t="s">
        <v>341</v>
      </c>
    </row>
    <row r="2197" spans="37:40" x14ac:dyDescent="0.25">
      <c r="AK2197" s="32" t="s">
        <v>49</v>
      </c>
      <c r="AL2197" t="s">
        <v>324</v>
      </c>
      <c r="AM2197" t="s">
        <v>342</v>
      </c>
      <c r="AN2197" t="s">
        <v>343</v>
      </c>
    </row>
    <row r="2198" spans="37:40" x14ac:dyDescent="0.25">
      <c r="AK2198" s="32" t="s">
        <v>49</v>
      </c>
      <c r="AL2198" t="s">
        <v>324</v>
      </c>
      <c r="AM2198" t="s">
        <v>344</v>
      </c>
      <c r="AN2198" t="s">
        <v>345</v>
      </c>
    </row>
    <row r="2199" spans="37:40" x14ac:dyDescent="0.25">
      <c r="AK2199" s="32" t="s">
        <v>49</v>
      </c>
      <c r="AL2199" t="s">
        <v>324</v>
      </c>
      <c r="AM2199" t="s">
        <v>346</v>
      </c>
      <c r="AN2199" t="s">
        <v>347</v>
      </c>
    </row>
    <row r="2200" spans="37:40" x14ac:dyDescent="0.25">
      <c r="AK2200" s="32" t="s">
        <v>49</v>
      </c>
      <c r="AL2200" t="s">
        <v>324</v>
      </c>
      <c r="AM2200" t="s">
        <v>348</v>
      </c>
      <c r="AN2200" t="s">
        <v>349</v>
      </c>
    </row>
    <row r="2201" spans="37:40" x14ac:dyDescent="0.25">
      <c r="AK2201" s="32" t="s">
        <v>49</v>
      </c>
      <c r="AL2201" t="s">
        <v>324</v>
      </c>
      <c r="AM2201" t="s">
        <v>350</v>
      </c>
      <c r="AN2201" t="s">
        <v>351</v>
      </c>
    </row>
    <row r="2202" spans="37:40" x14ac:dyDescent="0.25">
      <c r="AK2202" s="32" t="s">
        <v>49</v>
      </c>
      <c r="AL2202" t="s">
        <v>324</v>
      </c>
      <c r="AM2202" t="s">
        <v>352</v>
      </c>
      <c r="AN2202" t="s">
        <v>353</v>
      </c>
    </row>
    <row r="2203" spans="37:40" x14ac:dyDescent="0.25">
      <c r="AK2203" s="32" t="s">
        <v>49</v>
      </c>
      <c r="AL2203" t="s">
        <v>324</v>
      </c>
      <c r="AM2203" t="s">
        <v>354</v>
      </c>
      <c r="AN2203" t="s">
        <v>355</v>
      </c>
    </row>
    <row r="2204" spans="37:40" x14ac:dyDescent="0.25">
      <c r="AK2204" s="32" t="s">
        <v>49</v>
      </c>
      <c r="AL2204" t="s">
        <v>324</v>
      </c>
      <c r="AM2204" t="s">
        <v>356</v>
      </c>
      <c r="AN2204" t="s">
        <v>357</v>
      </c>
    </row>
    <row r="2205" spans="37:40" x14ac:dyDescent="0.25">
      <c r="AK2205" s="32" t="s">
        <v>49</v>
      </c>
      <c r="AL2205" t="s">
        <v>324</v>
      </c>
      <c r="AM2205" t="s">
        <v>358</v>
      </c>
      <c r="AN2205" t="s">
        <v>359</v>
      </c>
    </row>
    <row r="2206" spans="37:40" x14ac:dyDescent="0.25">
      <c r="AK2206" s="32" t="s">
        <v>49</v>
      </c>
      <c r="AL2206" t="s">
        <v>324</v>
      </c>
      <c r="AM2206" t="s">
        <v>360</v>
      </c>
      <c r="AN2206" t="s">
        <v>361</v>
      </c>
    </row>
    <row r="2207" spans="37:40" x14ac:dyDescent="0.25">
      <c r="AK2207" s="32" t="s">
        <v>49</v>
      </c>
      <c r="AL2207" t="s">
        <v>324</v>
      </c>
      <c r="AM2207" t="s">
        <v>362</v>
      </c>
      <c r="AN2207" t="s">
        <v>363</v>
      </c>
    </row>
    <row r="2208" spans="37:40" x14ac:dyDescent="0.25">
      <c r="AK2208" s="32" t="s">
        <v>49</v>
      </c>
      <c r="AL2208" t="s">
        <v>324</v>
      </c>
      <c r="AM2208" t="s">
        <v>364</v>
      </c>
      <c r="AN2208" t="s">
        <v>365</v>
      </c>
    </row>
    <row r="2209" spans="37:40" x14ac:dyDescent="0.25">
      <c r="AK2209" s="32" t="s">
        <v>49</v>
      </c>
      <c r="AL2209" t="s">
        <v>324</v>
      </c>
      <c r="AM2209" t="s">
        <v>366</v>
      </c>
      <c r="AN2209" t="s">
        <v>367</v>
      </c>
    </row>
    <row r="2210" spans="37:40" x14ac:dyDescent="0.25">
      <c r="AK2210" s="32" t="s">
        <v>49</v>
      </c>
      <c r="AL2210" t="s">
        <v>324</v>
      </c>
      <c r="AM2210" t="s">
        <v>368</v>
      </c>
      <c r="AN2210" t="s">
        <v>369</v>
      </c>
    </row>
    <row r="2211" spans="37:40" x14ac:dyDescent="0.25">
      <c r="AK2211" s="32" t="s">
        <v>49</v>
      </c>
      <c r="AL2211" t="s">
        <v>324</v>
      </c>
      <c r="AM2211" t="s">
        <v>370</v>
      </c>
      <c r="AN2211" t="s">
        <v>371</v>
      </c>
    </row>
    <row r="2220" spans="37:40" x14ac:dyDescent="0.25">
      <c r="AL2220" s="18"/>
      <c r="AM2220" s="18"/>
      <c r="AN2220" s="18"/>
    </row>
    <row r="2221" spans="37:40" x14ac:dyDescent="0.25">
      <c r="AL2221" s="18"/>
      <c r="AM2221" s="18"/>
      <c r="AN2221" s="18"/>
    </row>
    <row r="2222" spans="37:40" x14ac:dyDescent="0.25">
      <c r="AL2222" s="18"/>
      <c r="AM2222" s="18"/>
      <c r="AN2222" s="18"/>
    </row>
    <row r="2223" spans="37:40" x14ac:dyDescent="0.25">
      <c r="AL2223" s="18"/>
      <c r="AM2223" s="18"/>
      <c r="AN2223" s="18"/>
    </row>
    <row r="2224" spans="37:40" x14ac:dyDescent="0.25">
      <c r="AL2224" s="18"/>
      <c r="AM2224" s="18"/>
      <c r="AN2224" s="18"/>
    </row>
    <row r="2225" spans="38:40" x14ac:dyDescent="0.25">
      <c r="AL2225" s="18"/>
      <c r="AM2225" s="18"/>
      <c r="AN2225" s="18"/>
    </row>
    <row r="2226" spans="38:40" x14ac:dyDescent="0.25">
      <c r="AL2226" s="18"/>
      <c r="AM2226" s="18"/>
      <c r="AN2226" s="18"/>
    </row>
    <row r="2227" spans="38:40" x14ac:dyDescent="0.25">
      <c r="AL2227" s="18"/>
      <c r="AM2227" s="18"/>
      <c r="AN2227" s="18"/>
    </row>
    <row r="2228" spans="38:40" x14ac:dyDescent="0.25">
      <c r="AL2228" s="18"/>
      <c r="AM2228" s="18"/>
      <c r="AN2228" s="18"/>
    </row>
    <row r="2229" spans="38:40" x14ac:dyDescent="0.25">
      <c r="AL2229" s="18"/>
      <c r="AM2229" s="18"/>
      <c r="AN2229" s="18"/>
    </row>
    <row r="2230" spans="38:40" x14ac:dyDescent="0.25">
      <c r="AL2230" s="18"/>
      <c r="AM2230" s="18"/>
      <c r="AN2230" s="18"/>
    </row>
    <row r="2231" spans="38:40" x14ac:dyDescent="0.25">
      <c r="AL2231" s="18"/>
      <c r="AM2231" s="18"/>
      <c r="AN2231" s="18"/>
    </row>
    <row r="2232" spans="38:40" x14ac:dyDescent="0.25">
      <c r="AL2232" s="18"/>
      <c r="AM2232" s="18"/>
      <c r="AN2232" s="18"/>
    </row>
    <row r="2233" spans="38:40" x14ac:dyDescent="0.25">
      <c r="AL2233" s="18"/>
      <c r="AM2233" s="18"/>
      <c r="AN2233" s="18"/>
    </row>
    <row r="2234" spans="38:40" x14ac:dyDescent="0.25">
      <c r="AL2234" s="18"/>
      <c r="AM2234" s="18"/>
      <c r="AN2234" s="18"/>
    </row>
    <row r="2235" spans="38:40" x14ac:dyDescent="0.25">
      <c r="AL2235" s="18"/>
      <c r="AM2235" s="18"/>
      <c r="AN2235" s="18"/>
    </row>
    <row r="2236" spans="38:40" x14ac:dyDescent="0.25">
      <c r="AL2236" s="18"/>
      <c r="AM2236" s="18"/>
      <c r="AN2236" s="18"/>
    </row>
    <row r="2237" spans="38:40" x14ac:dyDescent="0.25">
      <c r="AL2237" s="18"/>
      <c r="AM2237" s="18"/>
      <c r="AN2237" s="18"/>
    </row>
    <row r="2238" spans="38:40" x14ac:dyDescent="0.25">
      <c r="AL2238" s="18"/>
      <c r="AM2238" s="18"/>
      <c r="AN2238" s="18"/>
    </row>
    <row r="2239" spans="38:40" x14ac:dyDescent="0.25">
      <c r="AL2239" s="18"/>
      <c r="AM2239" s="18"/>
      <c r="AN2239" s="18"/>
    </row>
    <row r="2240" spans="38:40" x14ac:dyDescent="0.25">
      <c r="AL2240" s="18"/>
      <c r="AM2240" s="18"/>
      <c r="AN2240" s="18"/>
    </row>
    <row r="2241" spans="38:40" x14ac:dyDescent="0.25">
      <c r="AL2241" s="18"/>
      <c r="AM2241" s="18"/>
      <c r="AN2241" s="18"/>
    </row>
    <row r="2242" spans="38:40" x14ac:dyDescent="0.25">
      <c r="AL2242" s="18"/>
      <c r="AM2242" s="18"/>
      <c r="AN2242" s="18"/>
    </row>
    <row r="2243" spans="38:40" x14ac:dyDescent="0.25">
      <c r="AL2243" s="18"/>
      <c r="AM2243" s="18"/>
      <c r="AN2243" s="18"/>
    </row>
    <row r="2244" spans="38:40" x14ac:dyDescent="0.25">
      <c r="AL2244" s="18"/>
      <c r="AM2244" s="18"/>
      <c r="AN2244" s="18"/>
    </row>
    <row r="2245" spans="38:40" x14ac:dyDescent="0.25">
      <c r="AL2245" s="18"/>
      <c r="AM2245" s="18"/>
      <c r="AN2245" s="18"/>
    </row>
    <row r="2246" spans="38:40" x14ac:dyDescent="0.25">
      <c r="AL2246" s="18"/>
      <c r="AM2246" s="18"/>
      <c r="AN2246" s="18"/>
    </row>
    <row r="2247" spans="38:40" x14ac:dyDescent="0.25">
      <c r="AL2247" s="18"/>
      <c r="AM2247" s="18"/>
      <c r="AN2247" s="18"/>
    </row>
    <row r="2248" spans="38:40" x14ac:dyDescent="0.25">
      <c r="AL2248" s="18"/>
      <c r="AM2248" s="18"/>
      <c r="AN2248" s="18"/>
    </row>
    <row r="2249" spans="38:40" x14ac:dyDescent="0.25">
      <c r="AL2249" s="18"/>
      <c r="AM2249" s="18"/>
      <c r="AN2249" s="18"/>
    </row>
    <row r="2250" spans="38:40" x14ac:dyDescent="0.25">
      <c r="AL2250" s="18"/>
      <c r="AM2250" s="18"/>
      <c r="AN2250" s="18"/>
    </row>
    <row r="2251" spans="38:40" x14ac:dyDescent="0.25">
      <c r="AL2251" s="18"/>
      <c r="AM2251" s="18"/>
      <c r="AN2251" s="18"/>
    </row>
    <row r="2252" spans="38:40" x14ac:dyDescent="0.25">
      <c r="AL2252" s="18"/>
      <c r="AM2252" s="18"/>
      <c r="AN2252" s="18"/>
    </row>
  </sheetData>
  <autoFilter ref="AK1:AN2252" xr:uid="{00000000-0009-0000-0000-000000000000}"/>
  <sortState xmlns:xlrd2="http://schemas.microsoft.com/office/spreadsheetml/2017/richdata2" ref="AE2:AE12">
    <sortCondition ref="AE2"/>
  </sortState>
  <phoneticPr fontId="9" type="noConversion"/>
  <conditionalFormatting sqref="AM1134:AM1193">
    <cfRule type="duplicat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4:D45"/>
  <sheetViews>
    <sheetView workbookViewId="0"/>
  </sheetViews>
  <sheetFormatPr defaultRowHeight="15" x14ac:dyDescent="0.25"/>
  <cols>
    <col min="2" max="2" width="39" customWidth="1"/>
    <col min="3" max="3" width="27" bestFit="1" customWidth="1"/>
    <col min="4" max="4" width="17.85546875" bestFit="1" customWidth="1"/>
    <col min="6" max="6" width="116" bestFit="1" customWidth="1"/>
    <col min="7" max="7" width="54.5703125" bestFit="1" customWidth="1"/>
    <col min="8" max="8" width="36.42578125" bestFit="1" customWidth="1"/>
    <col min="12" max="12" width="10.42578125" bestFit="1" customWidth="1"/>
    <col min="13" max="13" width="14.28515625" bestFit="1" customWidth="1"/>
    <col min="14" max="14" width="16.42578125" bestFit="1" customWidth="1"/>
    <col min="16" max="16" width="14.5703125" bestFit="1" customWidth="1"/>
    <col min="18" max="18" width="11" bestFit="1" customWidth="1"/>
    <col min="19" max="19" width="11.28515625" bestFit="1" customWidth="1"/>
    <col min="20" max="20" width="12.5703125" bestFit="1" customWidth="1"/>
  </cols>
  <sheetData>
    <row r="4" spans="2:4" x14ac:dyDescent="0.25">
      <c r="B4" s="1" t="s">
        <v>90</v>
      </c>
      <c r="C4" s="5"/>
    </row>
    <row r="5" spans="2:4" x14ac:dyDescent="0.25">
      <c r="B5" s="2" t="s">
        <v>110</v>
      </c>
      <c r="C5" s="5" t="s">
        <v>527</v>
      </c>
      <c r="D5" s="2"/>
    </row>
    <row r="6" spans="2:4" x14ac:dyDescent="0.25">
      <c r="B6" s="2" t="s">
        <v>124</v>
      </c>
      <c r="C6" s="5">
        <v>123</v>
      </c>
      <c r="D6" s="2"/>
    </row>
    <row r="7" spans="2:4" x14ac:dyDescent="0.25">
      <c r="B7" s="2" t="s">
        <v>1</v>
      </c>
      <c r="C7" s="5" t="s">
        <v>39</v>
      </c>
      <c r="D7" s="2"/>
    </row>
    <row r="8" spans="2:4" x14ac:dyDescent="0.25">
      <c r="B8" s="2" t="s">
        <v>0</v>
      </c>
      <c r="C8" s="5" t="s">
        <v>217</v>
      </c>
    </row>
    <row r="9" spans="2:4" x14ac:dyDescent="0.25">
      <c r="B9" s="2" t="s">
        <v>161</v>
      </c>
      <c r="C9" t="s">
        <v>37</v>
      </c>
    </row>
    <row r="10" spans="2:4" x14ac:dyDescent="0.25">
      <c r="B10" s="2" t="s">
        <v>174</v>
      </c>
      <c r="C10">
        <v>5000</v>
      </c>
      <c r="D10" s="6"/>
    </row>
    <row r="11" spans="2:4" x14ac:dyDescent="0.25">
      <c r="B11" s="2" t="s">
        <v>528</v>
      </c>
      <c r="C11" s="5" t="s">
        <v>40</v>
      </c>
      <c r="D11" s="6"/>
    </row>
    <row r="12" spans="2:4" x14ac:dyDescent="0.25">
      <c r="B12" s="2" t="s">
        <v>203</v>
      </c>
      <c r="C12" s="5" t="s">
        <v>204</v>
      </c>
    </row>
    <row r="13" spans="2:4" x14ac:dyDescent="0.25">
      <c r="B13" s="2" t="s">
        <v>216</v>
      </c>
      <c r="C13" s="19" t="s">
        <v>529</v>
      </c>
    </row>
    <row r="14" spans="2:4" x14ac:dyDescent="0.25">
      <c r="B14" s="2" t="s">
        <v>222</v>
      </c>
      <c r="C14" s="19" t="s">
        <v>530</v>
      </c>
    </row>
    <row r="15" spans="2:4" x14ac:dyDescent="0.25">
      <c r="C15" s="5"/>
    </row>
    <row r="16" spans="2:4" x14ac:dyDescent="0.25">
      <c r="C16" s="5"/>
    </row>
    <row r="17" spans="2:3" x14ac:dyDescent="0.25">
      <c r="B17" s="1" t="s">
        <v>235</v>
      </c>
      <c r="C17" s="5"/>
    </row>
    <row r="18" spans="2:3" x14ac:dyDescent="0.25">
      <c r="B18" s="2" t="s">
        <v>240</v>
      </c>
    </row>
    <row r="19" spans="2:3" x14ac:dyDescent="0.25">
      <c r="B19" s="2" t="s">
        <v>245</v>
      </c>
      <c r="C19" t="s">
        <v>11</v>
      </c>
    </row>
    <row r="20" spans="2:3" x14ac:dyDescent="0.25">
      <c r="B20" s="2" t="s">
        <v>249</v>
      </c>
      <c r="C20" t="s">
        <v>42</v>
      </c>
    </row>
    <row r="21" spans="2:3" x14ac:dyDescent="0.25">
      <c r="B21" s="2" t="s">
        <v>253</v>
      </c>
      <c r="C21" s="5"/>
    </row>
    <row r="22" spans="2:3" x14ac:dyDescent="0.25">
      <c r="B22" s="2" t="s">
        <v>257</v>
      </c>
      <c r="C22" s="19"/>
    </row>
    <row r="23" spans="2:3" x14ac:dyDescent="0.25">
      <c r="B23" s="2" t="s">
        <v>261</v>
      </c>
      <c r="C23" s="19"/>
    </row>
    <row r="24" spans="2:3" x14ac:dyDescent="0.25">
      <c r="B24" s="2" t="s">
        <v>265</v>
      </c>
      <c r="C24" s="19"/>
    </row>
    <row r="25" spans="2:3" x14ac:dyDescent="0.25">
      <c r="B25" s="2" t="s">
        <v>269</v>
      </c>
      <c r="C25" s="19"/>
    </row>
    <row r="26" spans="2:3" x14ac:dyDescent="0.25">
      <c r="B26" s="2" t="s">
        <v>92</v>
      </c>
      <c r="C26" t="s">
        <v>43</v>
      </c>
    </row>
    <row r="27" spans="2:3" x14ac:dyDescent="0.25">
      <c r="B27" s="2"/>
      <c r="C27" s="5"/>
    </row>
    <row r="28" spans="2:3" x14ac:dyDescent="0.25">
      <c r="B28" s="1" t="s">
        <v>235</v>
      </c>
      <c r="C28" s="5"/>
    </row>
    <row r="29" spans="2:3" x14ac:dyDescent="0.25">
      <c r="B29" s="2" t="s">
        <v>283</v>
      </c>
      <c r="C29" t="s">
        <v>11</v>
      </c>
    </row>
    <row r="30" spans="2:3" x14ac:dyDescent="0.25">
      <c r="B30" s="2" t="s">
        <v>244</v>
      </c>
      <c r="C30" t="s">
        <v>70</v>
      </c>
    </row>
    <row r="31" spans="2:3" x14ac:dyDescent="0.25">
      <c r="B31" s="2" t="s">
        <v>290</v>
      </c>
      <c r="C31" s="5" t="s">
        <v>47</v>
      </c>
    </row>
    <row r="32" spans="2:3" x14ac:dyDescent="0.25">
      <c r="B32" s="2" t="s">
        <v>294</v>
      </c>
    </row>
    <row r="33" spans="2:3" x14ac:dyDescent="0.25">
      <c r="B33" s="2" t="s">
        <v>299</v>
      </c>
    </row>
    <row r="34" spans="2:3" x14ac:dyDescent="0.25">
      <c r="B34" s="2" t="s">
        <v>304</v>
      </c>
    </row>
    <row r="35" spans="2:3" x14ac:dyDescent="0.25">
      <c r="B35" s="2" t="s">
        <v>308</v>
      </c>
      <c r="C35" s="19"/>
    </row>
    <row r="36" spans="2:3" x14ac:dyDescent="0.25">
      <c r="B36" s="2" t="s">
        <v>312</v>
      </c>
      <c r="C36" s="5">
        <v>2</v>
      </c>
    </row>
    <row r="37" spans="2:3" x14ac:dyDescent="0.25">
      <c r="C37" s="5">
        <v>3</v>
      </c>
    </row>
    <row r="38" spans="2:3" x14ac:dyDescent="0.25">
      <c r="C38" s="5"/>
    </row>
    <row r="39" spans="2:3" x14ac:dyDescent="0.25">
      <c r="C39" s="5"/>
    </row>
    <row r="40" spans="2:3" x14ac:dyDescent="0.25">
      <c r="C40" t="s">
        <v>44</v>
      </c>
    </row>
    <row r="41" spans="2:3" x14ac:dyDescent="0.25">
      <c r="C41" t="s">
        <v>44</v>
      </c>
    </row>
    <row r="42" spans="2:3" x14ac:dyDescent="0.25">
      <c r="C42" s="15" t="s">
        <v>42</v>
      </c>
    </row>
    <row r="43" spans="2:3" x14ac:dyDescent="0.25">
      <c r="C43" s="15" t="s">
        <v>45</v>
      </c>
    </row>
    <row r="44" spans="2:3" x14ac:dyDescent="0.25">
      <c r="C44" s="5"/>
    </row>
    <row r="45" spans="2:3" x14ac:dyDescent="0.25">
      <c r="C45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5"/>
  <sheetViews>
    <sheetView workbookViewId="0">
      <selection activeCell="A2" sqref="A2:C15"/>
    </sheetView>
  </sheetViews>
  <sheetFormatPr defaultRowHeight="15" x14ac:dyDescent="0.25"/>
  <cols>
    <col min="1" max="1" width="15.42578125" bestFit="1" customWidth="1"/>
    <col min="2" max="2" width="10.42578125" bestFit="1" customWidth="1"/>
    <col min="3" max="3" width="6.140625" bestFit="1" customWidth="1"/>
    <col min="5" max="5" width="10.28515625" bestFit="1" customWidth="1"/>
  </cols>
  <sheetData>
    <row r="1" spans="1:3" x14ac:dyDescent="0.25">
      <c r="A1" t="s">
        <v>591</v>
      </c>
      <c r="B1" t="s">
        <v>592</v>
      </c>
      <c r="C1" t="s">
        <v>593</v>
      </c>
    </row>
    <row r="2" spans="1:3" x14ac:dyDescent="0.25">
      <c r="A2" t="s">
        <v>658</v>
      </c>
      <c r="B2" t="s">
        <v>659</v>
      </c>
      <c r="C2" t="s">
        <v>660</v>
      </c>
    </row>
    <row r="3" spans="1:3" x14ac:dyDescent="0.25">
      <c r="A3" t="s">
        <v>661</v>
      </c>
      <c r="B3" t="s">
        <v>662</v>
      </c>
      <c r="C3" t="s">
        <v>663</v>
      </c>
    </row>
    <row r="4" spans="1:3" x14ac:dyDescent="0.25">
      <c r="A4" t="s">
        <v>664</v>
      </c>
      <c r="B4" t="s">
        <v>665</v>
      </c>
      <c r="C4" t="s">
        <v>663</v>
      </c>
    </row>
    <row r="5" spans="1:3" x14ac:dyDescent="0.25">
      <c r="A5" t="s">
        <v>666</v>
      </c>
      <c r="B5" t="s">
        <v>667</v>
      </c>
      <c r="C5" t="s">
        <v>663</v>
      </c>
    </row>
    <row r="6" spans="1:3" x14ac:dyDescent="0.25">
      <c r="A6" t="s">
        <v>668</v>
      </c>
      <c r="B6" t="s">
        <v>669</v>
      </c>
      <c r="C6" t="s">
        <v>663</v>
      </c>
    </row>
    <row r="7" spans="1:3" x14ac:dyDescent="0.25">
      <c r="A7" t="s">
        <v>670</v>
      </c>
      <c r="B7" t="s">
        <v>671</v>
      </c>
      <c r="C7" t="s">
        <v>663</v>
      </c>
    </row>
    <row r="8" spans="1:3" x14ac:dyDescent="0.25">
      <c r="A8" t="s">
        <v>672</v>
      </c>
      <c r="B8" t="s">
        <v>673</v>
      </c>
      <c r="C8" t="s">
        <v>663</v>
      </c>
    </row>
    <row r="9" spans="1:3" x14ac:dyDescent="0.25">
      <c r="A9" t="s">
        <v>674</v>
      </c>
      <c r="B9" t="s">
        <v>675</v>
      </c>
      <c r="C9" t="s">
        <v>663</v>
      </c>
    </row>
    <row r="10" spans="1:3" x14ac:dyDescent="0.25">
      <c r="A10" t="s">
        <v>676</v>
      </c>
      <c r="B10" t="s">
        <v>677</v>
      </c>
      <c r="C10" t="s">
        <v>663</v>
      </c>
    </row>
    <row r="11" spans="1:3" x14ac:dyDescent="0.25">
      <c r="A11" t="s">
        <v>678</v>
      </c>
      <c r="B11" t="s">
        <v>679</v>
      </c>
      <c r="C11" t="s">
        <v>663</v>
      </c>
    </row>
    <row r="12" spans="1:3" x14ac:dyDescent="0.25">
      <c r="A12" t="s">
        <v>680</v>
      </c>
      <c r="B12" t="s">
        <v>681</v>
      </c>
      <c r="C12" t="s">
        <v>663</v>
      </c>
    </row>
    <row r="13" spans="1:3" x14ac:dyDescent="0.25">
      <c r="A13" t="s">
        <v>682</v>
      </c>
      <c r="B13" t="s">
        <v>683</v>
      </c>
      <c r="C13" t="s">
        <v>663</v>
      </c>
    </row>
    <row r="14" spans="1:3" x14ac:dyDescent="0.25">
      <c r="A14" t="s">
        <v>684</v>
      </c>
      <c r="B14" t="s">
        <v>685</v>
      </c>
      <c r="C14" t="s">
        <v>686</v>
      </c>
    </row>
    <row r="15" spans="1:3" x14ac:dyDescent="0.25">
      <c r="A15" t="s">
        <v>687</v>
      </c>
      <c r="B15" t="s">
        <v>688</v>
      </c>
      <c r="C15" t="s">
        <v>689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2"/>
  <sheetViews>
    <sheetView workbookViewId="0">
      <selection activeCell="E28" sqref="E28"/>
    </sheetView>
  </sheetViews>
  <sheetFormatPr defaultRowHeight="15" x14ac:dyDescent="0.25"/>
  <cols>
    <col min="1" max="2" width="12.7109375" customWidth="1"/>
    <col min="7" max="7" width="12" customWidth="1"/>
  </cols>
  <sheetData>
    <row r="1" spans="1:7" x14ac:dyDescent="0.25">
      <c r="A1" s="3"/>
      <c r="B1" s="3"/>
    </row>
    <row r="2" spans="1:7" x14ac:dyDescent="0.25">
      <c r="F2" t="s">
        <v>52</v>
      </c>
      <c r="G2" t="s">
        <v>37</v>
      </c>
    </row>
    <row r="3" spans="1:7" x14ac:dyDescent="0.25">
      <c r="A3" s="13"/>
      <c r="F3" s="13" t="s">
        <v>80</v>
      </c>
      <c r="G3" t="s">
        <v>37</v>
      </c>
    </row>
    <row r="4" spans="1:7" x14ac:dyDescent="0.25">
      <c r="A4" s="13"/>
      <c r="F4" s="13" t="s">
        <v>102</v>
      </c>
      <c r="G4" t="s">
        <v>37</v>
      </c>
    </row>
    <row r="5" spans="1:7" x14ac:dyDescent="0.25">
      <c r="A5" s="13"/>
      <c r="F5" s="13" t="s">
        <v>114</v>
      </c>
      <c r="G5" t="s">
        <v>37</v>
      </c>
    </row>
    <row r="6" spans="1:7" x14ac:dyDescent="0.25">
      <c r="A6" s="13"/>
      <c r="F6" s="13" t="s">
        <v>129</v>
      </c>
      <c r="G6" t="s">
        <v>68</v>
      </c>
    </row>
    <row r="7" spans="1:7" x14ac:dyDescent="0.25">
      <c r="A7" s="13"/>
      <c r="F7" t="s">
        <v>142</v>
      </c>
      <c r="G7" t="s">
        <v>68</v>
      </c>
    </row>
    <row r="8" spans="1:7" x14ac:dyDescent="0.25">
      <c r="A8" s="13"/>
      <c r="F8" t="s">
        <v>154</v>
      </c>
      <c r="G8" t="s">
        <v>68</v>
      </c>
    </row>
    <row r="9" spans="1:7" x14ac:dyDescent="0.25">
      <c r="F9" t="s">
        <v>166</v>
      </c>
      <c r="G9" t="s">
        <v>68</v>
      </c>
    </row>
    <row r="10" spans="1:7" x14ac:dyDescent="0.25">
      <c r="F10" t="s">
        <v>181</v>
      </c>
      <c r="G10" t="s">
        <v>68</v>
      </c>
    </row>
    <row r="11" spans="1:7" x14ac:dyDescent="0.25">
      <c r="F11" t="s">
        <v>195</v>
      </c>
      <c r="G11" t="s">
        <v>68</v>
      </c>
    </row>
    <row r="12" spans="1:7" x14ac:dyDescent="0.25">
      <c r="F12" t="s">
        <v>208</v>
      </c>
      <c r="G12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F30"/>
  <sheetViews>
    <sheetView workbookViewId="0">
      <selection activeCell="A3" sqref="A3:XFD14"/>
    </sheetView>
  </sheetViews>
  <sheetFormatPr defaultRowHeight="15" x14ac:dyDescent="0.25"/>
  <cols>
    <col min="1" max="31" width="10.140625" customWidth="1"/>
  </cols>
  <sheetData>
    <row r="1" spans="1:58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</row>
    <row r="2" spans="1:58" x14ac:dyDescent="0.25">
      <c r="B2" t="s">
        <v>531</v>
      </c>
      <c r="C2" t="s">
        <v>532</v>
      </c>
      <c r="D2" t="s">
        <v>533</v>
      </c>
    </row>
    <row r="3" spans="1:58" x14ac:dyDescent="0.25">
      <c r="A3" s="2" t="s">
        <v>3</v>
      </c>
      <c r="B3" s="2">
        <v>3000</v>
      </c>
      <c r="C3" s="2"/>
      <c r="D3" s="2"/>
      <c r="E3" s="2">
        <v>3500</v>
      </c>
      <c r="F3" s="2"/>
      <c r="G3" s="2"/>
      <c r="H3" s="2">
        <v>4000</v>
      </c>
      <c r="I3" s="2"/>
      <c r="J3" s="2"/>
      <c r="K3" s="2">
        <v>4500</v>
      </c>
      <c r="L3" s="2"/>
      <c r="M3" s="2"/>
      <c r="N3" s="2">
        <v>5000</v>
      </c>
      <c r="O3" s="2"/>
      <c r="P3" s="2"/>
      <c r="Q3" s="2">
        <v>5500</v>
      </c>
      <c r="R3" s="2"/>
      <c r="S3" s="2"/>
      <c r="T3" s="2">
        <v>6000</v>
      </c>
      <c r="U3" s="2"/>
      <c r="V3" s="2"/>
      <c r="W3" s="2">
        <v>6500</v>
      </c>
      <c r="X3" s="2"/>
      <c r="Y3" s="2"/>
      <c r="Z3" s="2">
        <v>7000</v>
      </c>
      <c r="AA3" s="2"/>
      <c r="AB3" s="2"/>
      <c r="AC3" s="2">
        <v>7500</v>
      </c>
      <c r="AF3" s="2">
        <v>8000</v>
      </c>
      <c r="AG3" s="2"/>
      <c r="AH3" s="2"/>
      <c r="AI3" s="2">
        <v>8500</v>
      </c>
      <c r="AJ3" s="2"/>
      <c r="AK3" s="2"/>
      <c r="AL3" s="2">
        <v>9000</v>
      </c>
      <c r="AM3" s="2"/>
      <c r="AN3" s="2"/>
      <c r="AO3" s="2">
        <v>9500</v>
      </c>
      <c r="AP3" s="2"/>
      <c r="AQ3" s="2"/>
      <c r="AR3" s="2">
        <v>10000</v>
      </c>
      <c r="AS3" s="2"/>
      <c r="AT3" s="2"/>
      <c r="AU3" s="2">
        <v>10500</v>
      </c>
      <c r="AV3" s="2"/>
      <c r="AW3" s="2"/>
      <c r="AX3" s="2">
        <v>11000</v>
      </c>
      <c r="AY3" s="2"/>
      <c r="AZ3" s="2"/>
      <c r="BA3" s="2">
        <v>11500</v>
      </c>
      <c r="BB3" s="2"/>
      <c r="BC3" s="2"/>
      <c r="BD3" s="2">
        <v>12000</v>
      </c>
    </row>
    <row r="4" spans="1:58" s="15" customFormat="1" x14ac:dyDescent="0.25">
      <c r="A4" s="15" t="s">
        <v>52</v>
      </c>
      <c r="AR4" s="15" t="s">
        <v>736</v>
      </c>
      <c r="AS4" s="15" t="s">
        <v>530</v>
      </c>
      <c r="AT4" s="15" t="s">
        <v>737</v>
      </c>
    </row>
    <row r="5" spans="1:58" s="15" customFormat="1" x14ac:dyDescent="0.25">
      <c r="A5" s="15" t="s">
        <v>80</v>
      </c>
      <c r="AR5" s="15" t="s">
        <v>530</v>
      </c>
      <c r="AS5" s="15" t="s">
        <v>738</v>
      </c>
      <c r="AT5" s="15" t="s">
        <v>739</v>
      </c>
    </row>
    <row r="6" spans="1:58" s="15" customFormat="1" x14ac:dyDescent="0.25">
      <c r="A6" s="15" t="s">
        <v>102</v>
      </c>
      <c r="AR6" s="15" t="s">
        <v>739</v>
      </c>
      <c r="AS6" s="15" t="s">
        <v>740</v>
      </c>
      <c r="AT6" s="15" t="s">
        <v>741</v>
      </c>
    </row>
    <row r="7" spans="1:58" s="15" customFormat="1" x14ac:dyDescent="0.25">
      <c r="A7" s="15" t="s">
        <v>114</v>
      </c>
      <c r="AR7" s="15" t="s">
        <v>732</v>
      </c>
      <c r="AS7" s="15" t="s">
        <v>742</v>
      </c>
      <c r="AT7" s="15" t="s">
        <v>743</v>
      </c>
    </row>
    <row r="8" spans="1:58" s="15" customFormat="1" x14ac:dyDescent="0.25">
      <c r="A8" s="15" t="s">
        <v>129</v>
      </c>
      <c r="AR8" s="15" t="s">
        <v>744</v>
      </c>
      <c r="AS8" s="15" t="s">
        <v>745</v>
      </c>
      <c r="AT8" s="15" t="s">
        <v>746</v>
      </c>
    </row>
    <row r="9" spans="1:58" s="15" customFormat="1" x14ac:dyDescent="0.25">
      <c r="A9" s="15" t="s">
        <v>142</v>
      </c>
      <c r="AR9" s="15" t="s">
        <v>742</v>
      </c>
      <c r="AS9" s="15" t="s">
        <v>747</v>
      </c>
      <c r="AT9" s="15" t="s">
        <v>748</v>
      </c>
    </row>
    <row r="10" spans="1:58" s="15" customFormat="1" x14ac:dyDescent="0.25">
      <c r="A10" s="15" t="s">
        <v>154</v>
      </c>
      <c r="AR10" s="15" t="s">
        <v>749</v>
      </c>
      <c r="AS10" s="15" t="s">
        <v>750</v>
      </c>
      <c r="AT10" s="15" t="s">
        <v>751</v>
      </c>
    </row>
    <row r="11" spans="1:58" s="15" customFormat="1" x14ac:dyDescent="0.25">
      <c r="A11" s="15" t="s">
        <v>166</v>
      </c>
      <c r="AR11" s="15" t="s">
        <v>752</v>
      </c>
      <c r="AS11" s="15" t="s">
        <v>753</v>
      </c>
      <c r="AT11" s="15" t="s">
        <v>754</v>
      </c>
    </row>
    <row r="12" spans="1:58" s="15" customFormat="1" x14ac:dyDescent="0.25">
      <c r="A12" s="15" t="s">
        <v>181</v>
      </c>
      <c r="AR12" s="15" t="s">
        <v>751</v>
      </c>
      <c r="AS12" s="15" t="s">
        <v>755</v>
      </c>
      <c r="AT12" s="15" t="s">
        <v>756</v>
      </c>
    </row>
    <row r="13" spans="1:58" s="15" customFormat="1" x14ac:dyDescent="0.25">
      <c r="A13" s="15" t="s">
        <v>195</v>
      </c>
      <c r="AR13" s="15" t="s">
        <v>735</v>
      </c>
      <c r="AS13" s="15" t="s">
        <v>735</v>
      </c>
      <c r="AT13" s="15" t="s">
        <v>735</v>
      </c>
    </row>
    <row r="14" spans="1:58" s="15" customFormat="1" x14ac:dyDescent="0.25">
      <c r="A14" s="15" t="s">
        <v>208</v>
      </c>
      <c r="AR14" s="15" t="s">
        <v>735</v>
      </c>
      <c r="AS14" s="15" t="s">
        <v>735</v>
      </c>
      <c r="AT14" s="15" t="s">
        <v>735</v>
      </c>
    </row>
    <row r="15" spans="1:58" s="15" customFormat="1" x14ac:dyDescent="0.25"/>
    <row r="19" spans="1:56" x14ac:dyDescent="0.25">
      <c r="A19" s="2"/>
    </row>
    <row r="20" spans="1:56" s="15" customFormat="1" x14ac:dyDescent="0.25">
      <c r="B20" s="22"/>
      <c r="C20"/>
      <c r="E20" s="22"/>
      <c r="H20" s="22"/>
      <c r="K20" s="22"/>
      <c r="N20" s="22"/>
      <c r="T20" s="22"/>
      <c r="Z20" s="22"/>
      <c r="AF20" s="22"/>
    </row>
    <row r="21" spans="1:56" s="15" customFormat="1" x14ac:dyDescent="0.25">
      <c r="B21" s="22"/>
      <c r="C21"/>
      <c r="E21" s="22"/>
      <c r="H21" s="22"/>
      <c r="K21" s="22"/>
      <c r="N21" s="22"/>
      <c r="T21" s="22"/>
      <c r="Z21" s="22"/>
      <c r="AF21" s="22"/>
      <c r="AR21" s="22"/>
      <c r="BD21" s="22"/>
    </row>
    <row r="22" spans="1:56" s="15" customFormat="1" x14ac:dyDescent="0.25">
      <c r="B22" s="22"/>
      <c r="C22"/>
      <c r="E22" s="22"/>
      <c r="H22" s="22"/>
      <c r="K22" s="22"/>
      <c r="N22" s="22"/>
      <c r="T22" s="22"/>
      <c r="Z22" s="22"/>
      <c r="AF22" s="22"/>
    </row>
    <row r="23" spans="1:56" s="15" customFormat="1" x14ac:dyDescent="0.25">
      <c r="B23" s="22"/>
      <c r="C23"/>
      <c r="E23" s="22"/>
      <c r="H23" s="22"/>
      <c r="K23" s="22"/>
      <c r="N23" s="22"/>
      <c r="T23" s="22"/>
      <c r="Z23" s="22"/>
      <c r="AF23" s="22"/>
      <c r="AR23" s="22"/>
      <c r="BD23" s="22"/>
    </row>
    <row r="24" spans="1:56" s="15" customFormat="1" x14ac:dyDescent="0.25">
      <c r="B24" s="22"/>
      <c r="C24"/>
      <c r="E24" s="22"/>
      <c r="H24" s="22"/>
      <c r="K24" s="22"/>
      <c r="N24" s="22"/>
      <c r="T24" s="22"/>
      <c r="Z24" s="22"/>
      <c r="AF24" s="22"/>
      <c r="AR24" s="22"/>
      <c r="BD24" s="22"/>
    </row>
    <row r="25" spans="1:56" s="15" customFormat="1" x14ac:dyDescent="0.25">
      <c r="B25" s="22"/>
      <c r="C25"/>
      <c r="E25" s="22"/>
      <c r="H25" s="22"/>
      <c r="K25" s="22"/>
      <c r="N25" s="22"/>
      <c r="T25" s="22"/>
      <c r="Z25" s="22"/>
      <c r="AF25" s="22"/>
      <c r="AR25" s="22"/>
      <c r="BD25" s="22"/>
    </row>
    <row r="26" spans="1:56" s="15" customFormat="1" x14ac:dyDescent="0.25">
      <c r="B26" s="22"/>
      <c r="C26"/>
      <c r="E26" s="22"/>
      <c r="H26" s="22"/>
      <c r="K26" s="22"/>
      <c r="N26" s="22"/>
      <c r="T26" s="22"/>
      <c r="Z26" s="22"/>
      <c r="AF26" s="22"/>
      <c r="AR26" s="22"/>
      <c r="BD26" s="22"/>
    </row>
    <row r="27" spans="1:56" s="15" customFormat="1" x14ac:dyDescent="0.25">
      <c r="B27" s="22"/>
      <c r="C27"/>
      <c r="E27" s="22"/>
      <c r="H27" s="22"/>
      <c r="K27" s="22"/>
      <c r="N27" s="22"/>
      <c r="T27" s="22"/>
      <c r="Z27" s="22"/>
      <c r="AF27" s="22"/>
      <c r="AR27" s="22"/>
      <c r="BD27" s="22"/>
    </row>
    <row r="28" spans="1:56" s="15" customFormat="1" x14ac:dyDescent="0.25">
      <c r="B28" s="22"/>
      <c r="C28"/>
      <c r="E28" s="22"/>
      <c r="H28" s="22"/>
      <c r="K28" s="22"/>
      <c r="T28" s="22"/>
      <c r="Z28" s="22"/>
      <c r="AF28" s="22"/>
    </row>
    <row r="29" spans="1:56" s="15" customFormat="1" x14ac:dyDescent="0.25">
      <c r="C29"/>
      <c r="E29" s="22"/>
      <c r="H29" s="22"/>
      <c r="K29" s="22"/>
      <c r="N29" s="22"/>
      <c r="T29" s="22"/>
      <c r="Z29" s="22"/>
      <c r="AF29" s="22"/>
    </row>
    <row r="30" spans="1:56" s="15" customFormat="1" x14ac:dyDescent="0.25">
      <c r="B30" s="22"/>
      <c r="C30"/>
      <c r="E30" s="22"/>
      <c r="H30" s="22"/>
      <c r="K30" s="22"/>
      <c r="N30" s="22"/>
      <c r="T30" s="22"/>
      <c r="Z30" s="22"/>
      <c r="AF30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O1"/>
  <sheetViews>
    <sheetView workbookViewId="0"/>
  </sheetViews>
  <sheetFormatPr defaultRowHeight="15" x14ac:dyDescent="0.25"/>
  <cols>
    <col min="1" max="15" width="17.140625" customWidth="1"/>
  </cols>
  <sheetData>
    <row r="1" spans="1:15" x14ac:dyDescent="0.25">
      <c r="A1" s="17" t="s">
        <v>46</v>
      </c>
      <c r="D1" s="17" t="s">
        <v>534</v>
      </c>
      <c r="G1" s="18"/>
      <c r="I1" s="17" t="s">
        <v>535</v>
      </c>
      <c r="L1" s="17" t="s">
        <v>536</v>
      </c>
      <c r="O1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C1"/>
  <sheetViews>
    <sheetView workbookViewId="0"/>
  </sheetViews>
  <sheetFormatPr defaultRowHeight="15" x14ac:dyDescent="0.25"/>
  <cols>
    <col min="1" max="1" width="11.140625" bestFit="1" customWidth="1"/>
    <col min="4" max="4" width="13.140625" customWidth="1"/>
    <col min="5" max="5" width="24.5703125" customWidth="1"/>
  </cols>
  <sheetData>
    <row r="1" spans="1:3" x14ac:dyDescent="0.25">
      <c r="A1" t="s">
        <v>46</v>
      </c>
      <c r="B1" s="14"/>
      <c r="C1" t="s">
        <v>534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P228"/>
  <sheetViews>
    <sheetView workbookViewId="0">
      <selection sqref="A1:P1048576"/>
    </sheetView>
  </sheetViews>
  <sheetFormatPr defaultRowHeight="15" x14ac:dyDescent="0.25"/>
  <cols>
    <col min="1" max="1" width="5.42578125" bestFit="1" customWidth="1"/>
    <col min="2" max="2" width="8.28515625" bestFit="1" customWidth="1"/>
    <col min="3" max="3" width="7" bestFit="1" customWidth="1"/>
    <col min="4" max="4" width="9" bestFit="1" customWidth="1"/>
    <col min="5" max="5" width="7.28515625" bestFit="1" customWidth="1"/>
    <col min="6" max="6" width="8.28515625" bestFit="1" customWidth="1"/>
    <col min="7" max="7" width="7.28515625" bestFit="1" customWidth="1"/>
    <col min="8" max="8" width="7" bestFit="1" customWidth="1"/>
    <col min="9" max="9" width="3.7109375" bestFit="1" customWidth="1"/>
    <col min="10" max="10" width="4.140625" bestFit="1" customWidth="1"/>
    <col min="11" max="11" width="9" bestFit="1" customWidth="1"/>
    <col min="12" max="12" width="8.28515625" bestFit="1" customWidth="1"/>
    <col min="13" max="13" width="4.140625" bestFit="1" customWidth="1"/>
    <col min="14" max="14" width="9" bestFit="1" customWidth="1"/>
    <col min="15" max="15" width="4.140625" bestFit="1" customWidth="1"/>
    <col min="16" max="16" width="9" bestFit="1" customWidth="1"/>
  </cols>
  <sheetData>
    <row r="1" spans="1:16" x14ac:dyDescent="0.25">
      <c r="A1" t="s">
        <v>61</v>
      </c>
      <c r="B1" t="s">
        <v>87</v>
      </c>
      <c r="C1" t="s">
        <v>594</v>
      </c>
      <c r="D1" t="s">
        <v>595</v>
      </c>
      <c r="E1" t="s">
        <v>596</v>
      </c>
      <c r="F1" t="s">
        <v>597</v>
      </c>
      <c r="G1" t="s">
        <v>598</v>
      </c>
      <c r="H1" t="s">
        <v>599</v>
      </c>
      <c r="I1" t="s">
        <v>121</v>
      </c>
      <c r="J1" t="s">
        <v>537</v>
      </c>
      <c r="K1" t="s">
        <v>600</v>
      </c>
      <c r="L1" t="s">
        <v>601</v>
      </c>
    </row>
    <row r="2" spans="1:16" x14ac:dyDescent="0.25">
      <c r="A2">
        <v>1</v>
      </c>
      <c r="B2" t="s">
        <v>658</v>
      </c>
      <c r="C2" t="s">
        <v>690</v>
      </c>
      <c r="D2" t="s">
        <v>691</v>
      </c>
      <c r="E2" t="s">
        <v>692</v>
      </c>
      <c r="F2" t="s">
        <v>693</v>
      </c>
      <c r="G2" t="s">
        <v>692</v>
      </c>
      <c r="H2" t="s">
        <v>694</v>
      </c>
      <c r="P2">
        <v>14</v>
      </c>
    </row>
    <row r="3" spans="1:16" x14ac:dyDescent="0.25">
      <c r="A3">
        <v>10</v>
      </c>
      <c r="B3" t="s">
        <v>658</v>
      </c>
      <c r="C3" t="s">
        <v>695</v>
      </c>
      <c r="D3" t="s">
        <v>696</v>
      </c>
      <c r="E3" t="s">
        <v>692</v>
      </c>
      <c r="F3" t="s">
        <v>697</v>
      </c>
      <c r="G3" t="s">
        <v>692</v>
      </c>
      <c r="H3" t="s">
        <v>698</v>
      </c>
      <c r="P3">
        <v>6</v>
      </c>
    </row>
    <row r="4" spans="1:16" x14ac:dyDescent="0.25">
      <c r="A4">
        <v>11</v>
      </c>
      <c r="B4" t="s">
        <v>658</v>
      </c>
      <c r="C4" t="s">
        <v>695</v>
      </c>
      <c r="D4" t="s">
        <v>696</v>
      </c>
      <c r="E4" t="s">
        <v>692</v>
      </c>
      <c r="F4" t="s">
        <v>697</v>
      </c>
      <c r="G4" t="s">
        <v>692</v>
      </c>
      <c r="H4" t="s">
        <v>698</v>
      </c>
      <c r="P4">
        <v>6</v>
      </c>
    </row>
    <row r="5" spans="1:16" x14ac:dyDescent="0.25">
      <c r="A5">
        <v>12</v>
      </c>
      <c r="B5" t="s">
        <v>658</v>
      </c>
      <c r="C5" t="s">
        <v>699</v>
      </c>
      <c r="D5" t="s">
        <v>700</v>
      </c>
      <c r="E5" t="s">
        <v>692</v>
      </c>
      <c r="F5" t="s">
        <v>693</v>
      </c>
      <c r="G5" t="s">
        <v>692</v>
      </c>
      <c r="H5" t="s">
        <v>701</v>
      </c>
      <c r="P5">
        <v>12</v>
      </c>
    </row>
    <row r="6" spans="1:16" x14ac:dyDescent="0.25">
      <c r="A6">
        <v>13</v>
      </c>
      <c r="B6" t="s">
        <v>658</v>
      </c>
      <c r="C6" t="s">
        <v>699</v>
      </c>
      <c r="D6" t="s">
        <v>700</v>
      </c>
      <c r="E6" t="s">
        <v>692</v>
      </c>
      <c r="F6" t="s">
        <v>693</v>
      </c>
      <c r="G6" t="s">
        <v>692</v>
      </c>
      <c r="H6" t="s">
        <v>701</v>
      </c>
      <c r="P6">
        <v>12</v>
      </c>
    </row>
    <row r="7" spans="1:16" x14ac:dyDescent="0.25">
      <c r="A7">
        <v>14</v>
      </c>
      <c r="B7" t="s">
        <v>658</v>
      </c>
      <c r="C7" t="s">
        <v>699</v>
      </c>
      <c r="D7" t="s">
        <v>700</v>
      </c>
      <c r="E7" t="s">
        <v>692</v>
      </c>
      <c r="F7" t="s">
        <v>693</v>
      </c>
      <c r="G7" t="s">
        <v>692</v>
      </c>
      <c r="H7" t="s">
        <v>701</v>
      </c>
      <c r="P7">
        <v>12</v>
      </c>
    </row>
    <row r="8" spans="1:16" x14ac:dyDescent="0.25">
      <c r="A8">
        <v>15</v>
      </c>
      <c r="B8" t="s">
        <v>658</v>
      </c>
      <c r="C8" t="s">
        <v>699</v>
      </c>
      <c r="D8" t="s">
        <v>702</v>
      </c>
      <c r="E8" t="s">
        <v>703</v>
      </c>
      <c r="F8" t="s">
        <v>704</v>
      </c>
      <c r="G8" t="s">
        <v>703</v>
      </c>
      <c r="H8" t="s">
        <v>705</v>
      </c>
      <c r="P8">
        <v>16</v>
      </c>
    </row>
    <row r="9" spans="1:16" x14ac:dyDescent="0.25">
      <c r="A9">
        <v>16</v>
      </c>
      <c r="B9" t="s">
        <v>658</v>
      </c>
      <c r="C9" t="s">
        <v>706</v>
      </c>
      <c r="D9" t="s">
        <v>700</v>
      </c>
      <c r="E9" t="s">
        <v>692</v>
      </c>
      <c r="F9" t="s">
        <v>693</v>
      </c>
      <c r="G9" t="s">
        <v>692</v>
      </c>
      <c r="H9" t="s">
        <v>701</v>
      </c>
      <c r="P9">
        <v>12</v>
      </c>
    </row>
    <row r="10" spans="1:16" x14ac:dyDescent="0.25">
      <c r="A10">
        <v>17</v>
      </c>
      <c r="B10" t="s">
        <v>658</v>
      </c>
      <c r="C10" t="s">
        <v>706</v>
      </c>
      <c r="D10" t="s">
        <v>696</v>
      </c>
      <c r="E10" t="s">
        <v>692</v>
      </c>
      <c r="F10" t="s">
        <v>693</v>
      </c>
      <c r="G10" t="s">
        <v>692</v>
      </c>
      <c r="H10" t="s">
        <v>698</v>
      </c>
      <c r="P10">
        <v>6</v>
      </c>
    </row>
    <row r="11" spans="1:16" x14ac:dyDescent="0.25">
      <c r="A11">
        <v>18</v>
      </c>
      <c r="B11" t="s">
        <v>658</v>
      </c>
      <c r="C11" t="s">
        <v>706</v>
      </c>
      <c r="D11" t="s">
        <v>700</v>
      </c>
      <c r="E11" t="s">
        <v>692</v>
      </c>
      <c r="F11" t="s">
        <v>693</v>
      </c>
      <c r="G11" t="s">
        <v>692</v>
      </c>
      <c r="H11" t="s">
        <v>701</v>
      </c>
      <c r="P11">
        <v>12</v>
      </c>
    </row>
    <row r="12" spans="1:16" x14ac:dyDescent="0.25">
      <c r="A12">
        <v>19</v>
      </c>
      <c r="B12" t="s">
        <v>658</v>
      </c>
      <c r="C12" t="s">
        <v>699</v>
      </c>
      <c r="D12" t="s">
        <v>700</v>
      </c>
      <c r="E12" t="s">
        <v>692</v>
      </c>
      <c r="F12" t="s">
        <v>693</v>
      </c>
      <c r="G12" t="s">
        <v>692</v>
      </c>
      <c r="H12" t="s">
        <v>701</v>
      </c>
      <c r="P12">
        <v>12</v>
      </c>
    </row>
    <row r="13" spans="1:16" x14ac:dyDescent="0.25">
      <c r="A13">
        <v>2</v>
      </c>
      <c r="B13" t="s">
        <v>658</v>
      </c>
      <c r="C13" t="s">
        <v>707</v>
      </c>
      <c r="D13" t="s">
        <v>708</v>
      </c>
      <c r="E13" t="s">
        <v>692</v>
      </c>
      <c r="F13" t="s">
        <v>693</v>
      </c>
      <c r="G13" t="s">
        <v>692</v>
      </c>
      <c r="H13" t="s">
        <v>709</v>
      </c>
      <c r="P13">
        <v>8</v>
      </c>
    </row>
    <row r="14" spans="1:16" x14ac:dyDescent="0.25">
      <c r="A14">
        <v>20</v>
      </c>
      <c r="B14" t="s">
        <v>658</v>
      </c>
      <c r="C14" t="s">
        <v>699</v>
      </c>
      <c r="D14" t="s">
        <v>700</v>
      </c>
      <c r="E14" t="s">
        <v>692</v>
      </c>
      <c r="F14" t="s">
        <v>693</v>
      </c>
      <c r="G14" t="s">
        <v>692</v>
      </c>
      <c r="H14" t="s">
        <v>701</v>
      </c>
      <c r="P14">
        <v>12</v>
      </c>
    </row>
    <row r="15" spans="1:16" x14ac:dyDescent="0.25">
      <c r="A15">
        <v>21</v>
      </c>
      <c r="B15" t="s">
        <v>658</v>
      </c>
      <c r="C15" t="s">
        <v>699</v>
      </c>
      <c r="D15" t="s">
        <v>700</v>
      </c>
      <c r="E15" t="s">
        <v>692</v>
      </c>
      <c r="F15" t="s">
        <v>693</v>
      </c>
      <c r="G15" t="s">
        <v>692</v>
      </c>
      <c r="H15" t="s">
        <v>701</v>
      </c>
      <c r="P15">
        <v>12</v>
      </c>
    </row>
    <row r="16" spans="1:16" x14ac:dyDescent="0.25">
      <c r="A16">
        <v>22</v>
      </c>
      <c r="B16" t="s">
        <v>658</v>
      </c>
      <c r="C16" t="s">
        <v>699</v>
      </c>
      <c r="D16" t="s">
        <v>710</v>
      </c>
      <c r="E16" t="s">
        <v>692</v>
      </c>
      <c r="F16" t="s">
        <v>693</v>
      </c>
      <c r="G16" t="s">
        <v>692</v>
      </c>
      <c r="H16" t="s">
        <v>711</v>
      </c>
      <c r="P16">
        <v>18</v>
      </c>
    </row>
    <row r="17" spans="1:16" x14ac:dyDescent="0.25">
      <c r="A17">
        <v>23</v>
      </c>
      <c r="B17" t="s">
        <v>658</v>
      </c>
      <c r="C17" t="s">
        <v>706</v>
      </c>
      <c r="D17" t="s">
        <v>696</v>
      </c>
      <c r="E17" t="s">
        <v>692</v>
      </c>
      <c r="F17" t="s">
        <v>693</v>
      </c>
      <c r="G17" t="s">
        <v>692</v>
      </c>
      <c r="H17" t="s">
        <v>698</v>
      </c>
      <c r="P17">
        <v>6</v>
      </c>
    </row>
    <row r="18" spans="1:16" x14ac:dyDescent="0.25">
      <c r="A18">
        <v>24</v>
      </c>
      <c r="B18" t="s">
        <v>658</v>
      </c>
      <c r="C18" t="s">
        <v>706</v>
      </c>
      <c r="D18" t="s">
        <v>696</v>
      </c>
      <c r="E18" t="s">
        <v>692</v>
      </c>
      <c r="F18" t="s">
        <v>693</v>
      </c>
      <c r="G18" t="s">
        <v>692</v>
      </c>
      <c r="H18" t="s">
        <v>698</v>
      </c>
      <c r="P18">
        <v>6</v>
      </c>
    </row>
    <row r="19" spans="1:16" x14ac:dyDescent="0.25">
      <c r="A19">
        <v>25</v>
      </c>
      <c r="B19" t="s">
        <v>658</v>
      </c>
      <c r="C19" t="s">
        <v>706</v>
      </c>
      <c r="D19" t="s">
        <v>696</v>
      </c>
      <c r="E19" t="s">
        <v>692</v>
      </c>
      <c r="F19" t="s">
        <v>693</v>
      </c>
      <c r="G19" t="s">
        <v>692</v>
      </c>
      <c r="H19" t="s">
        <v>698</v>
      </c>
      <c r="P19">
        <v>6</v>
      </c>
    </row>
    <row r="20" spans="1:16" x14ac:dyDescent="0.25">
      <c r="A20">
        <v>26</v>
      </c>
      <c r="B20" t="s">
        <v>658</v>
      </c>
      <c r="C20" t="s">
        <v>699</v>
      </c>
      <c r="D20" t="s">
        <v>712</v>
      </c>
      <c r="E20" t="s">
        <v>692</v>
      </c>
      <c r="F20" t="s">
        <v>693</v>
      </c>
      <c r="G20" t="s">
        <v>692</v>
      </c>
      <c r="H20" t="s">
        <v>709</v>
      </c>
      <c r="P20">
        <v>8</v>
      </c>
    </row>
    <row r="21" spans="1:16" x14ac:dyDescent="0.25">
      <c r="A21">
        <v>26</v>
      </c>
      <c r="B21" t="s">
        <v>661</v>
      </c>
      <c r="C21" t="s">
        <v>713</v>
      </c>
      <c r="D21" t="s">
        <v>714</v>
      </c>
      <c r="E21" t="s">
        <v>692</v>
      </c>
      <c r="F21" t="s">
        <v>693</v>
      </c>
      <c r="G21" t="s">
        <v>692</v>
      </c>
      <c r="H21" t="s">
        <v>713</v>
      </c>
      <c r="P21">
        <v>10</v>
      </c>
    </row>
    <row r="22" spans="1:16" x14ac:dyDescent="0.25">
      <c r="A22">
        <v>26</v>
      </c>
      <c r="B22" t="s">
        <v>664</v>
      </c>
      <c r="C22" t="s">
        <v>715</v>
      </c>
      <c r="D22" t="s">
        <v>716</v>
      </c>
      <c r="E22" t="s">
        <v>692</v>
      </c>
      <c r="F22" t="s">
        <v>693</v>
      </c>
      <c r="G22" t="s">
        <v>692</v>
      </c>
      <c r="H22" t="s">
        <v>715</v>
      </c>
      <c r="P22">
        <v>6</v>
      </c>
    </row>
    <row r="23" spans="1:16" x14ac:dyDescent="0.25">
      <c r="A23">
        <v>26</v>
      </c>
      <c r="B23" t="s">
        <v>666</v>
      </c>
      <c r="C23" t="s">
        <v>715</v>
      </c>
      <c r="D23" t="s">
        <v>716</v>
      </c>
      <c r="E23" t="s">
        <v>692</v>
      </c>
      <c r="F23" t="s">
        <v>693</v>
      </c>
      <c r="G23" t="s">
        <v>692</v>
      </c>
      <c r="H23" t="s">
        <v>715</v>
      </c>
      <c r="P23">
        <v>6</v>
      </c>
    </row>
    <row r="24" spans="1:16" x14ac:dyDescent="0.25">
      <c r="A24">
        <v>26</v>
      </c>
      <c r="B24" t="s">
        <v>668</v>
      </c>
      <c r="C24" t="s">
        <v>715</v>
      </c>
      <c r="D24" t="s">
        <v>716</v>
      </c>
      <c r="E24" t="s">
        <v>692</v>
      </c>
      <c r="F24" t="s">
        <v>693</v>
      </c>
      <c r="G24" t="s">
        <v>692</v>
      </c>
      <c r="H24" t="s">
        <v>715</v>
      </c>
      <c r="P24">
        <v>6</v>
      </c>
    </row>
    <row r="25" spans="1:16" x14ac:dyDescent="0.25">
      <c r="A25">
        <v>26</v>
      </c>
      <c r="B25" t="s">
        <v>670</v>
      </c>
      <c r="C25" t="s">
        <v>715</v>
      </c>
      <c r="D25" t="s">
        <v>716</v>
      </c>
      <c r="E25" t="s">
        <v>692</v>
      </c>
      <c r="F25" t="s">
        <v>693</v>
      </c>
      <c r="G25" t="s">
        <v>692</v>
      </c>
      <c r="H25" t="s">
        <v>715</v>
      </c>
      <c r="P25">
        <v>6</v>
      </c>
    </row>
    <row r="26" spans="1:16" x14ac:dyDescent="0.25">
      <c r="A26">
        <v>26</v>
      </c>
      <c r="B26" t="s">
        <v>672</v>
      </c>
      <c r="C26" t="s">
        <v>715</v>
      </c>
      <c r="D26" t="s">
        <v>716</v>
      </c>
      <c r="E26" t="s">
        <v>692</v>
      </c>
      <c r="F26" t="s">
        <v>693</v>
      </c>
      <c r="G26" t="s">
        <v>692</v>
      </c>
      <c r="H26" t="s">
        <v>715</v>
      </c>
      <c r="P26">
        <v>6</v>
      </c>
    </row>
    <row r="27" spans="1:16" x14ac:dyDescent="0.25">
      <c r="A27">
        <v>26</v>
      </c>
      <c r="B27" t="s">
        <v>674</v>
      </c>
      <c r="C27" t="s">
        <v>715</v>
      </c>
      <c r="D27" t="s">
        <v>716</v>
      </c>
      <c r="E27" t="s">
        <v>692</v>
      </c>
      <c r="F27" t="s">
        <v>693</v>
      </c>
      <c r="G27" t="s">
        <v>692</v>
      </c>
      <c r="H27" t="s">
        <v>715</v>
      </c>
      <c r="P27">
        <v>6</v>
      </c>
    </row>
    <row r="28" spans="1:16" x14ac:dyDescent="0.25">
      <c r="A28">
        <v>26</v>
      </c>
      <c r="B28" t="s">
        <v>676</v>
      </c>
      <c r="C28" t="s">
        <v>715</v>
      </c>
      <c r="D28" t="s">
        <v>716</v>
      </c>
      <c r="E28" t="s">
        <v>692</v>
      </c>
      <c r="F28" t="s">
        <v>693</v>
      </c>
      <c r="G28" t="s">
        <v>692</v>
      </c>
      <c r="H28" t="s">
        <v>715</v>
      </c>
      <c r="P28">
        <v>6</v>
      </c>
    </row>
    <row r="29" spans="1:16" x14ac:dyDescent="0.25">
      <c r="A29">
        <v>26</v>
      </c>
      <c r="B29" t="s">
        <v>678</v>
      </c>
      <c r="C29" t="s">
        <v>715</v>
      </c>
      <c r="D29" t="s">
        <v>716</v>
      </c>
      <c r="E29" t="s">
        <v>692</v>
      </c>
      <c r="F29" t="s">
        <v>693</v>
      </c>
      <c r="G29" t="s">
        <v>692</v>
      </c>
      <c r="H29" t="s">
        <v>715</v>
      </c>
      <c r="P29">
        <v>6</v>
      </c>
    </row>
    <row r="30" spans="1:16" x14ac:dyDescent="0.25">
      <c r="A30">
        <v>26</v>
      </c>
      <c r="B30" t="s">
        <v>680</v>
      </c>
      <c r="C30" t="s">
        <v>715</v>
      </c>
      <c r="D30" t="s">
        <v>716</v>
      </c>
      <c r="E30" t="s">
        <v>692</v>
      </c>
      <c r="F30" t="s">
        <v>693</v>
      </c>
      <c r="G30" t="s">
        <v>692</v>
      </c>
      <c r="H30" t="s">
        <v>715</v>
      </c>
      <c r="P30">
        <v>6</v>
      </c>
    </row>
    <row r="31" spans="1:16" x14ac:dyDescent="0.25">
      <c r="A31">
        <v>26</v>
      </c>
      <c r="B31" t="s">
        <v>682</v>
      </c>
      <c r="C31" t="s">
        <v>715</v>
      </c>
      <c r="D31" t="s">
        <v>717</v>
      </c>
      <c r="E31" t="s">
        <v>692</v>
      </c>
      <c r="F31" t="s">
        <v>693</v>
      </c>
      <c r="G31" t="s">
        <v>692</v>
      </c>
      <c r="H31" t="s">
        <v>715</v>
      </c>
      <c r="P31">
        <v>10</v>
      </c>
    </row>
    <row r="32" spans="1:16" x14ac:dyDescent="0.25">
      <c r="A32">
        <v>27</v>
      </c>
      <c r="B32" t="s">
        <v>658</v>
      </c>
      <c r="C32" t="s">
        <v>699</v>
      </c>
      <c r="D32" t="s">
        <v>712</v>
      </c>
      <c r="E32" t="s">
        <v>692</v>
      </c>
      <c r="F32" t="s">
        <v>693</v>
      </c>
      <c r="G32" t="s">
        <v>692</v>
      </c>
      <c r="H32" t="s">
        <v>709</v>
      </c>
      <c r="P32">
        <v>8</v>
      </c>
    </row>
    <row r="33" spans="1:16" x14ac:dyDescent="0.25">
      <c r="A33">
        <v>27</v>
      </c>
      <c r="B33" t="s">
        <v>661</v>
      </c>
      <c r="C33" t="s">
        <v>718</v>
      </c>
      <c r="D33" t="s">
        <v>719</v>
      </c>
      <c r="E33" t="s">
        <v>692</v>
      </c>
      <c r="F33" t="s">
        <v>693</v>
      </c>
      <c r="G33" t="s">
        <v>692</v>
      </c>
      <c r="H33" t="s">
        <v>720</v>
      </c>
      <c r="P33">
        <v>10</v>
      </c>
    </row>
    <row r="34" spans="1:16" x14ac:dyDescent="0.25">
      <c r="A34">
        <v>27</v>
      </c>
      <c r="B34" t="s">
        <v>664</v>
      </c>
      <c r="C34" t="s">
        <v>718</v>
      </c>
      <c r="D34" t="s">
        <v>719</v>
      </c>
      <c r="E34" t="s">
        <v>692</v>
      </c>
      <c r="F34" t="s">
        <v>693</v>
      </c>
      <c r="G34" t="s">
        <v>692</v>
      </c>
      <c r="H34" t="s">
        <v>720</v>
      </c>
      <c r="P34">
        <v>10</v>
      </c>
    </row>
    <row r="35" spans="1:16" x14ac:dyDescent="0.25">
      <c r="A35">
        <v>27</v>
      </c>
      <c r="B35" t="s">
        <v>666</v>
      </c>
      <c r="C35" t="s">
        <v>718</v>
      </c>
      <c r="D35" t="s">
        <v>719</v>
      </c>
      <c r="E35" t="s">
        <v>692</v>
      </c>
      <c r="F35" t="s">
        <v>693</v>
      </c>
      <c r="G35" t="s">
        <v>692</v>
      </c>
      <c r="H35" t="s">
        <v>720</v>
      </c>
      <c r="P35">
        <v>10</v>
      </c>
    </row>
    <row r="36" spans="1:16" x14ac:dyDescent="0.25">
      <c r="A36">
        <v>27</v>
      </c>
      <c r="B36" t="s">
        <v>668</v>
      </c>
      <c r="C36" t="s">
        <v>718</v>
      </c>
      <c r="D36" t="s">
        <v>719</v>
      </c>
      <c r="E36" t="s">
        <v>692</v>
      </c>
      <c r="F36" t="s">
        <v>693</v>
      </c>
      <c r="G36" t="s">
        <v>692</v>
      </c>
      <c r="H36" t="s">
        <v>720</v>
      </c>
      <c r="P36">
        <v>10</v>
      </c>
    </row>
    <row r="37" spans="1:16" x14ac:dyDescent="0.25">
      <c r="A37">
        <v>27</v>
      </c>
      <c r="B37" t="s">
        <v>670</v>
      </c>
      <c r="C37" t="s">
        <v>718</v>
      </c>
      <c r="D37" t="s">
        <v>719</v>
      </c>
      <c r="E37" t="s">
        <v>692</v>
      </c>
      <c r="F37" t="s">
        <v>693</v>
      </c>
      <c r="G37" t="s">
        <v>692</v>
      </c>
      <c r="H37" t="s">
        <v>720</v>
      </c>
      <c r="P37">
        <v>10</v>
      </c>
    </row>
    <row r="38" spans="1:16" x14ac:dyDescent="0.25">
      <c r="A38">
        <v>27</v>
      </c>
      <c r="B38" t="s">
        <v>672</v>
      </c>
      <c r="C38" t="s">
        <v>718</v>
      </c>
      <c r="D38" t="s">
        <v>719</v>
      </c>
      <c r="E38" t="s">
        <v>692</v>
      </c>
      <c r="F38" t="s">
        <v>693</v>
      </c>
      <c r="G38" t="s">
        <v>692</v>
      </c>
      <c r="H38" t="s">
        <v>720</v>
      </c>
      <c r="P38">
        <v>10</v>
      </c>
    </row>
    <row r="39" spans="1:16" x14ac:dyDescent="0.25">
      <c r="A39">
        <v>27</v>
      </c>
      <c r="B39" t="s">
        <v>674</v>
      </c>
      <c r="C39" t="s">
        <v>718</v>
      </c>
      <c r="D39" t="s">
        <v>719</v>
      </c>
      <c r="E39" t="s">
        <v>692</v>
      </c>
      <c r="F39" t="s">
        <v>693</v>
      </c>
      <c r="G39" t="s">
        <v>692</v>
      </c>
      <c r="H39" t="s">
        <v>720</v>
      </c>
      <c r="P39">
        <v>10</v>
      </c>
    </row>
    <row r="40" spans="1:16" x14ac:dyDescent="0.25">
      <c r="A40">
        <v>27</v>
      </c>
      <c r="B40" t="s">
        <v>676</v>
      </c>
      <c r="C40" t="s">
        <v>718</v>
      </c>
      <c r="D40" t="s">
        <v>719</v>
      </c>
      <c r="E40" t="s">
        <v>692</v>
      </c>
      <c r="F40" t="s">
        <v>693</v>
      </c>
      <c r="G40" t="s">
        <v>692</v>
      </c>
      <c r="H40" t="s">
        <v>720</v>
      </c>
      <c r="P40">
        <v>10</v>
      </c>
    </row>
    <row r="41" spans="1:16" x14ac:dyDescent="0.25">
      <c r="A41">
        <v>27</v>
      </c>
      <c r="B41" t="s">
        <v>678</v>
      </c>
      <c r="C41" t="s">
        <v>718</v>
      </c>
      <c r="D41" t="s">
        <v>719</v>
      </c>
      <c r="E41" t="s">
        <v>692</v>
      </c>
      <c r="F41" t="s">
        <v>693</v>
      </c>
      <c r="G41" t="s">
        <v>692</v>
      </c>
      <c r="H41" t="s">
        <v>720</v>
      </c>
      <c r="P41">
        <v>10</v>
      </c>
    </row>
    <row r="42" spans="1:16" x14ac:dyDescent="0.25">
      <c r="A42">
        <v>27</v>
      </c>
      <c r="B42" t="s">
        <v>680</v>
      </c>
      <c r="C42" t="s">
        <v>718</v>
      </c>
      <c r="D42" t="s">
        <v>719</v>
      </c>
      <c r="E42" t="s">
        <v>692</v>
      </c>
      <c r="F42" t="s">
        <v>693</v>
      </c>
      <c r="G42" t="s">
        <v>692</v>
      </c>
      <c r="H42" t="s">
        <v>720</v>
      </c>
      <c r="P42">
        <v>10</v>
      </c>
    </row>
    <row r="43" spans="1:16" x14ac:dyDescent="0.25">
      <c r="A43">
        <v>27</v>
      </c>
      <c r="B43" t="s">
        <v>682</v>
      </c>
      <c r="C43" t="s">
        <v>718</v>
      </c>
      <c r="D43" t="s">
        <v>719</v>
      </c>
      <c r="E43" t="s">
        <v>692</v>
      </c>
      <c r="F43" t="s">
        <v>693</v>
      </c>
      <c r="G43" t="s">
        <v>692</v>
      </c>
      <c r="H43" t="s">
        <v>720</v>
      </c>
      <c r="P43">
        <v>10</v>
      </c>
    </row>
    <row r="44" spans="1:16" x14ac:dyDescent="0.25">
      <c r="A44">
        <v>28</v>
      </c>
      <c r="B44" t="s">
        <v>658</v>
      </c>
      <c r="C44" t="s">
        <v>706</v>
      </c>
      <c r="D44" t="s">
        <v>696</v>
      </c>
      <c r="E44" t="s">
        <v>692</v>
      </c>
      <c r="F44" t="s">
        <v>693</v>
      </c>
      <c r="G44" t="s">
        <v>692</v>
      </c>
      <c r="H44" t="s">
        <v>698</v>
      </c>
      <c r="P44">
        <v>6</v>
      </c>
    </row>
    <row r="45" spans="1:16" x14ac:dyDescent="0.25">
      <c r="A45">
        <v>29</v>
      </c>
      <c r="B45" t="s">
        <v>658</v>
      </c>
      <c r="C45" t="s">
        <v>699</v>
      </c>
      <c r="D45" t="s">
        <v>712</v>
      </c>
      <c r="E45" t="s">
        <v>692</v>
      </c>
      <c r="F45" t="s">
        <v>693</v>
      </c>
      <c r="G45" t="s">
        <v>692</v>
      </c>
      <c r="H45" t="s">
        <v>709</v>
      </c>
      <c r="P45">
        <v>8</v>
      </c>
    </row>
    <row r="46" spans="1:16" x14ac:dyDescent="0.25">
      <c r="A46">
        <v>29</v>
      </c>
      <c r="B46" t="s">
        <v>661</v>
      </c>
      <c r="C46" t="s">
        <v>713</v>
      </c>
      <c r="D46" t="s">
        <v>714</v>
      </c>
      <c r="E46" t="s">
        <v>692</v>
      </c>
      <c r="F46" t="s">
        <v>693</v>
      </c>
      <c r="G46" t="s">
        <v>692</v>
      </c>
      <c r="H46" t="s">
        <v>713</v>
      </c>
      <c r="P46">
        <v>10</v>
      </c>
    </row>
    <row r="47" spans="1:16" x14ac:dyDescent="0.25">
      <c r="A47">
        <v>29</v>
      </c>
      <c r="B47" t="s">
        <v>664</v>
      </c>
      <c r="C47" t="s">
        <v>715</v>
      </c>
      <c r="D47" t="s">
        <v>716</v>
      </c>
      <c r="E47" t="s">
        <v>692</v>
      </c>
      <c r="F47" t="s">
        <v>693</v>
      </c>
      <c r="G47" t="s">
        <v>692</v>
      </c>
      <c r="H47" t="s">
        <v>715</v>
      </c>
      <c r="P47">
        <v>6</v>
      </c>
    </row>
    <row r="48" spans="1:16" x14ac:dyDescent="0.25">
      <c r="A48">
        <v>29</v>
      </c>
      <c r="B48" t="s">
        <v>666</v>
      </c>
      <c r="C48" t="s">
        <v>715</v>
      </c>
      <c r="D48" t="s">
        <v>716</v>
      </c>
      <c r="E48" t="s">
        <v>692</v>
      </c>
      <c r="F48" t="s">
        <v>693</v>
      </c>
      <c r="G48" t="s">
        <v>692</v>
      </c>
      <c r="H48" t="s">
        <v>715</v>
      </c>
      <c r="P48">
        <v>6</v>
      </c>
    </row>
    <row r="49" spans="1:16" x14ac:dyDescent="0.25">
      <c r="A49">
        <v>29</v>
      </c>
      <c r="B49" t="s">
        <v>668</v>
      </c>
      <c r="C49" t="s">
        <v>715</v>
      </c>
      <c r="D49" t="s">
        <v>716</v>
      </c>
      <c r="E49" t="s">
        <v>692</v>
      </c>
      <c r="F49" t="s">
        <v>693</v>
      </c>
      <c r="G49" t="s">
        <v>692</v>
      </c>
      <c r="H49" t="s">
        <v>715</v>
      </c>
      <c r="P49">
        <v>6</v>
      </c>
    </row>
    <row r="50" spans="1:16" x14ac:dyDescent="0.25">
      <c r="A50">
        <v>29</v>
      </c>
      <c r="B50" t="s">
        <v>670</v>
      </c>
      <c r="C50" t="s">
        <v>715</v>
      </c>
      <c r="D50" t="s">
        <v>716</v>
      </c>
      <c r="E50" t="s">
        <v>692</v>
      </c>
      <c r="F50" t="s">
        <v>693</v>
      </c>
      <c r="G50" t="s">
        <v>692</v>
      </c>
      <c r="H50" t="s">
        <v>715</v>
      </c>
      <c r="P50">
        <v>6</v>
      </c>
    </row>
    <row r="51" spans="1:16" x14ac:dyDescent="0.25">
      <c r="A51">
        <v>29</v>
      </c>
      <c r="B51" t="s">
        <v>672</v>
      </c>
      <c r="C51" t="s">
        <v>715</v>
      </c>
      <c r="D51" t="s">
        <v>716</v>
      </c>
      <c r="E51" t="s">
        <v>692</v>
      </c>
      <c r="F51" t="s">
        <v>693</v>
      </c>
      <c r="G51" t="s">
        <v>692</v>
      </c>
      <c r="H51" t="s">
        <v>715</v>
      </c>
      <c r="P51">
        <v>6</v>
      </c>
    </row>
    <row r="52" spans="1:16" x14ac:dyDescent="0.25">
      <c r="A52">
        <v>29</v>
      </c>
      <c r="B52" t="s">
        <v>674</v>
      </c>
      <c r="C52" t="s">
        <v>715</v>
      </c>
      <c r="D52" t="s">
        <v>716</v>
      </c>
      <c r="E52" t="s">
        <v>692</v>
      </c>
      <c r="F52" t="s">
        <v>693</v>
      </c>
      <c r="G52" t="s">
        <v>692</v>
      </c>
      <c r="H52" t="s">
        <v>715</v>
      </c>
      <c r="P52">
        <v>6</v>
      </c>
    </row>
    <row r="53" spans="1:16" x14ac:dyDescent="0.25">
      <c r="A53">
        <v>29</v>
      </c>
      <c r="B53" t="s">
        <v>676</v>
      </c>
      <c r="C53" t="s">
        <v>715</v>
      </c>
      <c r="D53" t="s">
        <v>716</v>
      </c>
      <c r="E53" t="s">
        <v>692</v>
      </c>
      <c r="F53" t="s">
        <v>693</v>
      </c>
      <c r="G53" t="s">
        <v>692</v>
      </c>
      <c r="H53" t="s">
        <v>715</v>
      </c>
      <c r="P53">
        <v>6</v>
      </c>
    </row>
    <row r="54" spans="1:16" x14ac:dyDescent="0.25">
      <c r="A54">
        <v>29</v>
      </c>
      <c r="B54" t="s">
        <v>678</v>
      </c>
      <c r="C54" t="s">
        <v>715</v>
      </c>
      <c r="D54" t="s">
        <v>716</v>
      </c>
      <c r="E54" t="s">
        <v>692</v>
      </c>
      <c r="F54" t="s">
        <v>693</v>
      </c>
      <c r="G54" t="s">
        <v>692</v>
      </c>
      <c r="H54" t="s">
        <v>715</v>
      </c>
      <c r="P54">
        <v>6</v>
      </c>
    </row>
    <row r="55" spans="1:16" x14ac:dyDescent="0.25">
      <c r="A55">
        <v>29</v>
      </c>
      <c r="B55" t="s">
        <v>680</v>
      </c>
      <c r="C55" t="s">
        <v>715</v>
      </c>
      <c r="D55" t="s">
        <v>716</v>
      </c>
      <c r="E55" t="s">
        <v>692</v>
      </c>
      <c r="F55" t="s">
        <v>693</v>
      </c>
      <c r="G55" t="s">
        <v>692</v>
      </c>
      <c r="H55" t="s">
        <v>715</v>
      </c>
      <c r="P55">
        <v>6</v>
      </c>
    </row>
    <row r="56" spans="1:16" x14ac:dyDescent="0.25">
      <c r="A56">
        <v>29</v>
      </c>
      <c r="B56" t="s">
        <v>682</v>
      </c>
      <c r="C56" t="s">
        <v>715</v>
      </c>
      <c r="D56" t="s">
        <v>717</v>
      </c>
      <c r="E56" t="s">
        <v>692</v>
      </c>
      <c r="F56" t="s">
        <v>693</v>
      </c>
      <c r="G56" t="s">
        <v>692</v>
      </c>
      <c r="H56" t="s">
        <v>715</v>
      </c>
      <c r="P56">
        <v>10</v>
      </c>
    </row>
    <row r="57" spans="1:16" x14ac:dyDescent="0.25">
      <c r="A57">
        <v>3</v>
      </c>
      <c r="B57" t="s">
        <v>658</v>
      </c>
      <c r="C57" t="s">
        <v>695</v>
      </c>
      <c r="D57" t="s">
        <v>696</v>
      </c>
      <c r="E57" t="s">
        <v>692</v>
      </c>
      <c r="F57" t="s">
        <v>697</v>
      </c>
      <c r="G57" t="s">
        <v>692</v>
      </c>
      <c r="H57" t="s">
        <v>698</v>
      </c>
      <c r="P57">
        <v>6</v>
      </c>
    </row>
    <row r="58" spans="1:16" x14ac:dyDescent="0.25">
      <c r="A58">
        <v>30</v>
      </c>
      <c r="B58" t="s">
        <v>658</v>
      </c>
      <c r="C58" t="s">
        <v>699</v>
      </c>
      <c r="D58" t="s">
        <v>712</v>
      </c>
      <c r="E58" t="s">
        <v>692</v>
      </c>
      <c r="F58" t="s">
        <v>693</v>
      </c>
      <c r="G58" t="s">
        <v>692</v>
      </c>
      <c r="H58" t="s">
        <v>709</v>
      </c>
      <c r="P58">
        <v>8</v>
      </c>
    </row>
    <row r="59" spans="1:16" x14ac:dyDescent="0.25">
      <c r="A59">
        <v>30</v>
      </c>
      <c r="B59" t="s">
        <v>661</v>
      </c>
      <c r="C59" t="s">
        <v>721</v>
      </c>
      <c r="D59" t="s">
        <v>712</v>
      </c>
      <c r="E59" t="s">
        <v>692</v>
      </c>
      <c r="F59" t="s">
        <v>693</v>
      </c>
      <c r="G59" t="s">
        <v>692</v>
      </c>
      <c r="H59" t="s">
        <v>709</v>
      </c>
      <c r="P59">
        <v>8</v>
      </c>
    </row>
    <row r="60" spans="1:16" x14ac:dyDescent="0.25">
      <c r="A60">
        <v>30</v>
      </c>
      <c r="B60" t="s">
        <v>664</v>
      </c>
      <c r="C60" t="s">
        <v>721</v>
      </c>
      <c r="D60" t="s">
        <v>712</v>
      </c>
      <c r="E60" t="s">
        <v>692</v>
      </c>
      <c r="F60" t="s">
        <v>693</v>
      </c>
      <c r="G60" t="s">
        <v>692</v>
      </c>
      <c r="H60" t="s">
        <v>709</v>
      </c>
      <c r="P60">
        <v>8</v>
      </c>
    </row>
    <row r="61" spans="1:16" x14ac:dyDescent="0.25">
      <c r="A61">
        <v>30</v>
      </c>
      <c r="B61" t="s">
        <v>666</v>
      </c>
      <c r="C61" t="s">
        <v>721</v>
      </c>
      <c r="D61" t="s">
        <v>712</v>
      </c>
      <c r="E61" t="s">
        <v>692</v>
      </c>
      <c r="F61" t="s">
        <v>693</v>
      </c>
      <c r="G61" t="s">
        <v>692</v>
      </c>
      <c r="H61" t="s">
        <v>709</v>
      </c>
      <c r="P61">
        <v>8</v>
      </c>
    </row>
    <row r="62" spans="1:16" x14ac:dyDescent="0.25">
      <c r="A62">
        <v>30</v>
      </c>
      <c r="B62" t="s">
        <v>668</v>
      </c>
      <c r="C62" t="s">
        <v>721</v>
      </c>
      <c r="D62" t="s">
        <v>712</v>
      </c>
      <c r="E62" t="s">
        <v>692</v>
      </c>
      <c r="F62" t="s">
        <v>693</v>
      </c>
      <c r="G62" t="s">
        <v>692</v>
      </c>
      <c r="H62" t="s">
        <v>709</v>
      </c>
      <c r="P62">
        <v>8</v>
      </c>
    </row>
    <row r="63" spans="1:16" x14ac:dyDescent="0.25">
      <c r="A63">
        <v>30</v>
      </c>
      <c r="B63" t="s">
        <v>670</v>
      </c>
      <c r="C63" t="s">
        <v>721</v>
      </c>
      <c r="D63" t="s">
        <v>712</v>
      </c>
      <c r="E63" t="s">
        <v>692</v>
      </c>
      <c r="F63" t="s">
        <v>693</v>
      </c>
      <c r="G63" t="s">
        <v>692</v>
      </c>
      <c r="H63" t="s">
        <v>709</v>
      </c>
      <c r="P63">
        <v>8</v>
      </c>
    </row>
    <row r="64" spans="1:16" x14ac:dyDescent="0.25">
      <c r="A64">
        <v>30</v>
      </c>
      <c r="B64" t="s">
        <v>672</v>
      </c>
      <c r="C64" t="s">
        <v>721</v>
      </c>
      <c r="D64" t="s">
        <v>712</v>
      </c>
      <c r="E64" t="s">
        <v>692</v>
      </c>
      <c r="F64" t="s">
        <v>693</v>
      </c>
      <c r="G64" t="s">
        <v>692</v>
      </c>
      <c r="H64" t="s">
        <v>709</v>
      </c>
      <c r="P64">
        <v>8</v>
      </c>
    </row>
    <row r="65" spans="1:16" x14ac:dyDescent="0.25">
      <c r="A65">
        <v>30</v>
      </c>
      <c r="B65" t="s">
        <v>674</v>
      </c>
      <c r="C65" t="s">
        <v>721</v>
      </c>
      <c r="D65" t="s">
        <v>712</v>
      </c>
      <c r="E65" t="s">
        <v>692</v>
      </c>
      <c r="F65" t="s">
        <v>693</v>
      </c>
      <c r="G65" t="s">
        <v>692</v>
      </c>
      <c r="H65" t="s">
        <v>709</v>
      </c>
      <c r="P65">
        <v>8</v>
      </c>
    </row>
    <row r="66" spans="1:16" x14ac:dyDescent="0.25">
      <c r="A66">
        <v>30</v>
      </c>
      <c r="B66" t="s">
        <v>676</v>
      </c>
      <c r="C66" t="s">
        <v>721</v>
      </c>
      <c r="D66" t="s">
        <v>712</v>
      </c>
      <c r="E66" t="s">
        <v>692</v>
      </c>
      <c r="F66" t="s">
        <v>693</v>
      </c>
      <c r="G66" t="s">
        <v>692</v>
      </c>
      <c r="H66" t="s">
        <v>709</v>
      </c>
      <c r="P66">
        <v>8</v>
      </c>
    </row>
    <row r="67" spans="1:16" x14ac:dyDescent="0.25">
      <c r="A67">
        <v>30</v>
      </c>
      <c r="B67" t="s">
        <v>678</v>
      </c>
      <c r="C67" t="s">
        <v>721</v>
      </c>
      <c r="D67" t="s">
        <v>712</v>
      </c>
      <c r="E67" t="s">
        <v>692</v>
      </c>
      <c r="F67" t="s">
        <v>693</v>
      </c>
      <c r="G67" t="s">
        <v>692</v>
      </c>
      <c r="H67" t="s">
        <v>709</v>
      </c>
      <c r="P67">
        <v>8</v>
      </c>
    </row>
    <row r="68" spans="1:16" x14ac:dyDescent="0.25">
      <c r="A68">
        <v>30</v>
      </c>
      <c r="B68" t="s">
        <v>680</v>
      </c>
      <c r="C68" t="s">
        <v>721</v>
      </c>
      <c r="D68" t="s">
        <v>712</v>
      </c>
      <c r="E68" t="s">
        <v>692</v>
      </c>
      <c r="F68" t="s">
        <v>693</v>
      </c>
      <c r="G68" t="s">
        <v>692</v>
      </c>
      <c r="H68" t="s">
        <v>709</v>
      </c>
      <c r="P68">
        <v>8</v>
      </c>
    </row>
    <row r="69" spans="1:16" x14ac:dyDescent="0.25">
      <c r="A69">
        <v>30</v>
      </c>
      <c r="B69" t="s">
        <v>682</v>
      </c>
      <c r="C69" t="s">
        <v>721</v>
      </c>
      <c r="D69" t="s">
        <v>700</v>
      </c>
      <c r="E69" t="s">
        <v>692</v>
      </c>
      <c r="F69" t="s">
        <v>693</v>
      </c>
      <c r="G69" t="s">
        <v>692</v>
      </c>
      <c r="H69" t="s">
        <v>701</v>
      </c>
      <c r="P69">
        <v>12</v>
      </c>
    </row>
    <row r="70" spans="1:16" x14ac:dyDescent="0.25">
      <c r="A70">
        <v>31</v>
      </c>
      <c r="B70" t="s">
        <v>658</v>
      </c>
      <c r="C70" t="s">
        <v>722</v>
      </c>
      <c r="D70" t="s">
        <v>716</v>
      </c>
      <c r="E70" t="s">
        <v>692</v>
      </c>
      <c r="F70" t="s">
        <v>693</v>
      </c>
      <c r="G70" t="s">
        <v>692</v>
      </c>
      <c r="H70" t="s">
        <v>698</v>
      </c>
      <c r="P70">
        <v>6</v>
      </c>
    </row>
    <row r="71" spans="1:16" x14ac:dyDescent="0.25">
      <c r="A71">
        <v>31</v>
      </c>
      <c r="B71" t="s">
        <v>661</v>
      </c>
      <c r="C71" t="s">
        <v>723</v>
      </c>
      <c r="D71" t="s">
        <v>724</v>
      </c>
      <c r="E71" t="s">
        <v>692</v>
      </c>
      <c r="F71" t="s">
        <v>693</v>
      </c>
      <c r="G71" t="s">
        <v>692</v>
      </c>
      <c r="H71" t="s">
        <v>701</v>
      </c>
      <c r="P71">
        <v>12</v>
      </c>
    </row>
    <row r="72" spans="1:16" x14ac:dyDescent="0.25">
      <c r="A72">
        <v>31</v>
      </c>
      <c r="B72" t="s">
        <v>664</v>
      </c>
      <c r="C72" t="s">
        <v>723</v>
      </c>
      <c r="D72" t="s">
        <v>724</v>
      </c>
      <c r="E72" t="s">
        <v>692</v>
      </c>
      <c r="F72" t="s">
        <v>693</v>
      </c>
      <c r="G72" t="s">
        <v>692</v>
      </c>
      <c r="H72" t="s">
        <v>701</v>
      </c>
      <c r="P72">
        <v>12</v>
      </c>
    </row>
    <row r="73" spans="1:16" x14ac:dyDescent="0.25">
      <c r="A73">
        <v>31</v>
      </c>
      <c r="B73" t="s">
        <v>666</v>
      </c>
      <c r="C73" t="s">
        <v>723</v>
      </c>
      <c r="D73" t="s">
        <v>724</v>
      </c>
      <c r="E73" t="s">
        <v>692</v>
      </c>
      <c r="F73" t="s">
        <v>693</v>
      </c>
      <c r="G73" t="s">
        <v>692</v>
      </c>
      <c r="H73" t="s">
        <v>701</v>
      </c>
      <c r="P73">
        <v>12</v>
      </c>
    </row>
    <row r="74" spans="1:16" x14ac:dyDescent="0.25">
      <c r="A74">
        <v>31</v>
      </c>
      <c r="B74" t="s">
        <v>668</v>
      </c>
      <c r="C74" t="s">
        <v>723</v>
      </c>
      <c r="D74" t="s">
        <v>724</v>
      </c>
      <c r="E74" t="s">
        <v>692</v>
      </c>
      <c r="F74" t="s">
        <v>693</v>
      </c>
      <c r="G74" t="s">
        <v>692</v>
      </c>
      <c r="H74" t="s">
        <v>701</v>
      </c>
      <c r="P74">
        <v>12</v>
      </c>
    </row>
    <row r="75" spans="1:16" x14ac:dyDescent="0.25">
      <c r="A75">
        <v>31</v>
      </c>
      <c r="B75" t="s">
        <v>670</v>
      </c>
      <c r="C75" t="s">
        <v>723</v>
      </c>
      <c r="D75" t="s">
        <v>724</v>
      </c>
      <c r="E75" t="s">
        <v>692</v>
      </c>
      <c r="F75" t="s">
        <v>693</v>
      </c>
      <c r="G75" t="s">
        <v>692</v>
      </c>
      <c r="H75" t="s">
        <v>701</v>
      </c>
      <c r="P75">
        <v>12</v>
      </c>
    </row>
    <row r="76" spans="1:16" x14ac:dyDescent="0.25">
      <c r="A76">
        <v>31</v>
      </c>
      <c r="B76" t="s">
        <v>672</v>
      </c>
      <c r="C76" t="s">
        <v>723</v>
      </c>
      <c r="D76" t="s">
        <v>724</v>
      </c>
      <c r="E76" t="s">
        <v>692</v>
      </c>
      <c r="F76" t="s">
        <v>693</v>
      </c>
      <c r="G76" t="s">
        <v>692</v>
      </c>
      <c r="H76" t="s">
        <v>701</v>
      </c>
      <c r="P76">
        <v>12</v>
      </c>
    </row>
    <row r="77" spans="1:16" x14ac:dyDescent="0.25">
      <c r="A77">
        <v>31</v>
      </c>
      <c r="B77" t="s">
        <v>674</v>
      </c>
      <c r="C77" t="s">
        <v>723</v>
      </c>
      <c r="D77" t="s">
        <v>724</v>
      </c>
      <c r="E77" t="s">
        <v>692</v>
      </c>
      <c r="F77" t="s">
        <v>693</v>
      </c>
      <c r="G77" t="s">
        <v>692</v>
      </c>
      <c r="H77" t="s">
        <v>701</v>
      </c>
      <c r="P77">
        <v>12</v>
      </c>
    </row>
    <row r="78" spans="1:16" x14ac:dyDescent="0.25">
      <c r="A78">
        <v>31</v>
      </c>
      <c r="B78" t="s">
        <v>676</v>
      </c>
      <c r="C78" t="s">
        <v>723</v>
      </c>
      <c r="D78" t="s">
        <v>724</v>
      </c>
      <c r="E78" t="s">
        <v>692</v>
      </c>
      <c r="F78" t="s">
        <v>693</v>
      </c>
      <c r="G78" t="s">
        <v>692</v>
      </c>
      <c r="H78" t="s">
        <v>701</v>
      </c>
      <c r="P78">
        <v>12</v>
      </c>
    </row>
    <row r="79" spans="1:16" x14ac:dyDescent="0.25">
      <c r="A79">
        <v>31</v>
      </c>
      <c r="B79" t="s">
        <v>678</v>
      </c>
      <c r="C79" t="s">
        <v>723</v>
      </c>
      <c r="D79" t="s">
        <v>724</v>
      </c>
      <c r="E79" t="s">
        <v>692</v>
      </c>
      <c r="F79" t="s">
        <v>693</v>
      </c>
      <c r="G79" t="s">
        <v>692</v>
      </c>
      <c r="H79" t="s">
        <v>701</v>
      </c>
      <c r="P79">
        <v>12</v>
      </c>
    </row>
    <row r="80" spans="1:16" x14ac:dyDescent="0.25">
      <c r="A80">
        <v>31</v>
      </c>
      <c r="B80" t="s">
        <v>680</v>
      </c>
      <c r="C80" t="s">
        <v>723</v>
      </c>
      <c r="D80" t="s">
        <v>725</v>
      </c>
      <c r="E80" t="s">
        <v>692</v>
      </c>
      <c r="F80" t="s">
        <v>693</v>
      </c>
      <c r="G80" t="s">
        <v>692</v>
      </c>
      <c r="H80" t="s">
        <v>705</v>
      </c>
      <c r="P80">
        <v>16</v>
      </c>
    </row>
    <row r="81" spans="1:16" x14ac:dyDescent="0.25">
      <c r="A81">
        <v>32</v>
      </c>
      <c r="B81" t="s">
        <v>658</v>
      </c>
      <c r="C81" t="s">
        <v>706</v>
      </c>
      <c r="D81" t="s">
        <v>696</v>
      </c>
      <c r="E81" t="s">
        <v>692</v>
      </c>
      <c r="F81" t="s">
        <v>693</v>
      </c>
      <c r="G81" t="s">
        <v>692</v>
      </c>
      <c r="H81" t="s">
        <v>698</v>
      </c>
      <c r="P81">
        <v>6</v>
      </c>
    </row>
    <row r="82" spans="1:16" x14ac:dyDescent="0.25">
      <c r="A82">
        <v>33</v>
      </c>
      <c r="B82" t="s">
        <v>658</v>
      </c>
      <c r="C82" t="s">
        <v>706</v>
      </c>
      <c r="D82" t="s">
        <v>696</v>
      </c>
      <c r="E82" t="s">
        <v>692</v>
      </c>
      <c r="F82" t="s">
        <v>693</v>
      </c>
      <c r="G82" t="s">
        <v>692</v>
      </c>
      <c r="H82" t="s">
        <v>698</v>
      </c>
      <c r="P82">
        <v>6</v>
      </c>
    </row>
    <row r="83" spans="1:16" x14ac:dyDescent="0.25">
      <c r="A83">
        <v>34</v>
      </c>
      <c r="B83" t="s">
        <v>658</v>
      </c>
      <c r="C83" t="s">
        <v>713</v>
      </c>
      <c r="D83" t="s">
        <v>714</v>
      </c>
      <c r="E83" t="s">
        <v>692</v>
      </c>
      <c r="F83" t="s">
        <v>693</v>
      </c>
      <c r="G83" t="s">
        <v>692</v>
      </c>
      <c r="H83" t="s">
        <v>713</v>
      </c>
      <c r="P83">
        <v>10</v>
      </c>
    </row>
    <row r="84" spans="1:16" x14ac:dyDescent="0.25">
      <c r="A84">
        <v>34</v>
      </c>
      <c r="B84" t="s">
        <v>661</v>
      </c>
      <c r="C84" t="s">
        <v>713</v>
      </c>
      <c r="D84" t="s">
        <v>714</v>
      </c>
      <c r="E84" t="s">
        <v>692</v>
      </c>
      <c r="F84" t="s">
        <v>693</v>
      </c>
      <c r="G84" t="s">
        <v>692</v>
      </c>
      <c r="H84" t="s">
        <v>713</v>
      </c>
      <c r="P84">
        <v>10</v>
      </c>
    </row>
    <row r="85" spans="1:16" x14ac:dyDescent="0.25">
      <c r="A85">
        <v>34</v>
      </c>
      <c r="B85" t="s">
        <v>664</v>
      </c>
      <c r="C85" t="s">
        <v>715</v>
      </c>
      <c r="D85" t="s">
        <v>716</v>
      </c>
      <c r="E85" t="s">
        <v>692</v>
      </c>
      <c r="F85" t="s">
        <v>693</v>
      </c>
      <c r="G85" t="s">
        <v>692</v>
      </c>
      <c r="H85" t="s">
        <v>715</v>
      </c>
      <c r="P85">
        <v>6</v>
      </c>
    </row>
    <row r="86" spans="1:16" x14ac:dyDescent="0.25">
      <c r="A86">
        <v>34</v>
      </c>
      <c r="B86" t="s">
        <v>666</v>
      </c>
      <c r="C86" t="s">
        <v>715</v>
      </c>
      <c r="D86" t="s">
        <v>716</v>
      </c>
      <c r="E86" t="s">
        <v>692</v>
      </c>
      <c r="F86" t="s">
        <v>693</v>
      </c>
      <c r="G86" t="s">
        <v>692</v>
      </c>
      <c r="H86" t="s">
        <v>715</v>
      </c>
      <c r="P86">
        <v>6</v>
      </c>
    </row>
    <row r="87" spans="1:16" x14ac:dyDescent="0.25">
      <c r="A87">
        <v>34</v>
      </c>
      <c r="B87" t="s">
        <v>668</v>
      </c>
      <c r="C87" t="s">
        <v>715</v>
      </c>
      <c r="D87" t="s">
        <v>716</v>
      </c>
      <c r="E87" t="s">
        <v>692</v>
      </c>
      <c r="F87" t="s">
        <v>693</v>
      </c>
      <c r="G87" t="s">
        <v>692</v>
      </c>
      <c r="H87" t="s">
        <v>715</v>
      </c>
      <c r="P87">
        <v>6</v>
      </c>
    </row>
    <row r="88" spans="1:16" x14ac:dyDescent="0.25">
      <c r="A88">
        <v>34</v>
      </c>
      <c r="B88" t="s">
        <v>670</v>
      </c>
      <c r="C88" t="s">
        <v>715</v>
      </c>
      <c r="D88" t="s">
        <v>716</v>
      </c>
      <c r="E88" t="s">
        <v>692</v>
      </c>
      <c r="F88" t="s">
        <v>693</v>
      </c>
      <c r="G88" t="s">
        <v>692</v>
      </c>
      <c r="H88" t="s">
        <v>715</v>
      </c>
      <c r="P88">
        <v>6</v>
      </c>
    </row>
    <row r="89" spans="1:16" x14ac:dyDescent="0.25">
      <c r="A89">
        <v>34</v>
      </c>
      <c r="B89" t="s">
        <v>672</v>
      </c>
      <c r="C89" t="s">
        <v>715</v>
      </c>
      <c r="D89" t="s">
        <v>716</v>
      </c>
      <c r="E89" t="s">
        <v>692</v>
      </c>
      <c r="F89" t="s">
        <v>693</v>
      </c>
      <c r="G89" t="s">
        <v>692</v>
      </c>
      <c r="H89" t="s">
        <v>715</v>
      </c>
      <c r="P89">
        <v>6</v>
      </c>
    </row>
    <row r="90" spans="1:16" x14ac:dyDescent="0.25">
      <c r="A90">
        <v>34</v>
      </c>
      <c r="B90" t="s">
        <v>674</v>
      </c>
      <c r="C90" t="s">
        <v>715</v>
      </c>
      <c r="D90" t="s">
        <v>716</v>
      </c>
      <c r="E90" t="s">
        <v>692</v>
      </c>
      <c r="F90" t="s">
        <v>693</v>
      </c>
      <c r="G90" t="s">
        <v>692</v>
      </c>
      <c r="H90" t="s">
        <v>715</v>
      </c>
      <c r="P90">
        <v>6</v>
      </c>
    </row>
    <row r="91" spans="1:16" x14ac:dyDescent="0.25">
      <c r="A91">
        <v>34</v>
      </c>
      <c r="B91" t="s">
        <v>676</v>
      </c>
      <c r="C91" t="s">
        <v>715</v>
      </c>
      <c r="D91" t="s">
        <v>716</v>
      </c>
      <c r="E91" t="s">
        <v>692</v>
      </c>
      <c r="F91" t="s">
        <v>693</v>
      </c>
      <c r="G91" t="s">
        <v>692</v>
      </c>
      <c r="H91" t="s">
        <v>715</v>
      </c>
      <c r="P91">
        <v>6</v>
      </c>
    </row>
    <row r="92" spans="1:16" x14ac:dyDescent="0.25">
      <c r="A92">
        <v>34</v>
      </c>
      <c r="B92" t="s">
        <v>678</v>
      </c>
      <c r="C92" t="s">
        <v>715</v>
      </c>
      <c r="D92" t="s">
        <v>716</v>
      </c>
      <c r="E92" t="s">
        <v>692</v>
      </c>
      <c r="F92" t="s">
        <v>693</v>
      </c>
      <c r="G92" t="s">
        <v>692</v>
      </c>
      <c r="H92" t="s">
        <v>715</v>
      </c>
      <c r="P92">
        <v>6</v>
      </c>
    </row>
    <row r="93" spans="1:16" x14ac:dyDescent="0.25">
      <c r="A93">
        <v>34</v>
      </c>
      <c r="B93" t="s">
        <v>680</v>
      </c>
      <c r="C93" t="s">
        <v>715</v>
      </c>
      <c r="D93" t="s">
        <v>716</v>
      </c>
      <c r="E93" t="s">
        <v>692</v>
      </c>
      <c r="F93" t="s">
        <v>693</v>
      </c>
      <c r="G93" t="s">
        <v>692</v>
      </c>
      <c r="H93" t="s">
        <v>715</v>
      </c>
      <c r="P93">
        <v>6</v>
      </c>
    </row>
    <row r="94" spans="1:16" x14ac:dyDescent="0.25">
      <c r="A94">
        <v>34</v>
      </c>
      <c r="B94" t="s">
        <v>682</v>
      </c>
      <c r="C94" t="s">
        <v>715</v>
      </c>
      <c r="D94" t="s">
        <v>717</v>
      </c>
      <c r="E94" t="s">
        <v>692</v>
      </c>
      <c r="F94" t="s">
        <v>693</v>
      </c>
      <c r="G94" t="s">
        <v>692</v>
      </c>
      <c r="H94" t="s">
        <v>715</v>
      </c>
      <c r="P94">
        <v>10</v>
      </c>
    </row>
    <row r="95" spans="1:16" x14ac:dyDescent="0.25">
      <c r="A95">
        <v>35</v>
      </c>
      <c r="B95" t="s">
        <v>658</v>
      </c>
      <c r="C95" t="s">
        <v>706</v>
      </c>
      <c r="D95" t="s">
        <v>696</v>
      </c>
      <c r="E95" t="s">
        <v>692</v>
      </c>
      <c r="F95" t="s">
        <v>693</v>
      </c>
      <c r="G95" t="s">
        <v>692</v>
      </c>
      <c r="H95" t="s">
        <v>698</v>
      </c>
      <c r="P95">
        <v>6</v>
      </c>
    </row>
    <row r="96" spans="1:16" x14ac:dyDescent="0.25">
      <c r="A96">
        <v>36</v>
      </c>
      <c r="B96" t="s">
        <v>658</v>
      </c>
      <c r="C96" t="s">
        <v>707</v>
      </c>
      <c r="D96" t="s">
        <v>708</v>
      </c>
      <c r="E96" t="s">
        <v>692</v>
      </c>
      <c r="F96" t="s">
        <v>693</v>
      </c>
      <c r="G96" t="s">
        <v>692</v>
      </c>
      <c r="H96" t="s">
        <v>709</v>
      </c>
      <c r="P96">
        <v>8</v>
      </c>
    </row>
    <row r="97" spans="1:16" x14ac:dyDescent="0.25">
      <c r="A97">
        <v>37</v>
      </c>
      <c r="B97" t="s">
        <v>658</v>
      </c>
      <c r="C97" t="s">
        <v>699</v>
      </c>
      <c r="D97" t="s">
        <v>712</v>
      </c>
      <c r="E97" t="s">
        <v>692</v>
      </c>
      <c r="F97" t="s">
        <v>693</v>
      </c>
      <c r="G97" t="s">
        <v>692</v>
      </c>
      <c r="H97" t="s">
        <v>709</v>
      </c>
      <c r="P97">
        <v>8</v>
      </c>
    </row>
    <row r="98" spans="1:16" x14ac:dyDescent="0.25">
      <c r="A98">
        <v>37</v>
      </c>
      <c r="B98" t="s">
        <v>661</v>
      </c>
      <c r="C98" t="s">
        <v>713</v>
      </c>
      <c r="D98" t="s">
        <v>714</v>
      </c>
      <c r="E98" t="s">
        <v>692</v>
      </c>
      <c r="F98" t="s">
        <v>693</v>
      </c>
      <c r="G98" t="s">
        <v>692</v>
      </c>
      <c r="H98" t="s">
        <v>713</v>
      </c>
      <c r="P98">
        <v>10</v>
      </c>
    </row>
    <row r="99" spans="1:16" x14ac:dyDescent="0.25">
      <c r="A99">
        <v>37</v>
      </c>
      <c r="B99" t="s">
        <v>664</v>
      </c>
      <c r="C99" t="s">
        <v>715</v>
      </c>
      <c r="D99" t="s">
        <v>716</v>
      </c>
      <c r="E99" t="s">
        <v>692</v>
      </c>
      <c r="F99" t="s">
        <v>693</v>
      </c>
      <c r="G99" t="s">
        <v>692</v>
      </c>
      <c r="H99" t="s">
        <v>715</v>
      </c>
      <c r="P99">
        <v>6</v>
      </c>
    </row>
    <row r="100" spans="1:16" x14ac:dyDescent="0.25">
      <c r="A100">
        <v>37</v>
      </c>
      <c r="B100" t="s">
        <v>666</v>
      </c>
      <c r="C100" t="s">
        <v>715</v>
      </c>
      <c r="D100" t="s">
        <v>716</v>
      </c>
      <c r="E100" t="s">
        <v>692</v>
      </c>
      <c r="F100" t="s">
        <v>693</v>
      </c>
      <c r="G100" t="s">
        <v>692</v>
      </c>
      <c r="H100" t="s">
        <v>715</v>
      </c>
      <c r="P100">
        <v>6</v>
      </c>
    </row>
    <row r="101" spans="1:16" x14ac:dyDescent="0.25">
      <c r="A101">
        <v>37</v>
      </c>
      <c r="B101" t="s">
        <v>668</v>
      </c>
      <c r="C101" t="s">
        <v>715</v>
      </c>
      <c r="D101" t="s">
        <v>716</v>
      </c>
      <c r="E101" t="s">
        <v>692</v>
      </c>
      <c r="F101" t="s">
        <v>693</v>
      </c>
      <c r="G101" t="s">
        <v>692</v>
      </c>
      <c r="H101" t="s">
        <v>715</v>
      </c>
      <c r="P101">
        <v>6</v>
      </c>
    </row>
    <row r="102" spans="1:16" x14ac:dyDescent="0.25">
      <c r="A102">
        <v>37</v>
      </c>
      <c r="B102" t="s">
        <v>670</v>
      </c>
      <c r="C102" t="s">
        <v>715</v>
      </c>
      <c r="D102" t="s">
        <v>716</v>
      </c>
      <c r="E102" t="s">
        <v>692</v>
      </c>
      <c r="F102" t="s">
        <v>693</v>
      </c>
      <c r="G102" t="s">
        <v>692</v>
      </c>
      <c r="H102" t="s">
        <v>715</v>
      </c>
      <c r="P102">
        <v>6</v>
      </c>
    </row>
    <row r="103" spans="1:16" x14ac:dyDescent="0.25">
      <c r="A103">
        <v>37</v>
      </c>
      <c r="B103" t="s">
        <v>672</v>
      </c>
      <c r="C103" t="s">
        <v>715</v>
      </c>
      <c r="D103" t="s">
        <v>716</v>
      </c>
      <c r="E103" t="s">
        <v>692</v>
      </c>
      <c r="F103" t="s">
        <v>693</v>
      </c>
      <c r="G103" t="s">
        <v>692</v>
      </c>
      <c r="H103" t="s">
        <v>715</v>
      </c>
      <c r="P103">
        <v>6</v>
      </c>
    </row>
    <row r="104" spans="1:16" x14ac:dyDescent="0.25">
      <c r="A104">
        <v>37</v>
      </c>
      <c r="B104" t="s">
        <v>674</v>
      </c>
      <c r="C104" t="s">
        <v>715</v>
      </c>
      <c r="D104" t="s">
        <v>716</v>
      </c>
      <c r="E104" t="s">
        <v>692</v>
      </c>
      <c r="F104" t="s">
        <v>693</v>
      </c>
      <c r="G104" t="s">
        <v>692</v>
      </c>
      <c r="H104" t="s">
        <v>715</v>
      </c>
      <c r="P104">
        <v>6</v>
      </c>
    </row>
    <row r="105" spans="1:16" x14ac:dyDescent="0.25">
      <c r="A105">
        <v>37</v>
      </c>
      <c r="B105" t="s">
        <v>676</v>
      </c>
      <c r="C105" t="s">
        <v>715</v>
      </c>
      <c r="D105" t="s">
        <v>716</v>
      </c>
      <c r="E105" t="s">
        <v>692</v>
      </c>
      <c r="F105" t="s">
        <v>693</v>
      </c>
      <c r="G105" t="s">
        <v>692</v>
      </c>
      <c r="H105" t="s">
        <v>715</v>
      </c>
      <c r="P105">
        <v>6</v>
      </c>
    </row>
    <row r="106" spans="1:16" x14ac:dyDescent="0.25">
      <c r="A106">
        <v>37</v>
      </c>
      <c r="B106" t="s">
        <v>678</v>
      </c>
      <c r="C106" t="s">
        <v>715</v>
      </c>
      <c r="D106" t="s">
        <v>716</v>
      </c>
      <c r="E106" t="s">
        <v>692</v>
      </c>
      <c r="F106" t="s">
        <v>693</v>
      </c>
      <c r="G106" t="s">
        <v>692</v>
      </c>
      <c r="H106" t="s">
        <v>715</v>
      </c>
      <c r="P106">
        <v>6</v>
      </c>
    </row>
    <row r="107" spans="1:16" x14ac:dyDescent="0.25">
      <c r="A107">
        <v>37</v>
      </c>
      <c r="B107" t="s">
        <v>680</v>
      </c>
      <c r="C107" t="s">
        <v>715</v>
      </c>
      <c r="D107" t="s">
        <v>716</v>
      </c>
      <c r="E107" t="s">
        <v>692</v>
      </c>
      <c r="F107" t="s">
        <v>693</v>
      </c>
      <c r="G107" t="s">
        <v>692</v>
      </c>
      <c r="H107" t="s">
        <v>715</v>
      </c>
      <c r="P107">
        <v>6</v>
      </c>
    </row>
    <row r="108" spans="1:16" x14ac:dyDescent="0.25">
      <c r="A108">
        <v>37</v>
      </c>
      <c r="B108" t="s">
        <v>682</v>
      </c>
      <c r="C108" t="s">
        <v>715</v>
      </c>
      <c r="D108" t="s">
        <v>717</v>
      </c>
      <c r="E108" t="s">
        <v>692</v>
      </c>
      <c r="F108" t="s">
        <v>693</v>
      </c>
      <c r="G108" t="s">
        <v>692</v>
      </c>
      <c r="H108" t="s">
        <v>715</v>
      </c>
      <c r="P108">
        <v>10</v>
      </c>
    </row>
    <row r="109" spans="1:16" x14ac:dyDescent="0.25">
      <c r="A109">
        <v>38</v>
      </c>
      <c r="B109" t="s">
        <v>658</v>
      </c>
      <c r="C109" t="s">
        <v>706</v>
      </c>
      <c r="D109" t="s">
        <v>696</v>
      </c>
      <c r="E109" t="s">
        <v>692</v>
      </c>
      <c r="F109" t="s">
        <v>693</v>
      </c>
      <c r="G109" t="s">
        <v>692</v>
      </c>
      <c r="H109" t="s">
        <v>698</v>
      </c>
      <c r="P109">
        <v>6</v>
      </c>
    </row>
    <row r="110" spans="1:16" x14ac:dyDescent="0.25">
      <c r="A110">
        <v>39</v>
      </c>
      <c r="B110" t="s">
        <v>658</v>
      </c>
      <c r="C110" t="s">
        <v>706</v>
      </c>
      <c r="D110" t="s">
        <v>696</v>
      </c>
      <c r="E110" t="s">
        <v>692</v>
      </c>
      <c r="F110" t="s">
        <v>693</v>
      </c>
      <c r="G110" t="s">
        <v>692</v>
      </c>
      <c r="H110" t="s">
        <v>698</v>
      </c>
      <c r="P110">
        <v>6</v>
      </c>
    </row>
    <row r="111" spans="1:16" x14ac:dyDescent="0.25">
      <c r="A111">
        <v>4</v>
      </c>
      <c r="B111" t="s">
        <v>658</v>
      </c>
      <c r="C111" t="s">
        <v>690</v>
      </c>
      <c r="D111" t="s">
        <v>691</v>
      </c>
      <c r="E111" t="s">
        <v>692</v>
      </c>
      <c r="F111" t="s">
        <v>693</v>
      </c>
      <c r="G111" t="s">
        <v>692</v>
      </c>
      <c r="H111" t="s">
        <v>694</v>
      </c>
      <c r="P111">
        <v>14</v>
      </c>
    </row>
    <row r="112" spans="1:16" x14ac:dyDescent="0.25">
      <c r="A112">
        <v>40</v>
      </c>
      <c r="B112" t="s">
        <v>658</v>
      </c>
      <c r="C112" t="s">
        <v>706</v>
      </c>
      <c r="D112" t="s">
        <v>700</v>
      </c>
      <c r="E112" t="s">
        <v>692</v>
      </c>
      <c r="F112" t="s">
        <v>693</v>
      </c>
      <c r="G112" t="s">
        <v>692</v>
      </c>
      <c r="H112" t="s">
        <v>701</v>
      </c>
      <c r="P112">
        <v>12</v>
      </c>
    </row>
    <row r="113" spans="1:16" x14ac:dyDescent="0.25">
      <c r="A113">
        <v>41</v>
      </c>
      <c r="B113" t="s">
        <v>658</v>
      </c>
      <c r="C113" t="s">
        <v>715</v>
      </c>
      <c r="D113" t="s">
        <v>726</v>
      </c>
      <c r="E113" t="s">
        <v>692</v>
      </c>
      <c r="F113" t="s">
        <v>693</v>
      </c>
      <c r="G113" t="s">
        <v>692</v>
      </c>
      <c r="H113" t="s">
        <v>715</v>
      </c>
      <c r="P113">
        <v>8</v>
      </c>
    </row>
    <row r="114" spans="1:16" x14ac:dyDescent="0.25">
      <c r="A114">
        <v>42</v>
      </c>
      <c r="B114" t="s">
        <v>658</v>
      </c>
      <c r="C114" t="s">
        <v>707</v>
      </c>
      <c r="D114" t="s">
        <v>708</v>
      </c>
      <c r="E114" t="s">
        <v>692</v>
      </c>
      <c r="F114" t="s">
        <v>693</v>
      </c>
      <c r="G114" t="s">
        <v>692</v>
      </c>
      <c r="H114" t="s">
        <v>709</v>
      </c>
      <c r="P114">
        <v>8</v>
      </c>
    </row>
    <row r="115" spans="1:16" x14ac:dyDescent="0.25">
      <c r="A115">
        <v>43</v>
      </c>
      <c r="B115" t="s">
        <v>658</v>
      </c>
      <c r="C115" t="s">
        <v>707</v>
      </c>
      <c r="D115" t="s">
        <v>708</v>
      </c>
      <c r="E115" t="s">
        <v>692</v>
      </c>
      <c r="F115" t="s">
        <v>693</v>
      </c>
      <c r="G115" t="s">
        <v>692</v>
      </c>
      <c r="H115" t="s">
        <v>709</v>
      </c>
      <c r="P115">
        <v>8</v>
      </c>
    </row>
    <row r="116" spans="1:16" x14ac:dyDescent="0.25">
      <c r="A116">
        <v>44</v>
      </c>
      <c r="B116" t="s">
        <v>658</v>
      </c>
      <c r="C116" t="s">
        <v>707</v>
      </c>
      <c r="D116" t="s">
        <v>708</v>
      </c>
      <c r="E116" t="s">
        <v>692</v>
      </c>
      <c r="F116" t="s">
        <v>693</v>
      </c>
      <c r="G116" t="s">
        <v>692</v>
      </c>
      <c r="H116" t="s">
        <v>709</v>
      </c>
      <c r="P116">
        <v>8</v>
      </c>
    </row>
    <row r="117" spans="1:16" x14ac:dyDescent="0.25">
      <c r="A117">
        <v>45</v>
      </c>
      <c r="B117" t="s">
        <v>658</v>
      </c>
      <c r="C117" t="s">
        <v>713</v>
      </c>
      <c r="D117" t="s">
        <v>714</v>
      </c>
      <c r="E117" t="s">
        <v>692</v>
      </c>
      <c r="F117" t="s">
        <v>693</v>
      </c>
      <c r="G117" t="s">
        <v>692</v>
      </c>
      <c r="H117" t="s">
        <v>713</v>
      </c>
      <c r="P117">
        <v>10</v>
      </c>
    </row>
    <row r="118" spans="1:16" x14ac:dyDescent="0.25">
      <c r="A118">
        <v>45</v>
      </c>
      <c r="B118" t="s">
        <v>661</v>
      </c>
      <c r="C118" t="s">
        <v>713</v>
      </c>
      <c r="D118" t="s">
        <v>714</v>
      </c>
      <c r="E118" t="s">
        <v>692</v>
      </c>
      <c r="F118" t="s">
        <v>693</v>
      </c>
      <c r="G118" t="s">
        <v>692</v>
      </c>
      <c r="H118" t="s">
        <v>713</v>
      </c>
      <c r="P118">
        <v>10</v>
      </c>
    </row>
    <row r="119" spans="1:16" x14ac:dyDescent="0.25">
      <c r="A119">
        <v>45</v>
      </c>
      <c r="B119" t="s">
        <v>664</v>
      </c>
      <c r="C119" t="s">
        <v>715</v>
      </c>
      <c r="D119" t="s">
        <v>716</v>
      </c>
      <c r="E119" t="s">
        <v>692</v>
      </c>
      <c r="F119" t="s">
        <v>693</v>
      </c>
      <c r="G119" t="s">
        <v>692</v>
      </c>
      <c r="H119" t="s">
        <v>715</v>
      </c>
      <c r="P119">
        <v>6</v>
      </c>
    </row>
    <row r="120" spans="1:16" x14ac:dyDescent="0.25">
      <c r="A120">
        <v>45</v>
      </c>
      <c r="B120" t="s">
        <v>666</v>
      </c>
      <c r="C120" t="s">
        <v>715</v>
      </c>
      <c r="D120" t="s">
        <v>716</v>
      </c>
      <c r="E120" t="s">
        <v>692</v>
      </c>
      <c r="F120" t="s">
        <v>693</v>
      </c>
      <c r="G120" t="s">
        <v>692</v>
      </c>
      <c r="H120" t="s">
        <v>715</v>
      </c>
      <c r="P120">
        <v>6</v>
      </c>
    </row>
    <row r="121" spans="1:16" x14ac:dyDescent="0.25">
      <c r="A121">
        <v>45</v>
      </c>
      <c r="B121" t="s">
        <v>668</v>
      </c>
      <c r="C121" t="s">
        <v>715</v>
      </c>
      <c r="D121" t="s">
        <v>716</v>
      </c>
      <c r="E121" t="s">
        <v>692</v>
      </c>
      <c r="F121" t="s">
        <v>693</v>
      </c>
      <c r="G121" t="s">
        <v>692</v>
      </c>
      <c r="H121" t="s">
        <v>715</v>
      </c>
      <c r="P121">
        <v>6</v>
      </c>
    </row>
    <row r="122" spans="1:16" x14ac:dyDescent="0.25">
      <c r="A122">
        <v>45</v>
      </c>
      <c r="B122" t="s">
        <v>670</v>
      </c>
      <c r="C122" t="s">
        <v>715</v>
      </c>
      <c r="D122" t="s">
        <v>716</v>
      </c>
      <c r="E122" t="s">
        <v>692</v>
      </c>
      <c r="F122" t="s">
        <v>693</v>
      </c>
      <c r="G122" t="s">
        <v>692</v>
      </c>
      <c r="H122" t="s">
        <v>715</v>
      </c>
      <c r="P122">
        <v>6</v>
      </c>
    </row>
    <row r="123" spans="1:16" x14ac:dyDescent="0.25">
      <c r="A123">
        <v>45</v>
      </c>
      <c r="B123" t="s">
        <v>672</v>
      </c>
      <c r="C123" t="s">
        <v>715</v>
      </c>
      <c r="D123" t="s">
        <v>716</v>
      </c>
      <c r="E123" t="s">
        <v>692</v>
      </c>
      <c r="F123" t="s">
        <v>693</v>
      </c>
      <c r="G123" t="s">
        <v>692</v>
      </c>
      <c r="H123" t="s">
        <v>715</v>
      </c>
      <c r="P123">
        <v>6</v>
      </c>
    </row>
    <row r="124" spans="1:16" x14ac:dyDescent="0.25">
      <c r="A124">
        <v>45</v>
      </c>
      <c r="B124" t="s">
        <v>674</v>
      </c>
      <c r="C124" t="s">
        <v>715</v>
      </c>
      <c r="D124" t="s">
        <v>716</v>
      </c>
      <c r="E124" t="s">
        <v>692</v>
      </c>
      <c r="F124" t="s">
        <v>693</v>
      </c>
      <c r="G124" t="s">
        <v>692</v>
      </c>
      <c r="H124" t="s">
        <v>715</v>
      </c>
      <c r="P124">
        <v>6</v>
      </c>
    </row>
    <row r="125" spans="1:16" x14ac:dyDescent="0.25">
      <c r="A125">
        <v>45</v>
      </c>
      <c r="B125" t="s">
        <v>676</v>
      </c>
      <c r="C125" t="s">
        <v>715</v>
      </c>
      <c r="D125" t="s">
        <v>716</v>
      </c>
      <c r="E125" t="s">
        <v>692</v>
      </c>
      <c r="F125" t="s">
        <v>693</v>
      </c>
      <c r="G125" t="s">
        <v>692</v>
      </c>
      <c r="H125" t="s">
        <v>715</v>
      </c>
      <c r="P125">
        <v>6</v>
      </c>
    </row>
    <row r="126" spans="1:16" x14ac:dyDescent="0.25">
      <c r="A126">
        <v>45</v>
      </c>
      <c r="B126" t="s">
        <v>678</v>
      </c>
      <c r="C126" t="s">
        <v>715</v>
      </c>
      <c r="D126" t="s">
        <v>716</v>
      </c>
      <c r="E126" t="s">
        <v>692</v>
      </c>
      <c r="F126" t="s">
        <v>693</v>
      </c>
      <c r="G126" t="s">
        <v>692</v>
      </c>
      <c r="H126" t="s">
        <v>715</v>
      </c>
      <c r="P126">
        <v>6</v>
      </c>
    </row>
    <row r="127" spans="1:16" x14ac:dyDescent="0.25">
      <c r="A127">
        <v>45</v>
      </c>
      <c r="B127" t="s">
        <v>680</v>
      </c>
      <c r="C127" t="s">
        <v>715</v>
      </c>
      <c r="D127" t="s">
        <v>716</v>
      </c>
      <c r="E127" t="s">
        <v>692</v>
      </c>
      <c r="F127" t="s">
        <v>693</v>
      </c>
      <c r="G127" t="s">
        <v>692</v>
      </c>
      <c r="H127" t="s">
        <v>715</v>
      </c>
      <c r="P127">
        <v>6</v>
      </c>
    </row>
    <row r="128" spans="1:16" x14ac:dyDescent="0.25">
      <c r="A128">
        <v>45</v>
      </c>
      <c r="B128" t="s">
        <v>682</v>
      </c>
      <c r="C128" t="s">
        <v>715</v>
      </c>
      <c r="D128" t="s">
        <v>717</v>
      </c>
      <c r="E128" t="s">
        <v>692</v>
      </c>
      <c r="F128" t="s">
        <v>693</v>
      </c>
      <c r="G128" t="s">
        <v>692</v>
      </c>
      <c r="H128" t="s">
        <v>715</v>
      </c>
      <c r="P128">
        <v>10</v>
      </c>
    </row>
    <row r="129" spans="1:16" x14ac:dyDescent="0.25">
      <c r="A129">
        <v>46</v>
      </c>
      <c r="B129" t="s">
        <v>658</v>
      </c>
      <c r="C129" t="s">
        <v>713</v>
      </c>
      <c r="D129" t="s">
        <v>714</v>
      </c>
      <c r="E129" t="s">
        <v>692</v>
      </c>
      <c r="F129" t="s">
        <v>693</v>
      </c>
      <c r="G129" t="s">
        <v>692</v>
      </c>
      <c r="H129" t="s">
        <v>713</v>
      </c>
      <c r="P129">
        <v>10</v>
      </c>
    </row>
    <row r="130" spans="1:16" x14ac:dyDescent="0.25">
      <c r="A130">
        <v>46</v>
      </c>
      <c r="B130" t="s">
        <v>661</v>
      </c>
      <c r="C130" t="s">
        <v>713</v>
      </c>
      <c r="D130" t="s">
        <v>714</v>
      </c>
      <c r="E130" t="s">
        <v>692</v>
      </c>
      <c r="F130" t="s">
        <v>693</v>
      </c>
      <c r="G130" t="s">
        <v>692</v>
      </c>
      <c r="H130" t="s">
        <v>713</v>
      </c>
      <c r="P130">
        <v>10</v>
      </c>
    </row>
    <row r="131" spans="1:16" x14ac:dyDescent="0.25">
      <c r="A131">
        <v>46</v>
      </c>
      <c r="B131" t="s">
        <v>664</v>
      </c>
      <c r="C131" t="s">
        <v>715</v>
      </c>
      <c r="D131" t="s">
        <v>716</v>
      </c>
      <c r="E131" t="s">
        <v>692</v>
      </c>
      <c r="F131" t="s">
        <v>693</v>
      </c>
      <c r="G131" t="s">
        <v>692</v>
      </c>
      <c r="H131" t="s">
        <v>715</v>
      </c>
      <c r="P131">
        <v>6</v>
      </c>
    </row>
    <row r="132" spans="1:16" x14ac:dyDescent="0.25">
      <c r="A132">
        <v>46</v>
      </c>
      <c r="B132" t="s">
        <v>666</v>
      </c>
      <c r="C132" t="s">
        <v>715</v>
      </c>
      <c r="D132" t="s">
        <v>716</v>
      </c>
      <c r="E132" t="s">
        <v>692</v>
      </c>
      <c r="F132" t="s">
        <v>693</v>
      </c>
      <c r="G132" t="s">
        <v>692</v>
      </c>
      <c r="H132" t="s">
        <v>715</v>
      </c>
      <c r="P132">
        <v>6</v>
      </c>
    </row>
    <row r="133" spans="1:16" x14ac:dyDescent="0.25">
      <c r="A133">
        <v>46</v>
      </c>
      <c r="B133" t="s">
        <v>668</v>
      </c>
      <c r="C133" t="s">
        <v>715</v>
      </c>
      <c r="D133" t="s">
        <v>716</v>
      </c>
      <c r="E133" t="s">
        <v>692</v>
      </c>
      <c r="F133" t="s">
        <v>693</v>
      </c>
      <c r="G133" t="s">
        <v>692</v>
      </c>
      <c r="H133" t="s">
        <v>715</v>
      </c>
      <c r="P133">
        <v>6</v>
      </c>
    </row>
    <row r="134" spans="1:16" x14ac:dyDescent="0.25">
      <c r="A134">
        <v>46</v>
      </c>
      <c r="B134" t="s">
        <v>670</v>
      </c>
      <c r="C134" t="s">
        <v>715</v>
      </c>
      <c r="D134" t="s">
        <v>716</v>
      </c>
      <c r="E134" t="s">
        <v>692</v>
      </c>
      <c r="F134" t="s">
        <v>693</v>
      </c>
      <c r="G134" t="s">
        <v>692</v>
      </c>
      <c r="H134" t="s">
        <v>715</v>
      </c>
      <c r="P134">
        <v>6</v>
      </c>
    </row>
    <row r="135" spans="1:16" x14ac:dyDescent="0.25">
      <c r="A135">
        <v>46</v>
      </c>
      <c r="B135" t="s">
        <v>672</v>
      </c>
      <c r="C135" t="s">
        <v>715</v>
      </c>
      <c r="D135" t="s">
        <v>716</v>
      </c>
      <c r="E135" t="s">
        <v>692</v>
      </c>
      <c r="F135" t="s">
        <v>693</v>
      </c>
      <c r="G135" t="s">
        <v>692</v>
      </c>
      <c r="H135" t="s">
        <v>715</v>
      </c>
      <c r="P135">
        <v>6</v>
      </c>
    </row>
    <row r="136" spans="1:16" x14ac:dyDescent="0.25">
      <c r="A136">
        <v>46</v>
      </c>
      <c r="B136" t="s">
        <v>674</v>
      </c>
      <c r="C136" t="s">
        <v>715</v>
      </c>
      <c r="D136" t="s">
        <v>716</v>
      </c>
      <c r="E136" t="s">
        <v>692</v>
      </c>
      <c r="F136" t="s">
        <v>693</v>
      </c>
      <c r="G136" t="s">
        <v>692</v>
      </c>
      <c r="H136" t="s">
        <v>715</v>
      </c>
      <c r="P136">
        <v>6</v>
      </c>
    </row>
    <row r="137" spans="1:16" x14ac:dyDescent="0.25">
      <c r="A137">
        <v>46</v>
      </c>
      <c r="B137" t="s">
        <v>676</v>
      </c>
      <c r="C137" t="s">
        <v>715</v>
      </c>
      <c r="D137" t="s">
        <v>716</v>
      </c>
      <c r="E137" t="s">
        <v>692</v>
      </c>
      <c r="F137" t="s">
        <v>693</v>
      </c>
      <c r="G137" t="s">
        <v>692</v>
      </c>
      <c r="H137" t="s">
        <v>715</v>
      </c>
      <c r="P137">
        <v>6</v>
      </c>
    </row>
    <row r="138" spans="1:16" x14ac:dyDescent="0.25">
      <c r="A138">
        <v>46</v>
      </c>
      <c r="B138" t="s">
        <v>678</v>
      </c>
      <c r="C138" t="s">
        <v>715</v>
      </c>
      <c r="D138" t="s">
        <v>716</v>
      </c>
      <c r="E138" t="s">
        <v>692</v>
      </c>
      <c r="F138" t="s">
        <v>693</v>
      </c>
      <c r="G138" t="s">
        <v>692</v>
      </c>
      <c r="H138" t="s">
        <v>715</v>
      </c>
      <c r="P138">
        <v>6</v>
      </c>
    </row>
    <row r="139" spans="1:16" x14ac:dyDescent="0.25">
      <c r="A139">
        <v>46</v>
      </c>
      <c r="B139" t="s">
        <v>680</v>
      </c>
      <c r="C139" t="s">
        <v>715</v>
      </c>
      <c r="D139" t="s">
        <v>716</v>
      </c>
      <c r="E139" t="s">
        <v>692</v>
      </c>
      <c r="F139" t="s">
        <v>693</v>
      </c>
      <c r="G139" t="s">
        <v>692</v>
      </c>
      <c r="H139" t="s">
        <v>715</v>
      </c>
      <c r="P139">
        <v>6</v>
      </c>
    </row>
    <row r="140" spans="1:16" x14ac:dyDescent="0.25">
      <c r="A140">
        <v>46</v>
      </c>
      <c r="B140" t="s">
        <v>682</v>
      </c>
      <c r="C140" t="s">
        <v>715</v>
      </c>
      <c r="D140" t="s">
        <v>717</v>
      </c>
      <c r="E140" t="s">
        <v>692</v>
      </c>
      <c r="F140" t="s">
        <v>693</v>
      </c>
      <c r="G140" t="s">
        <v>692</v>
      </c>
      <c r="H140" t="s">
        <v>715</v>
      </c>
      <c r="P140">
        <v>10</v>
      </c>
    </row>
    <row r="141" spans="1:16" x14ac:dyDescent="0.25">
      <c r="A141">
        <v>47</v>
      </c>
      <c r="B141" t="s">
        <v>658</v>
      </c>
      <c r="C141" t="s">
        <v>713</v>
      </c>
      <c r="D141" t="s">
        <v>714</v>
      </c>
      <c r="E141" t="s">
        <v>692</v>
      </c>
      <c r="F141" t="s">
        <v>693</v>
      </c>
      <c r="G141" t="s">
        <v>692</v>
      </c>
      <c r="H141" t="s">
        <v>713</v>
      </c>
      <c r="P141">
        <v>10</v>
      </c>
    </row>
    <row r="142" spans="1:16" x14ac:dyDescent="0.25">
      <c r="A142">
        <v>47</v>
      </c>
      <c r="B142" t="s">
        <v>661</v>
      </c>
      <c r="C142" t="s">
        <v>713</v>
      </c>
      <c r="D142" t="s">
        <v>714</v>
      </c>
      <c r="E142" t="s">
        <v>692</v>
      </c>
      <c r="F142" t="s">
        <v>693</v>
      </c>
      <c r="G142" t="s">
        <v>692</v>
      </c>
      <c r="H142" t="s">
        <v>713</v>
      </c>
      <c r="P142">
        <v>10</v>
      </c>
    </row>
    <row r="143" spans="1:16" x14ac:dyDescent="0.25">
      <c r="A143">
        <v>47</v>
      </c>
      <c r="B143" t="s">
        <v>664</v>
      </c>
      <c r="C143" t="s">
        <v>715</v>
      </c>
      <c r="D143" t="s">
        <v>716</v>
      </c>
      <c r="E143" t="s">
        <v>692</v>
      </c>
      <c r="F143" t="s">
        <v>693</v>
      </c>
      <c r="G143" t="s">
        <v>692</v>
      </c>
      <c r="H143" t="s">
        <v>715</v>
      </c>
      <c r="P143">
        <v>6</v>
      </c>
    </row>
    <row r="144" spans="1:16" x14ac:dyDescent="0.25">
      <c r="A144">
        <v>47</v>
      </c>
      <c r="B144" t="s">
        <v>666</v>
      </c>
      <c r="C144" t="s">
        <v>715</v>
      </c>
      <c r="D144" t="s">
        <v>716</v>
      </c>
      <c r="E144" t="s">
        <v>692</v>
      </c>
      <c r="F144" t="s">
        <v>693</v>
      </c>
      <c r="G144" t="s">
        <v>692</v>
      </c>
      <c r="H144" t="s">
        <v>715</v>
      </c>
      <c r="P144">
        <v>6</v>
      </c>
    </row>
    <row r="145" spans="1:16" x14ac:dyDescent="0.25">
      <c r="A145">
        <v>47</v>
      </c>
      <c r="B145" t="s">
        <v>668</v>
      </c>
      <c r="C145" t="s">
        <v>715</v>
      </c>
      <c r="D145" t="s">
        <v>716</v>
      </c>
      <c r="E145" t="s">
        <v>692</v>
      </c>
      <c r="F145" t="s">
        <v>693</v>
      </c>
      <c r="G145" t="s">
        <v>692</v>
      </c>
      <c r="H145" t="s">
        <v>715</v>
      </c>
      <c r="P145">
        <v>6</v>
      </c>
    </row>
    <row r="146" spans="1:16" x14ac:dyDescent="0.25">
      <c r="A146">
        <v>47</v>
      </c>
      <c r="B146" t="s">
        <v>670</v>
      </c>
      <c r="C146" t="s">
        <v>715</v>
      </c>
      <c r="D146" t="s">
        <v>716</v>
      </c>
      <c r="E146" t="s">
        <v>692</v>
      </c>
      <c r="F146" t="s">
        <v>693</v>
      </c>
      <c r="G146" t="s">
        <v>692</v>
      </c>
      <c r="H146" t="s">
        <v>715</v>
      </c>
      <c r="P146">
        <v>6</v>
      </c>
    </row>
    <row r="147" spans="1:16" x14ac:dyDescent="0.25">
      <c r="A147">
        <v>47</v>
      </c>
      <c r="B147" t="s">
        <v>672</v>
      </c>
      <c r="C147" t="s">
        <v>715</v>
      </c>
      <c r="D147" t="s">
        <v>716</v>
      </c>
      <c r="E147" t="s">
        <v>692</v>
      </c>
      <c r="F147" t="s">
        <v>693</v>
      </c>
      <c r="G147" t="s">
        <v>692</v>
      </c>
      <c r="H147" t="s">
        <v>715</v>
      </c>
      <c r="P147">
        <v>6</v>
      </c>
    </row>
    <row r="148" spans="1:16" x14ac:dyDescent="0.25">
      <c r="A148">
        <v>47</v>
      </c>
      <c r="B148" t="s">
        <v>674</v>
      </c>
      <c r="C148" t="s">
        <v>715</v>
      </c>
      <c r="D148" t="s">
        <v>716</v>
      </c>
      <c r="E148" t="s">
        <v>692</v>
      </c>
      <c r="F148" t="s">
        <v>693</v>
      </c>
      <c r="G148" t="s">
        <v>692</v>
      </c>
      <c r="H148" t="s">
        <v>715</v>
      </c>
      <c r="P148">
        <v>6</v>
      </c>
    </row>
    <row r="149" spans="1:16" x14ac:dyDescent="0.25">
      <c r="A149">
        <v>47</v>
      </c>
      <c r="B149" t="s">
        <v>676</v>
      </c>
      <c r="C149" t="s">
        <v>715</v>
      </c>
      <c r="D149" t="s">
        <v>716</v>
      </c>
      <c r="E149" t="s">
        <v>692</v>
      </c>
      <c r="F149" t="s">
        <v>693</v>
      </c>
      <c r="G149" t="s">
        <v>692</v>
      </c>
      <c r="H149" t="s">
        <v>715</v>
      </c>
      <c r="P149">
        <v>6</v>
      </c>
    </row>
    <row r="150" spans="1:16" x14ac:dyDescent="0.25">
      <c r="A150">
        <v>47</v>
      </c>
      <c r="B150" t="s">
        <v>678</v>
      </c>
      <c r="C150" t="s">
        <v>715</v>
      </c>
      <c r="D150" t="s">
        <v>716</v>
      </c>
      <c r="E150" t="s">
        <v>692</v>
      </c>
      <c r="F150" t="s">
        <v>693</v>
      </c>
      <c r="G150" t="s">
        <v>692</v>
      </c>
      <c r="H150" t="s">
        <v>715</v>
      </c>
      <c r="P150">
        <v>6</v>
      </c>
    </row>
    <row r="151" spans="1:16" x14ac:dyDescent="0.25">
      <c r="A151">
        <v>47</v>
      </c>
      <c r="B151" t="s">
        <v>680</v>
      </c>
      <c r="C151" t="s">
        <v>715</v>
      </c>
      <c r="D151" t="s">
        <v>716</v>
      </c>
      <c r="E151" t="s">
        <v>692</v>
      </c>
      <c r="F151" t="s">
        <v>693</v>
      </c>
      <c r="G151" t="s">
        <v>692</v>
      </c>
      <c r="H151" t="s">
        <v>715</v>
      </c>
      <c r="P151">
        <v>6</v>
      </c>
    </row>
    <row r="152" spans="1:16" x14ac:dyDescent="0.25">
      <c r="A152">
        <v>47</v>
      </c>
      <c r="B152" t="s">
        <v>682</v>
      </c>
      <c r="C152" t="s">
        <v>715</v>
      </c>
      <c r="D152" t="s">
        <v>717</v>
      </c>
      <c r="E152" t="s">
        <v>692</v>
      </c>
      <c r="F152" t="s">
        <v>693</v>
      </c>
      <c r="G152" t="s">
        <v>692</v>
      </c>
      <c r="H152" t="s">
        <v>715</v>
      </c>
      <c r="P152">
        <v>10</v>
      </c>
    </row>
    <row r="153" spans="1:16" x14ac:dyDescent="0.25">
      <c r="A153">
        <v>48</v>
      </c>
      <c r="B153" t="s">
        <v>658</v>
      </c>
      <c r="C153" t="s">
        <v>727</v>
      </c>
      <c r="D153" t="s">
        <v>724</v>
      </c>
      <c r="E153" t="s">
        <v>692</v>
      </c>
      <c r="F153" t="s">
        <v>693</v>
      </c>
      <c r="G153" t="s">
        <v>692</v>
      </c>
      <c r="H153" t="s">
        <v>701</v>
      </c>
      <c r="P153">
        <v>12</v>
      </c>
    </row>
    <row r="154" spans="1:16" x14ac:dyDescent="0.25">
      <c r="A154">
        <v>48</v>
      </c>
      <c r="B154" t="s">
        <v>661</v>
      </c>
      <c r="C154" t="s">
        <v>713</v>
      </c>
      <c r="D154" t="s">
        <v>714</v>
      </c>
      <c r="E154" t="s">
        <v>692</v>
      </c>
      <c r="F154" t="s">
        <v>693</v>
      </c>
      <c r="G154" t="s">
        <v>692</v>
      </c>
      <c r="H154" t="s">
        <v>713</v>
      </c>
      <c r="P154">
        <v>10</v>
      </c>
    </row>
    <row r="155" spans="1:16" x14ac:dyDescent="0.25">
      <c r="A155">
        <v>48</v>
      </c>
      <c r="B155" t="s">
        <v>664</v>
      </c>
      <c r="C155" t="s">
        <v>715</v>
      </c>
      <c r="D155" t="s">
        <v>716</v>
      </c>
      <c r="E155" t="s">
        <v>692</v>
      </c>
      <c r="F155" t="s">
        <v>693</v>
      </c>
      <c r="G155" t="s">
        <v>692</v>
      </c>
      <c r="H155" t="s">
        <v>715</v>
      </c>
      <c r="P155">
        <v>6</v>
      </c>
    </row>
    <row r="156" spans="1:16" x14ac:dyDescent="0.25">
      <c r="A156">
        <v>48</v>
      </c>
      <c r="B156" t="s">
        <v>666</v>
      </c>
      <c r="C156" t="s">
        <v>715</v>
      </c>
      <c r="D156" t="s">
        <v>716</v>
      </c>
      <c r="E156" t="s">
        <v>692</v>
      </c>
      <c r="F156" t="s">
        <v>693</v>
      </c>
      <c r="G156" t="s">
        <v>692</v>
      </c>
      <c r="H156" t="s">
        <v>715</v>
      </c>
      <c r="P156">
        <v>6</v>
      </c>
    </row>
    <row r="157" spans="1:16" x14ac:dyDescent="0.25">
      <c r="A157">
        <v>48</v>
      </c>
      <c r="B157" t="s">
        <v>668</v>
      </c>
      <c r="C157" t="s">
        <v>715</v>
      </c>
      <c r="D157" t="s">
        <v>716</v>
      </c>
      <c r="E157" t="s">
        <v>692</v>
      </c>
      <c r="F157" t="s">
        <v>693</v>
      </c>
      <c r="G157" t="s">
        <v>692</v>
      </c>
      <c r="H157" t="s">
        <v>715</v>
      </c>
      <c r="P157">
        <v>6</v>
      </c>
    </row>
    <row r="158" spans="1:16" x14ac:dyDescent="0.25">
      <c r="A158">
        <v>48</v>
      </c>
      <c r="B158" t="s">
        <v>670</v>
      </c>
      <c r="C158" t="s">
        <v>715</v>
      </c>
      <c r="D158" t="s">
        <v>716</v>
      </c>
      <c r="E158" t="s">
        <v>692</v>
      </c>
      <c r="F158" t="s">
        <v>693</v>
      </c>
      <c r="G158" t="s">
        <v>692</v>
      </c>
      <c r="H158" t="s">
        <v>715</v>
      </c>
      <c r="P158">
        <v>6</v>
      </c>
    </row>
    <row r="159" spans="1:16" x14ac:dyDescent="0.25">
      <c r="A159">
        <v>48</v>
      </c>
      <c r="B159" t="s">
        <v>672</v>
      </c>
      <c r="C159" t="s">
        <v>715</v>
      </c>
      <c r="D159" t="s">
        <v>716</v>
      </c>
      <c r="E159" t="s">
        <v>692</v>
      </c>
      <c r="F159" t="s">
        <v>693</v>
      </c>
      <c r="G159" t="s">
        <v>692</v>
      </c>
      <c r="H159" t="s">
        <v>715</v>
      </c>
      <c r="P159">
        <v>6</v>
      </c>
    </row>
    <row r="160" spans="1:16" x14ac:dyDescent="0.25">
      <c r="A160">
        <v>48</v>
      </c>
      <c r="B160" t="s">
        <v>674</v>
      </c>
      <c r="C160" t="s">
        <v>715</v>
      </c>
      <c r="D160" t="s">
        <v>716</v>
      </c>
      <c r="E160" t="s">
        <v>692</v>
      </c>
      <c r="F160" t="s">
        <v>693</v>
      </c>
      <c r="G160" t="s">
        <v>692</v>
      </c>
      <c r="H160" t="s">
        <v>715</v>
      </c>
      <c r="P160">
        <v>6</v>
      </c>
    </row>
    <row r="161" spans="1:16" x14ac:dyDescent="0.25">
      <c r="A161">
        <v>48</v>
      </c>
      <c r="B161" t="s">
        <v>676</v>
      </c>
      <c r="C161" t="s">
        <v>715</v>
      </c>
      <c r="D161" t="s">
        <v>716</v>
      </c>
      <c r="E161" t="s">
        <v>692</v>
      </c>
      <c r="F161" t="s">
        <v>693</v>
      </c>
      <c r="G161" t="s">
        <v>692</v>
      </c>
      <c r="H161" t="s">
        <v>715</v>
      </c>
      <c r="P161">
        <v>6</v>
      </c>
    </row>
    <row r="162" spans="1:16" x14ac:dyDescent="0.25">
      <c r="A162">
        <v>48</v>
      </c>
      <c r="B162" t="s">
        <v>678</v>
      </c>
      <c r="C162" t="s">
        <v>715</v>
      </c>
      <c r="D162" t="s">
        <v>716</v>
      </c>
      <c r="E162" t="s">
        <v>692</v>
      </c>
      <c r="F162" t="s">
        <v>693</v>
      </c>
      <c r="G162" t="s">
        <v>692</v>
      </c>
      <c r="H162" t="s">
        <v>715</v>
      </c>
      <c r="P162">
        <v>6</v>
      </c>
    </row>
    <row r="163" spans="1:16" x14ac:dyDescent="0.25">
      <c r="A163">
        <v>48</v>
      </c>
      <c r="B163" t="s">
        <v>680</v>
      </c>
      <c r="C163" t="s">
        <v>715</v>
      </c>
      <c r="D163" t="s">
        <v>716</v>
      </c>
      <c r="E163" t="s">
        <v>692</v>
      </c>
      <c r="F163" t="s">
        <v>693</v>
      </c>
      <c r="G163" t="s">
        <v>692</v>
      </c>
      <c r="H163" t="s">
        <v>715</v>
      </c>
      <c r="P163">
        <v>6</v>
      </c>
    </row>
    <row r="164" spans="1:16" x14ac:dyDescent="0.25">
      <c r="A164">
        <v>48</v>
      </c>
      <c r="B164" t="s">
        <v>682</v>
      </c>
      <c r="C164" t="s">
        <v>715</v>
      </c>
      <c r="D164" t="s">
        <v>717</v>
      </c>
      <c r="E164" t="s">
        <v>692</v>
      </c>
      <c r="F164" t="s">
        <v>693</v>
      </c>
      <c r="G164" t="s">
        <v>692</v>
      </c>
      <c r="H164" t="s">
        <v>715</v>
      </c>
      <c r="P164">
        <v>10</v>
      </c>
    </row>
    <row r="165" spans="1:16" x14ac:dyDescent="0.25">
      <c r="A165">
        <v>49</v>
      </c>
      <c r="B165" t="s">
        <v>658</v>
      </c>
      <c r="C165" t="s">
        <v>728</v>
      </c>
      <c r="D165" t="s">
        <v>696</v>
      </c>
      <c r="E165" t="s">
        <v>692</v>
      </c>
      <c r="F165" t="s">
        <v>693</v>
      </c>
      <c r="G165" t="s">
        <v>692</v>
      </c>
      <c r="H165" t="s">
        <v>698</v>
      </c>
      <c r="P165">
        <v>6</v>
      </c>
    </row>
    <row r="166" spans="1:16" x14ac:dyDescent="0.25">
      <c r="A166">
        <v>5</v>
      </c>
      <c r="B166" t="s">
        <v>658</v>
      </c>
      <c r="C166" t="s">
        <v>690</v>
      </c>
      <c r="D166" t="s">
        <v>691</v>
      </c>
      <c r="E166" t="s">
        <v>692</v>
      </c>
      <c r="F166" t="s">
        <v>693</v>
      </c>
      <c r="G166" t="s">
        <v>692</v>
      </c>
      <c r="H166" t="s">
        <v>694</v>
      </c>
      <c r="P166">
        <v>14</v>
      </c>
    </row>
    <row r="167" spans="1:16" x14ac:dyDescent="0.25">
      <c r="A167">
        <v>50</v>
      </c>
      <c r="B167" t="s">
        <v>658</v>
      </c>
      <c r="C167" t="s">
        <v>706</v>
      </c>
      <c r="D167" t="s">
        <v>696</v>
      </c>
      <c r="E167" t="s">
        <v>692</v>
      </c>
      <c r="F167" t="s">
        <v>693</v>
      </c>
      <c r="G167" t="s">
        <v>692</v>
      </c>
      <c r="H167" t="s">
        <v>698</v>
      </c>
      <c r="P167">
        <v>6</v>
      </c>
    </row>
    <row r="168" spans="1:16" x14ac:dyDescent="0.25">
      <c r="A168">
        <v>51</v>
      </c>
      <c r="B168" t="s">
        <v>658</v>
      </c>
      <c r="C168" t="s">
        <v>706</v>
      </c>
      <c r="D168" t="s">
        <v>696</v>
      </c>
      <c r="E168" t="s">
        <v>692</v>
      </c>
      <c r="F168" t="s">
        <v>693</v>
      </c>
      <c r="G168" t="s">
        <v>692</v>
      </c>
      <c r="H168" t="s">
        <v>698</v>
      </c>
      <c r="P168">
        <v>6</v>
      </c>
    </row>
    <row r="169" spans="1:16" x14ac:dyDescent="0.25">
      <c r="A169">
        <v>52</v>
      </c>
      <c r="B169" t="s">
        <v>658</v>
      </c>
      <c r="C169" t="s">
        <v>729</v>
      </c>
      <c r="D169" t="s">
        <v>708</v>
      </c>
      <c r="E169" t="s">
        <v>692</v>
      </c>
      <c r="F169" t="s">
        <v>693</v>
      </c>
      <c r="G169" t="s">
        <v>692</v>
      </c>
      <c r="H169" t="s">
        <v>729</v>
      </c>
      <c r="P169">
        <v>8</v>
      </c>
    </row>
    <row r="170" spans="1:16" x14ac:dyDescent="0.25">
      <c r="A170">
        <v>53</v>
      </c>
      <c r="B170" t="s">
        <v>658</v>
      </c>
      <c r="C170" t="s">
        <v>729</v>
      </c>
      <c r="D170" t="s">
        <v>708</v>
      </c>
      <c r="E170" t="s">
        <v>692</v>
      </c>
      <c r="F170" t="s">
        <v>693</v>
      </c>
      <c r="G170" t="s">
        <v>692</v>
      </c>
      <c r="H170" t="s">
        <v>729</v>
      </c>
      <c r="P170">
        <v>8</v>
      </c>
    </row>
    <row r="171" spans="1:16" x14ac:dyDescent="0.25">
      <c r="A171">
        <v>54</v>
      </c>
      <c r="B171" t="s">
        <v>658</v>
      </c>
      <c r="C171" t="s">
        <v>729</v>
      </c>
      <c r="D171" t="s">
        <v>708</v>
      </c>
      <c r="E171" t="s">
        <v>692</v>
      </c>
      <c r="F171" t="s">
        <v>693</v>
      </c>
      <c r="G171" t="s">
        <v>692</v>
      </c>
      <c r="H171" t="s">
        <v>729</v>
      </c>
      <c r="P171">
        <v>8</v>
      </c>
    </row>
    <row r="172" spans="1:16" x14ac:dyDescent="0.25">
      <c r="A172">
        <v>55</v>
      </c>
      <c r="B172" t="s">
        <v>658</v>
      </c>
      <c r="C172" t="s">
        <v>729</v>
      </c>
      <c r="D172" t="s">
        <v>708</v>
      </c>
      <c r="E172" t="s">
        <v>692</v>
      </c>
      <c r="F172" t="s">
        <v>693</v>
      </c>
      <c r="G172" t="s">
        <v>692</v>
      </c>
      <c r="H172" t="s">
        <v>729</v>
      </c>
      <c r="P172">
        <v>8</v>
      </c>
    </row>
    <row r="173" spans="1:16" x14ac:dyDescent="0.25">
      <c r="A173">
        <v>56</v>
      </c>
      <c r="B173" t="s">
        <v>658</v>
      </c>
      <c r="C173" t="s">
        <v>718</v>
      </c>
      <c r="D173" t="s">
        <v>719</v>
      </c>
      <c r="E173" t="s">
        <v>692</v>
      </c>
      <c r="F173" t="s">
        <v>693</v>
      </c>
      <c r="G173" t="s">
        <v>692</v>
      </c>
      <c r="H173" t="s">
        <v>720</v>
      </c>
      <c r="P173">
        <v>10</v>
      </c>
    </row>
    <row r="174" spans="1:16" x14ac:dyDescent="0.25">
      <c r="A174">
        <v>57</v>
      </c>
      <c r="B174" t="s">
        <v>658</v>
      </c>
      <c r="C174" t="s">
        <v>706</v>
      </c>
      <c r="D174" t="s">
        <v>696</v>
      </c>
      <c r="E174" t="s">
        <v>692</v>
      </c>
      <c r="F174" t="s">
        <v>693</v>
      </c>
      <c r="G174" t="s">
        <v>692</v>
      </c>
      <c r="H174" t="s">
        <v>698</v>
      </c>
      <c r="P174">
        <v>6</v>
      </c>
    </row>
    <row r="175" spans="1:16" x14ac:dyDescent="0.25">
      <c r="A175">
        <v>58</v>
      </c>
      <c r="B175" t="s">
        <v>658</v>
      </c>
      <c r="C175" t="s">
        <v>706</v>
      </c>
      <c r="D175" t="s">
        <v>696</v>
      </c>
      <c r="E175" t="s">
        <v>692</v>
      </c>
      <c r="F175" t="s">
        <v>693</v>
      </c>
      <c r="G175" t="s">
        <v>692</v>
      </c>
      <c r="H175" t="s">
        <v>698</v>
      </c>
      <c r="P175">
        <v>6</v>
      </c>
    </row>
    <row r="176" spans="1:16" x14ac:dyDescent="0.25">
      <c r="A176">
        <v>59</v>
      </c>
      <c r="B176" t="s">
        <v>658</v>
      </c>
      <c r="C176" t="s">
        <v>706</v>
      </c>
      <c r="D176" t="s">
        <v>696</v>
      </c>
      <c r="E176" t="s">
        <v>692</v>
      </c>
      <c r="F176" t="s">
        <v>693</v>
      </c>
      <c r="G176" t="s">
        <v>692</v>
      </c>
      <c r="H176" t="s">
        <v>698</v>
      </c>
      <c r="P176">
        <v>6</v>
      </c>
    </row>
    <row r="177" spans="1:16" x14ac:dyDescent="0.25">
      <c r="A177">
        <v>6</v>
      </c>
      <c r="B177" t="s">
        <v>658</v>
      </c>
      <c r="C177" t="s">
        <v>699</v>
      </c>
      <c r="D177" t="s">
        <v>700</v>
      </c>
      <c r="E177" t="s">
        <v>692</v>
      </c>
      <c r="F177" t="s">
        <v>693</v>
      </c>
      <c r="G177" t="s">
        <v>692</v>
      </c>
      <c r="H177" t="s">
        <v>701</v>
      </c>
      <c r="P177">
        <v>12</v>
      </c>
    </row>
    <row r="178" spans="1:16" x14ac:dyDescent="0.25">
      <c r="A178">
        <v>60</v>
      </c>
      <c r="B178" t="s">
        <v>658</v>
      </c>
      <c r="C178" t="s">
        <v>690</v>
      </c>
      <c r="D178" t="s">
        <v>691</v>
      </c>
      <c r="E178" t="s">
        <v>692</v>
      </c>
      <c r="F178" t="s">
        <v>693</v>
      </c>
      <c r="G178" t="s">
        <v>692</v>
      </c>
      <c r="H178" t="s">
        <v>694</v>
      </c>
      <c r="P178">
        <v>14</v>
      </c>
    </row>
    <row r="179" spans="1:16" x14ac:dyDescent="0.25">
      <c r="A179">
        <v>61</v>
      </c>
      <c r="B179" t="s">
        <v>658</v>
      </c>
      <c r="C179" t="s">
        <v>706</v>
      </c>
      <c r="D179" t="s">
        <v>696</v>
      </c>
      <c r="E179" t="s">
        <v>692</v>
      </c>
      <c r="F179" t="s">
        <v>693</v>
      </c>
      <c r="G179" t="s">
        <v>692</v>
      </c>
      <c r="H179" t="s">
        <v>698</v>
      </c>
      <c r="P179">
        <v>6</v>
      </c>
    </row>
    <row r="180" spans="1:16" x14ac:dyDescent="0.25">
      <c r="A180">
        <v>62</v>
      </c>
      <c r="B180" t="s">
        <v>658</v>
      </c>
      <c r="C180" t="s">
        <v>706</v>
      </c>
      <c r="D180" t="s">
        <v>696</v>
      </c>
      <c r="E180" t="s">
        <v>692</v>
      </c>
      <c r="F180" t="s">
        <v>693</v>
      </c>
      <c r="G180" t="s">
        <v>692</v>
      </c>
      <c r="H180" t="s">
        <v>698</v>
      </c>
      <c r="P180">
        <v>6</v>
      </c>
    </row>
    <row r="181" spans="1:16" x14ac:dyDescent="0.25">
      <c r="A181">
        <v>63</v>
      </c>
      <c r="B181" t="s">
        <v>658</v>
      </c>
      <c r="C181" t="s">
        <v>690</v>
      </c>
      <c r="D181" t="s">
        <v>691</v>
      </c>
      <c r="E181" t="s">
        <v>692</v>
      </c>
      <c r="F181" t="s">
        <v>693</v>
      </c>
      <c r="G181" t="s">
        <v>692</v>
      </c>
      <c r="H181" t="s">
        <v>694</v>
      </c>
      <c r="P181">
        <v>14</v>
      </c>
    </row>
    <row r="182" spans="1:16" x14ac:dyDescent="0.25">
      <c r="A182">
        <v>64</v>
      </c>
      <c r="B182" t="s">
        <v>661</v>
      </c>
      <c r="C182" t="s">
        <v>713</v>
      </c>
      <c r="D182" t="s">
        <v>714</v>
      </c>
      <c r="E182" t="s">
        <v>692</v>
      </c>
      <c r="F182" t="s">
        <v>693</v>
      </c>
      <c r="G182" t="s">
        <v>692</v>
      </c>
      <c r="H182" t="s">
        <v>713</v>
      </c>
      <c r="P182">
        <v>10</v>
      </c>
    </row>
    <row r="183" spans="1:16" x14ac:dyDescent="0.25">
      <c r="A183">
        <v>64</v>
      </c>
      <c r="B183" t="s">
        <v>664</v>
      </c>
      <c r="C183" t="s">
        <v>715</v>
      </c>
      <c r="D183" t="s">
        <v>716</v>
      </c>
      <c r="E183" t="s">
        <v>692</v>
      </c>
      <c r="F183" t="s">
        <v>693</v>
      </c>
      <c r="G183" t="s">
        <v>692</v>
      </c>
      <c r="H183" t="s">
        <v>715</v>
      </c>
      <c r="P183">
        <v>6</v>
      </c>
    </row>
    <row r="184" spans="1:16" x14ac:dyDescent="0.25">
      <c r="A184">
        <v>64</v>
      </c>
      <c r="B184" t="s">
        <v>666</v>
      </c>
      <c r="C184" t="s">
        <v>715</v>
      </c>
      <c r="D184" t="s">
        <v>716</v>
      </c>
      <c r="E184" t="s">
        <v>692</v>
      </c>
      <c r="F184" t="s">
        <v>693</v>
      </c>
      <c r="G184" t="s">
        <v>692</v>
      </c>
      <c r="H184" t="s">
        <v>715</v>
      </c>
      <c r="P184">
        <v>6</v>
      </c>
    </row>
    <row r="185" spans="1:16" x14ac:dyDescent="0.25">
      <c r="A185">
        <v>64</v>
      </c>
      <c r="B185" t="s">
        <v>668</v>
      </c>
      <c r="C185" t="s">
        <v>715</v>
      </c>
      <c r="D185" t="s">
        <v>716</v>
      </c>
      <c r="E185" t="s">
        <v>692</v>
      </c>
      <c r="F185" t="s">
        <v>693</v>
      </c>
      <c r="G185" t="s">
        <v>692</v>
      </c>
      <c r="H185" t="s">
        <v>715</v>
      </c>
      <c r="P185">
        <v>6</v>
      </c>
    </row>
    <row r="186" spans="1:16" x14ac:dyDescent="0.25">
      <c r="A186">
        <v>64</v>
      </c>
      <c r="B186" t="s">
        <v>670</v>
      </c>
      <c r="C186" t="s">
        <v>715</v>
      </c>
      <c r="D186" t="s">
        <v>716</v>
      </c>
      <c r="E186" t="s">
        <v>692</v>
      </c>
      <c r="F186" t="s">
        <v>693</v>
      </c>
      <c r="G186" t="s">
        <v>692</v>
      </c>
      <c r="H186" t="s">
        <v>715</v>
      </c>
      <c r="P186">
        <v>6</v>
      </c>
    </row>
    <row r="187" spans="1:16" x14ac:dyDescent="0.25">
      <c r="A187">
        <v>64</v>
      </c>
      <c r="B187" t="s">
        <v>672</v>
      </c>
      <c r="C187" t="s">
        <v>715</v>
      </c>
      <c r="D187" t="s">
        <v>716</v>
      </c>
      <c r="E187" t="s">
        <v>692</v>
      </c>
      <c r="F187" t="s">
        <v>693</v>
      </c>
      <c r="G187" t="s">
        <v>692</v>
      </c>
      <c r="H187" t="s">
        <v>715</v>
      </c>
      <c r="P187">
        <v>6</v>
      </c>
    </row>
    <row r="188" spans="1:16" x14ac:dyDescent="0.25">
      <c r="A188">
        <v>64</v>
      </c>
      <c r="B188" t="s">
        <v>674</v>
      </c>
      <c r="C188" t="s">
        <v>715</v>
      </c>
      <c r="D188" t="s">
        <v>716</v>
      </c>
      <c r="E188" t="s">
        <v>692</v>
      </c>
      <c r="F188" t="s">
        <v>693</v>
      </c>
      <c r="G188" t="s">
        <v>692</v>
      </c>
      <c r="H188" t="s">
        <v>715</v>
      </c>
      <c r="P188">
        <v>6</v>
      </c>
    </row>
    <row r="189" spans="1:16" x14ac:dyDescent="0.25">
      <c r="A189">
        <v>64</v>
      </c>
      <c r="B189" t="s">
        <v>676</v>
      </c>
      <c r="C189" t="s">
        <v>715</v>
      </c>
      <c r="D189" t="s">
        <v>716</v>
      </c>
      <c r="E189" t="s">
        <v>692</v>
      </c>
      <c r="F189" t="s">
        <v>693</v>
      </c>
      <c r="G189" t="s">
        <v>692</v>
      </c>
      <c r="H189" t="s">
        <v>715</v>
      </c>
      <c r="P189">
        <v>6</v>
      </c>
    </row>
    <row r="190" spans="1:16" x14ac:dyDescent="0.25">
      <c r="A190">
        <v>64</v>
      </c>
      <c r="B190" t="s">
        <v>678</v>
      </c>
      <c r="C190" t="s">
        <v>715</v>
      </c>
      <c r="D190" t="s">
        <v>716</v>
      </c>
      <c r="E190" t="s">
        <v>692</v>
      </c>
      <c r="F190" t="s">
        <v>693</v>
      </c>
      <c r="G190" t="s">
        <v>692</v>
      </c>
      <c r="H190" t="s">
        <v>715</v>
      </c>
      <c r="P190">
        <v>6</v>
      </c>
    </row>
    <row r="191" spans="1:16" x14ac:dyDescent="0.25">
      <c r="A191">
        <v>64</v>
      </c>
      <c r="B191" t="s">
        <v>680</v>
      </c>
      <c r="C191" t="s">
        <v>715</v>
      </c>
      <c r="D191" t="s">
        <v>716</v>
      </c>
      <c r="E191" t="s">
        <v>692</v>
      </c>
      <c r="F191" t="s">
        <v>693</v>
      </c>
      <c r="G191" t="s">
        <v>692</v>
      </c>
      <c r="H191" t="s">
        <v>715</v>
      </c>
      <c r="P191">
        <v>6</v>
      </c>
    </row>
    <row r="192" spans="1:16" x14ac:dyDescent="0.25">
      <c r="A192">
        <v>64</v>
      </c>
      <c r="B192" t="s">
        <v>682</v>
      </c>
      <c r="C192" t="s">
        <v>715</v>
      </c>
      <c r="D192" t="s">
        <v>717</v>
      </c>
      <c r="E192" t="s">
        <v>692</v>
      </c>
      <c r="F192" t="s">
        <v>693</v>
      </c>
      <c r="G192" t="s">
        <v>692</v>
      </c>
      <c r="H192" t="s">
        <v>715</v>
      </c>
      <c r="P192">
        <v>10</v>
      </c>
    </row>
    <row r="193" spans="1:16" x14ac:dyDescent="0.25">
      <c r="A193">
        <v>65</v>
      </c>
      <c r="B193" t="s">
        <v>661</v>
      </c>
      <c r="C193" t="s">
        <v>713</v>
      </c>
      <c r="D193" t="s">
        <v>714</v>
      </c>
      <c r="E193" t="s">
        <v>692</v>
      </c>
      <c r="F193" t="s">
        <v>693</v>
      </c>
      <c r="G193" t="s">
        <v>692</v>
      </c>
      <c r="H193" t="s">
        <v>713</v>
      </c>
      <c r="P193">
        <v>10</v>
      </c>
    </row>
    <row r="194" spans="1:16" x14ac:dyDescent="0.25">
      <c r="A194">
        <v>65</v>
      </c>
      <c r="B194" t="s">
        <v>664</v>
      </c>
      <c r="C194" t="s">
        <v>715</v>
      </c>
      <c r="D194" t="s">
        <v>716</v>
      </c>
      <c r="E194" t="s">
        <v>692</v>
      </c>
      <c r="F194" t="s">
        <v>693</v>
      </c>
      <c r="G194" t="s">
        <v>692</v>
      </c>
      <c r="H194" t="s">
        <v>715</v>
      </c>
      <c r="P194">
        <v>6</v>
      </c>
    </row>
    <row r="195" spans="1:16" x14ac:dyDescent="0.25">
      <c r="A195">
        <v>65</v>
      </c>
      <c r="B195" t="s">
        <v>666</v>
      </c>
      <c r="C195" t="s">
        <v>715</v>
      </c>
      <c r="D195" t="s">
        <v>716</v>
      </c>
      <c r="E195" t="s">
        <v>692</v>
      </c>
      <c r="F195" t="s">
        <v>693</v>
      </c>
      <c r="G195" t="s">
        <v>692</v>
      </c>
      <c r="H195" t="s">
        <v>715</v>
      </c>
      <c r="P195">
        <v>6</v>
      </c>
    </row>
    <row r="196" spans="1:16" x14ac:dyDescent="0.25">
      <c r="A196">
        <v>65</v>
      </c>
      <c r="B196" t="s">
        <v>668</v>
      </c>
      <c r="C196" t="s">
        <v>715</v>
      </c>
      <c r="D196" t="s">
        <v>716</v>
      </c>
      <c r="E196" t="s">
        <v>692</v>
      </c>
      <c r="F196" t="s">
        <v>693</v>
      </c>
      <c r="G196" t="s">
        <v>692</v>
      </c>
      <c r="H196" t="s">
        <v>715</v>
      </c>
      <c r="P196">
        <v>6</v>
      </c>
    </row>
    <row r="197" spans="1:16" x14ac:dyDescent="0.25">
      <c r="A197">
        <v>65</v>
      </c>
      <c r="B197" t="s">
        <v>670</v>
      </c>
      <c r="C197" t="s">
        <v>715</v>
      </c>
      <c r="D197" t="s">
        <v>716</v>
      </c>
      <c r="E197" t="s">
        <v>692</v>
      </c>
      <c r="F197" t="s">
        <v>693</v>
      </c>
      <c r="G197" t="s">
        <v>692</v>
      </c>
      <c r="H197" t="s">
        <v>715</v>
      </c>
      <c r="P197">
        <v>6</v>
      </c>
    </row>
    <row r="198" spans="1:16" x14ac:dyDescent="0.25">
      <c r="A198">
        <v>65</v>
      </c>
      <c r="B198" t="s">
        <v>672</v>
      </c>
      <c r="C198" t="s">
        <v>715</v>
      </c>
      <c r="D198" t="s">
        <v>716</v>
      </c>
      <c r="E198" t="s">
        <v>692</v>
      </c>
      <c r="F198" t="s">
        <v>693</v>
      </c>
      <c r="G198" t="s">
        <v>692</v>
      </c>
      <c r="H198" t="s">
        <v>715</v>
      </c>
      <c r="P198">
        <v>6</v>
      </c>
    </row>
    <row r="199" spans="1:16" x14ac:dyDescent="0.25">
      <c r="A199">
        <v>65</v>
      </c>
      <c r="B199" t="s">
        <v>674</v>
      </c>
      <c r="C199" t="s">
        <v>715</v>
      </c>
      <c r="D199" t="s">
        <v>716</v>
      </c>
      <c r="E199" t="s">
        <v>692</v>
      </c>
      <c r="F199" t="s">
        <v>693</v>
      </c>
      <c r="G199" t="s">
        <v>692</v>
      </c>
      <c r="H199" t="s">
        <v>715</v>
      </c>
      <c r="P199">
        <v>6</v>
      </c>
    </row>
    <row r="200" spans="1:16" x14ac:dyDescent="0.25">
      <c r="A200">
        <v>65</v>
      </c>
      <c r="B200" t="s">
        <v>676</v>
      </c>
      <c r="C200" t="s">
        <v>715</v>
      </c>
      <c r="D200" t="s">
        <v>716</v>
      </c>
      <c r="E200" t="s">
        <v>692</v>
      </c>
      <c r="F200" t="s">
        <v>693</v>
      </c>
      <c r="G200" t="s">
        <v>692</v>
      </c>
      <c r="H200" t="s">
        <v>715</v>
      </c>
      <c r="P200">
        <v>6</v>
      </c>
    </row>
    <row r="201" spans="1:16" x14ac:dyDescent="0.25">
      <c r="A201">
        <v>65</v>
      </c>
      <c r="B201" t="s">
        <v>678</v>
      </c>
      <c r="C201" t="s">
        <v>715</v>
      </c>
      <c r="D201" t="s">
        <v>716</v>
      </c>
      <c r="E201" t="s">
        <v>692</v>
      </c>
      <c r="F201" t="s">
        <v>693</v>
      </c>
      <c r="G201" t="s">
        <v>692</v>
      </c>
      <c r="H201" t="s">
        <v>715</v>
      </c>
      <c r="P201">
        <v>6</v>
      </c>
    </row>
    <row r="202" spans="1:16" x14ac:dyDescent="0.25">
      <c r="A202">
        <v>65</v>
      </c>
      <c r="B202" t="s">
        <v>680</v>
      </c>
      <c r="C202" t="s">
        <v>715</v>
      </c>
      <c r="D202" t="s">
        <v>716</v>
      </c>
      <c r="E202" t="s">
        <v>692</v>
      </c>
      <c r="F202" t="s">
        <v>693</v>
      </c>
      <c r="G202" t="s">
        <v>692</v>
      </c>
      <c r="H202" t="s">
        <v>715</v>
      </c>
      <c r="P202">
        <v>6</v>
      </c>
    </row>
    <row r="203" spans="1:16" x14ac:dyDescent="0.25">
      <c r="A203">
        <v>65</v>
      </c>
      <c r="B203" t="s">
        <v>682</v>
      </c>
      <c r="C203" t="s">
        <v>715</v>
      </c>
      <c r="D203" t="s">
        <v>717</v>
      </c>
      <c r="E203" t="s">
        <v>692</v>
      </c>
      <c r="F203" t="s">
        <v>693</v>
      </c>
      <c r="G203" t="s">
        <v>692</v>
      </c>
      <c r="H203" t="s">
        <v>715</v>
      </c>
      <c r="P203">
        <v>10</v>
      </c>
    </row>
    <row r="204" spans="1:16" x14ac:dyDescent="0.25">
      <c r="A204">
        <v>66</v>
      </c>
      <c r="B204" t="s">
        <v>661</v>
      </c>
      <c r="C204" t="s">
        <v>713</v>
      </c>
      <c r="D204" t="s">
        <v>714</v>
      </c>
      <c r="E204" t="s">
        <v>692</v>
      </c>
      <c r="F204" t="s">
        <v>693</v>
      </c>
      <c r="G204" t="s">
        <v>692</v>
      </c>
      <c r="H204" t="s">
        <v>713</v>
      </c>
      <c r="P204">
        <v>10</v>
      </c>
    </row>
    <row r="205" spans="1:16" x14ac:dyDescent="0.25">
      <c r="A205">
        <v>66</v>
      </c>
      <c r="B205" t="s">
        <v>664</v>
      </c>
      <c r="C205" t="s">
        <v>715</v>
      </c>
      <c r="D205" t="s">
        <v>716</v>
      </c>
      <c r="E205" t="s">
        <v>692</v>
      </c>
      <c r="F205" t="s">
        <v>693</v>
      </c>
      <c r="G205" t="s">
        <v>692</v>
      </c>
      <c r="H205" t="s">
        <v>715</v>
      </c>
      <c r="P205">
        <v>6</v>
      </c>
    </row>
    <row r="206" spans="1:16" x14ac:dyDescent="0.25">
      <c r="A206">
        <v>66</v>
      </c>
      <c r="B206" t="s">
        <v>666</v>
      </c>
      <c r="C206" t="s">
        <v>715</v>
      </c>
      <c r="D206" t="s">
        <v>716</v>
      </c>
      <c r="E206" t="s">
        <v>692</v>
      </c>
      <c r="F206" t="s">
        <v>693</v>
      </c>
      <c r="G206" t="s">
        <v>692</v>
      </c>
      <c r="H206" t="s">
        <v>715</v>
      </c>
      <c r="P206">
        <v>6</v>
      </c>
    </row>
    <row r="207" spans="1:16" x14ac:dyDescent="0.25">
      <c r="A207">
        <v>66</v>
      </c>
      <c r="B207" t="s">
        <v>668</v>
      </c>
      <c r="C207" t="s">
        <v>715</v>
      </c>
      <c r="D207" t="s">
        <v>716</v>
      </c>
      <c r="E207" t="s">
        <v>692</v>
      </c>
      <c r="F207" t="s">
        <v>693</v>
      </c>
      <c r="G207" t="s">
        <v>692</v>
      </c>
      <c r="H207" t="s">
        <v>715</v>
      </c>
      <c r="P207">
        <v>6</v>
      </c>
    </row>
    <row r="208" spans="1:16" x14ac:dyDescent="0.25">
      <c r="A208">
        <v>66</v>
      </c>
      <c r="B208" t="s">
        <v>670</v>
      </c>
      <c r="C208" t="s">
        <v>715</v>
      </c>
      <c r="D208" t="s">
        <v>716</v>
      </c>
      <c r="E208" t="s">
        <v>692</v>
      </c>
      <c r="F208" t="s">
        <v>693</v>
      </c>
      <c r="G208" t="s">
        <v>692</v>
      </c>
      <c r="H208" t="s">
        <v>715</v>
      </c>
      <c r="P208">
        <v>6</v>
      </c>
    </row>
    <row r="209" spans="1:16" x14ac:dyDescent="0.25">
      <c r="A209">
        <v>66</v>
      </c>
      <c r="B209" t="s">
        <v>672</v>
      </c>
      <c r="C209" t="s">
        <v>715</v>
      </c>
      <c r="D209" t="s">
        <v>716</v>
      </c>
      <c r="E209" t="s">
        <v>692</v>
      </c>
      <c r="F209" t="s">
        <v>693</v>
      </c>
      <c r="G209" t="s">
        <v>692</v>
      </c>
      <c r="H209" t="s">
        <v>715</v>
      </c>
      <c r="P209">
        <v>6</v>
      </c>
    </row>
    <row r="210" spans="1:16" x14ac:dyDescent="0.25">
      <c r="A210">
        <v>66</v>
      </c>
      <c r="B210" t="s">
        <v>674</v>
      </c>
      <c r="C210" t="s">
        <v>715</v>
      </c>
      <c r="D210" t="s">
        <v>716</v>
      </c>
      <c r="E210" t="s">
        <v>692</v>
      </c>
      <c r="F210" t="s">
        <v>693</v>
      </c>
      <c r="G210" t="s">
        <v>692</v>
      </c>
      <c r="H210" t="s">
        <v>715</v>
      </c>
      <c r="P210">
        <v>6</v>
      </c>
    </row>
    <row r="211" spans="1:16" x14ac:dyDescent="0.25">
      <c r="A211">
        <v>66</v>
      </c>
      <c r="B211" t="s">
        <v>676</v>
      </c>
      <c r="C211" t="s">
        <v>715</v>
      </c>
      <c r="D211" t="s">
        <v>716</v>
      </c>
      <c r="E211" t="s">
        <v>692</v>
      </c>
      <c r="F211" t="s">
        <v>693</v>
      </c>
      <c r="G211" t="s">
        <v>692</v>
      </c>
      <c r="H211" t="s">
        <v>715</v>
      </c>
      <c r="P211">
        <v>6</v>
      </c>
    </row>
    <row r="212" spans="1:16" x14ac:dyDescent="0.25">
      <c r="A212">
        <v>66</v>
      </c>
      <c r="B212" t="s">
        <v>678</v>
      </c>
      <c r="C212" t="s">
        <v>715</v>
      </c>
      <c r="D212" t="s">
        <v>716</v>
      </c>
      <c r="E212" t="s">
        <v>692</v>
      </c>
      <c r="F212" t="s">
        <v>693</v>
      </c>
      <c r="G212" t="s">
        <v>692</v>
      </c>
      <c r="H212" t="s">
        <v>715</v>
      </c>
      <c r="P212">
        <v>6</v>
      </c>
    </row>
    <row r="213" spans="1:16" x14ac:dyDescent="0.25">
      <c r="A213">
        <v>66</v>
      </c>
      <c r="B213" t="s">
        <v>680</v>
      </c>
      <c r="C213" t="s">
        <v>715</v>
      </c>
      <c r="D213" t="s">
        <v>716</v>
      </c>
      <c r="E213" t="s">
        <v>692</v>
      </c>
      <c r="F213" t="s">
        <v>693</v>
      </c>
      <c r="G213" t="s">
        <v>692</v>
      </c>
      <c r="H213" t="s">
        <v>715</v>
      </c>
      <c r="P213">
        <v>6</v>
      </c>
    </row>
    <row r="214" spans="1:16" x14ac:dyDescent="0.25">
      <c r="A214">
        <v>66</v>
      </c>
      <c r="B214" t="s">
        <v>682</v>
      </c>
      <c r="C214" t="s">
        <v>715</v>
      </c>
      <c r="D214" t="s">
        <v>717</v>
      </c>
      <c r="E214" t="s">
        <v>692</v>
      </c>
      <c r="F214" t="s">
        <v>693</v>
      </c>
      <c r="G214" t="s">
        <v>692</v>
      </c>
      <c r="H214" t="s">
        <v>715</v>
      </c>
      <c r="P214">
        <v>10</v>
      </c>
    </row>
    <row r="215" spans="1:16" x14ac:dyDescent="0.25">
      <c r="A215">
        <v>67</v>
      </c>
      <c r="B215" t="s">
        <v>661</v>
      </c>
      <c r="C215" t="s">
        <v>713</v>
      </c>
      <c r="D215" t="s">
        <v>714</v>
      </c>
      <c r="E215" t="s">
        <v>692</v>
      </c>
      <c r="F215" t="s">
        <v>693</v>
      </c>
      <c r="G215" t="s">
        <v>692</v>
      </c>
      <c r="H215" t="s">
        <v>713</v>
      </c>
      <c r="P215">
        <v>10</v>
      </c>
    </row>
    <row r="216" spans="1:16" x14ac:dyDescent="0.25">
      <c r="A216">
        <v>67</v>
      </c>
      <c r="B216" t="s">
        <v>664</v>
      </c>
      <c r="C216" t="s">
        <v>715</v>
      </c>
      <c r="D216" t="s">
        <v>716</v>
      </c>
      <c r="E216" t="s">
        <v>692</v>
      </c>
      <c r="F216" t="s">
        <v>693</v>
      </c>
      <c r="G216" t="s">
        <v>692</v>
      </c>
      <c r="H216" t="s">
        <v>715</v>
      </c>
      <c r="P216">
        <v>6</v>
      </c>
    </row>
    <row r="217" spans="1:16" x14ac:dyDescent="0.25">
      <c r="A217">
        <v>67</v>
      </c>
      <c r="B217" t="s">
        <v>666</v>
      </c>
      <c r="C217" t="s">
        <v>715</v>
      </c>
      <c r="D217" t="s">
        <v>716</v>
      </c>
      <c r="E217" t="s">
        <v>692</v>
      </c>
      <c r="F217" t="s">
        <v>693</v>
      </c>
      <c r="G217" t="s">
        <v>692</v>
      </c>
      <c r="H217" t="s">
        <v>715</v>
      </c>
      <c r="P217">
        <v>6</v>
      </c>
    </row>
    <row r="218" spans="1:16" x14ac:dyDescent="0.25">
      <c r="A218">
        <v>67</v>
      </c>
      <c r="B218" t="s">
        <v>668</v>
      </c>
      <c r="C218" t="s">
        <v>715</v>
      </c>
      <c r="D218" t="s">
        <v>716</v>
      </c>
      <c r="E218" t="s">
        <v>692</v>
      </c>
      <c r="F218" t="s">
        <v>693</v>
      </c>
      <c r="G218" t="s">
        <v>692</v>
      </c>
      <c r="H218" t="s">
        <v>715</v>
      </c>
      <c r="P218">
        <v>6</v>
      </c>
    </row>
    <row r="219" spans="1:16" x14ac:dyDescent="0.25">
      <c r="A219">
        <v>67</v>
      </c>
      <c r="B219" t="s">
        <v>670</v>
      </c>
      <c r="C219" t="s">
        <v>715</v>
      </c>
      <c r="D219" t="s">
        <v>716</v>
      </c>
      <c r="E219" t="s">
        <v>692</v>
      </c>
      <c r="F219" t="s">
        <v>693</v>
      </c>
      <c r="G219" t="s">
        <v>692</v>
      </c>
      <c r="H219" t="s">
        <v>715</v>
      </c>
      <c r="P219">
        <v>6</v>
      </c>
    </row>
    <row r="220" spans="1:16" x14ac:dyDescent="0.25">
      <c r="A220">
        <v>67</v>
      </c>
      <c r="B220" t="s">
        <v>672</v>
      </c>
      <c r="C220" t="s">
        <v>715</v>
      </c>
      <c r="D220" t="s">
        <v>716</v>
      </c>
      <c r="E220" t="s">
        <v>692</v>
      </c>
      <c r="F220" t="s">
        <v>693</v>
      </c>
      <c r="G220" t="s">
        <v>692</v>
      </c>
      <c r="H220" t="s">
        <v>715</v>
      </c>
      <c r="P220">
        <v>6</v>
      </c>
    </row>
    <row r="221" spans="1:16" x14ac:dyDescent="0.25">
      <c r="A221">
        <v>67</v>
      </c>
      <c r="B221" t="s">
        <v>674</v>
      </c>
      <c r="C221" t="s">
        <v>715</v>
      </c>
      <c r="D221" t="s">
        <v>716</v>
      </c>
      <c r="E221" t="s">
        <v>692</v>
      </c>
      <c r="F221" t="s">
        <v>693</v>
      </c>
      <c r="G221" t="s">
        <v>692</v>
      </c>
      <c r="H221" t="s">
        <v>715</v>
      </c>
      <c r="P221">
        <v>6</v>
      </c>
    </row>
    <row r="222" spans="1:16" x14ac:dyDescent="0.25">
      <c r="A222">
        <v>67</v>
      </c>
      <c r="B222" t="s">
        <v>676</v>
      </c>
      <c r="C222" t="s">
        <v>715</v>
      </c>
      <c r="D222" t="s">
        <v>716</v>
      </c>
      <c r="E222" t="s">
        <v>692</v>
      </c>
      <c r="F222" t="s">
        <v>693</v>
      </c>
      <c r="G222" t="s">
        <v>692</v>
      </c>
      <c r="H222" t="s">
        <v>715</v>
      </c>
      <c r="P222">
        <v>6</v>
      </c>
    </row>
    <row r="223" spans="1:16" x14ac:dyDescent="0.25">
      <c r="A223">
        <v>67</v>
      </c>
      <c r="B223" t="s">
        <v>678</v>
      </c>
      <c r="C223" t="s">
        <v>715</v>
      </c>
      <c r="D223" t="s">
        <v>716</v>
      </c>
      <c r="E223" t="s">
        <v>692</v>
      </c>
      <c r="F223" t="s">
        <v>693</v>
      </c>
      <c r="G223" t="s">
        <v>692</v>
      </c>
      <c r="H223" t="s">
        <v>715</v>
      </c>
      <c r="P223">
        <v>6</v>
      </c>
    </row>
    <row r="224" spans="1:16" x14ac:dyDescent="0.25">
      <c r="A224">
        <v>67</v>
      </c>
      <c r="B224" t="s">
        <v>680</v>
      </c>
      <c r="C224" t="s">
        <v>715</v>
      </c>
      <c r="D224" t="s">
        <v>716</v>
      </c>
      <c r="E224" t="s">
        <v>692</v>
      </c>
      <c r="F224" t="s">
        <v>693</v>
      </c>
      <c r="G224" t="s">
        <v>692</v>
      </c>
      <c r="H224" t="s">
        <v>715</v>
      </c>
      <c r="P224">
        <v>6</v>
      </c>
    </row>
    <row r="225" spans="1:16" x14ac:dyDescent="0.25">
      <c r="A225">
        <v>67</v>
      </c>
      <c r="B225" t="s">
        <v>682</v>
      </c>
      <c r="C225" t="s">
        <v>715</v>
      </c>
      <c r="D225" t="s">
        <v>717</v>
      </c>
      <c r="E225" t="s">
        <v>692</v>
      </c>
      <c r="F225" t="s">
        <v>693</v>
      </c>
      <c r="G225" t="s">
        <v>692</v>
      </c>
      <c r="H225" t="s">
        <v>715</v>
      </c>
      <c r="P225">
        <v>10</v>
      </c>
    </row>
    <row r="226" spans="1:16" x14ac:dyDescent="0.25">
      <c r="A226">
        <v>7</v>
      </c>
      <c r="B226" t="s">
        <v>658</v>
      </c>
      <c r="C226" t="s">
        <v>699</v>
      </c>
      <c r="D226" t="s">
        <v>700</v>
      </c>
      <c r="E226" t="s">
        <v>692</v>
      </c>
      <c r="F226" t="s">
        <v>693</v>
      </c>
      <c r="G226" t="s">
        <v>692</v>
      </c>
      <c r="H226" t="s">
        <v>701</v>
      </c>
      <c r="P226">
        <v>12</v>
      </c>
    </row>
    <row r="227" spans="1:16" x14ac:dyDescent="0.25">
      <c r="A227">
        <v>8</v>
      </c>
      <c r="B227" t="s">
        <v>658</v>
      </c>
      <c r="C227" t="s">
        <v>699</v>
      </c>
      <c r="D227" t="s">
        <v>708</v>
      </c>
      <c r="E227" t="s">
        <v>692</v>
      </c>
      <c r="F227" t="s">
        <v>693</v>
      </c>
      <c r="G227" t="s">
        <v>692</v>
      </c>
      <c r="H227" t="s">
        <v>709</v>
      </c>
      <c r="P227">
        <v>8</v>
      </c>
    </row>
    <row r="228" spans="1:16" x14ac:dyDescent="0.25">
      <c r="A228">
        <v>9</v>
      </c>
      <c r="B228" t="s">
        <v>658</v>
      </c>
      <c r="C228" t="s">
        <v>706</v>
      </c>
      <c r="D228" t="s">
        <v>696</v>
      </c>
      <c r="E228" t="s">
        <v>692</v>
      </c>
      <c r="F228" t="s">
        <v>693</v>
      </c>
      <c r="G228" t="s">
        <v>692</v>
      </c>
      <c r="H228" t="s">
        <v>698</v>
      </c>
      <c r="P228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12"/>
  <sheetViews>
    <sheetView tabSelected="1" workbookViewId="0">
      <selection activeCell="K23" sqref="K23"/>
    </sheetView>
  </sheetViews>
  <sheetFormatPr defaultColWidth="6.5703125" defaultRowHeight="15" x14ac:dyDescent="0.25"/>
  <cols>
    <col min="1" max="1" width="5" bestFit="1" customWidth="1"/>
    <col min="2" max="2" width="5.140625" bestFit="1" customWidth="1"/>
    <col min="3" max="3" width="5.5703125" bestFit="1" customWidth="1"/>
    <col min="4" max="4" width="4" bestFit="1" customWidth="1"/>
    <col min="5" max="6" width="5" bestFit="1" customWidth="1"/>
    <col min="7" max="7" width="10.85546875" style="15" bestFit="1" customWidth="1"/>
    <col min="8" max="8" width="8" bestFit="1" customWidth="1"/>
    <col min="9" max="9" width="12.7109375" bestFit="1" customWidth="1"/>
    <col min="10" max="10" width="6.140625" bestFit="1" customWidth="1"/>
    <col min="11" max="11" width="12.85546875" bestFit="1" customWidth="1"/>
    <col min="12" max="12" width="7.5703125" bestFit="1" customWidth="1"/>
    <col min="13" max="13" width="12.5703125" bestFit="1" customWidth="1"/>
    <col min="14" max="15" width="11.85546875" bestFit="1" customWidth="1"/>
    <col min="16" max="16" width="46.42578125" bestFit="1" customWidth="1"/>
    <col min="17" max="17" width="36.5703125" bestFit="1" customWidth="1"/>
    <col min="18" max="18" width="30.42578125" bestFit="1" customWidth="1"/>
    <col min="19" max="19" width="8.42578125" bestFit="1" customWidth="1"/>
    <col min="20" max="20" width="4.7109375" bestFit="1" customWidth="1"/>
    <col min="21" max="21" width="15.7109375" bestFit="1" customWidth="1"/>
    <col min="22" max="22" width="24.140625" bestFit="1" customWidth="1"/>
    <col min="23" max="23" width="8.5703125" bestFit="1" customWidth="1"/>
    <col min="24" max="24" width="6.28515625" bestFit="1" customWidth="1"/>
    <col min="25" max="25" width="6.42578125" bestFit="1" customWidth="1"/>
    <col min="26" max="26" width="12.42578125" bestFit="1" customWidth="1"/>
    <col min="27" max="27" width="11.42578125" bestFit="1" customWidth="1"/>
    <col min="28" max="28" width="5.85546875" bestFit="1" customWidth="1"/>
  </cols>
  <sheetData>
    <row r="1" spans="1:28" x14ac:dyDescent="0.25">
      <c r="A1" s="78" t="s">
        <v>538</v>
      </c>
      <c r="B1" t="s">
        <v>539</v>
      </c>
      <c r="C1" t="s">
        <v>540</v>
      </c>
      <c r="D1" t="s">
        <v>53</v>
      </c>
      <c r="E1" t="s">
        <v>65</v>
      </c>
      <c r="F1" t="s">
        <v>63</v>
      </c>
      <c r="G1" s="15" t="s">
        <v>648</v>
      </c>
      <c r="H1" t="s">
        <v>541</v>
      </c>
      <c r="I1" t="s">
        <v>542</v>
      </c>
      <c r="J1" t="s">
        <v>295</v>
      </c>
      <c r="K1" t="s">
        <v>543</v>
      </c>
      <c r="L1" t="s">
        <v>649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544</v>
      </c>
      <c r="T1" t="s">
        <v>650</v>
      </c>
      <c r="U1" t="s">
        <v>651</v>
      </c>
      <c r="V1" t="s">
        <v>652</v>
      </c>
      <c r="W1" t="s">
        <v>653</v>
      </c>
      <c r="X1" t="s">
        <v>654</v>
      </c>
      <c r="Y1" t="s">
        <v>655</v>
      </c>
      <c r="Z1" t="s">
        <v>656</v>
      </c>
      <c r="AA1" t="s">
        <v>657</v>
      </c>
      <c r="AB1" t="s">
        <v>920</v>
      </c>
    </row>
    <row r="2" spans="1:28" x14ac:dyDescent="0.25">
      <c r="A2" t="s">
        <v>720</v>
      </c>
      <c r="B2">
        <v>3</v>
      </c>
      <c r="C2">
        <v>4</v>
      </c>
      <c r="D2">
        <v>3</v>
      </c>
      <c r="E2">
        <v>0</v>
      </c>
      <c r="F2">
        <v>5</v>
      </c>
      <c r="I2">
        <v>4</v>
      </c>
      <c r="J2">
        <v>0</v>
      </c>
      <c r="K2">
        <v>3</v>
      </c>
      <c r="L2">
        <v>0</v>
      </c>
      <c r="M2" t="s">
        <v>921</v>
      </c>
      <c r="N2" t="s">
        <v>63</v>
      </c>
      <c r="O2" t="s">
        <v>63</v>
      </c>
      <c r="P2" t="s">
        <v>922</v>
      </c>
      <c r="Q2" t="s">
        <v>923</v>
      </c>
      <c r="R2" t="s">
        <v>924</v>
      </c>
      <c r="S2">
        <v>10</v>
      </c>
      <c r="T2">
        <v>1</v>
      </c>
      <c r="U2" t="s">
        <v>62</v>
      </c>
      <c r="V2" t="s">
        <v>925</v>
      </c>
      <c r="W2" t="s">
        <v>70</v>
      </c>
    </row>
    <row r="3" spans="1:28" x14ac:dyDescent="0.25">
      <c r="A3" t="s">
        <v>701</v>
      </c>
      <c r="B3">
        <v>3</v>
      </c>
      <c r="C3">
        <v>5</v>
      </c>
      <c r="D3">
        <v>4</v>
      </c>
      <c r="E3">
        <v>0</v>
      </c>
      <c r="F3">
        <v>6</v>
      </c>
      <c r="I3">
        <v>5</v>
      </c>
      <c r="J3">
        <v>0</v>
      </c>
      <c r="K3">
        <v>3</v>
      </c>
      <c r="L3">
        <v>0</v>
      </c>
      <c r="M3" t="s">
        <v>926</v>
      </c>
      <c r="N3" t="s">
        <v>63</v>
      </c>
      <c r="O3" t="s">
        <v>63</v>
      </c>
      <c r="P3" t="s">
        <v>927</v>
      </c>
      <c r="Q3" t="s">
        <v>928</v>
      </c>
      <c r="R3" t="s">
        <v>929</v>
      </c>
      <c r="S3">
        <v>12</v>
      </c>
      <c r="T3">
        <v>1</v>
      </c>
      <c r="U3" t="s">
        <v>62</v>
      </c>
      <c r="V3" t="s">
        <v>930</v>
      </c>
      <c r="W3" t="s">
        <v>70</v>
      </c>
    </row>
    <row r="4" spans="1:28" x14ac:dyDescent="0.25">
      <c r="A4" t="s">
        <v>705</v>
      </c>
      <c r="B4">
        <v>4</v>
      </c>
      <c r="C4">
        <v>6</v>
      </c>
      <c r="D4">
        <v>6</v>
      </c>
      <c r="E4">
        <v>0</v>
      </c>
      <c r="F4">
        <v>8</v>
      </c>
      <c r="I4">
        <v>6</v>
      </c>
      <c r="J4">
        <v>0</v>
      </c>
      <c r="K4">
        <v>4</v>
      </c>
      <c r="L4">
        <v>0</v>
      </c>
      <c r="M4" t="s">
        <v>931</v>
      </c>
      <c r="N4" t="s">
        <v>63</v>
      </c>
      <c r="O4" t="s">
        <v>63</v>
      </c>
      <c r="P4" t="s">
        <v>932</v>
      </c>
      <c r="Q4" t="s">
        <v>933</v>
      </c>
      <c r="R4" t="s">
        <v>934</v>
      </c>
      <c r="S4">
        <v>16</v>
      </c>
      <c r="T4">
        <v>2</v>
      </c>
      <c r="U4" t="s">
        <v>62</v>
      </c>
      <c r="V4" t="s">
        <v>935</v>
      </c>
      <c r="W4" t="s">
        <v>70</v>
      </c>
    </row>
    <row r="5" spans="1:28" x14ac:dyDescent="0.25">
      <c r="A5" t="s">
        <v>698</v>
      </c>
      <c r="B5">
        <v>2</v>
      </c>
      <c r="C5">
        <v>3</v>
      </c>
      <c r="D5">
        <v>1</v>
      </c>
      <c r="E5">
        <v>0</v>
      </c>
      <c r="F5">
        <v>3</v>
      </c>
      <c r="I5">
        <v>3</v>
      </c>
      <c r="J5">
        <v>0</v>
      </c>
      <c r="K5">
        <v>2</v>
      </c>
      <c r="L5">
        <v>0</v>
      </c>
      <c r="M5" t="s">
        <v>936</v>
      </c>
      <c r="N5" t="s">
        <v>63</v>
      </c>
      <c r="O5" t="s">
        <v>63</v>
      </c>
      <c r="P5" t="s">
        <v>937</v>
      </c>
      <c r="Q5" t="s">
        <v>63</v>
      </c>
      <c r="R5" t="s">
        <v>53</v>
      </c>
      <c r="S5">
        <v>6</v>
      </c>
      <c r="U5" t="s">
        <v>62</v>
      </c>
      <c r="V5" t="s">
        <v>89</v>
      </c>
      <c r="W5" t="s">
        <v>70</v>
      </c>
    </row>
    <row r="6" spans="1:28" x14ac:dyDescent="0.25">
      <c r="A6" t="s">
        <v>709</v>
      </c>
      <c r="B6">
        <v>2</v>
      </c>
      <c r="C6">
        <v>4</v>
      </c>
      <c r="D6">
        <v>2</v>
      </c>
      <c r="E6">
        <v>0</v>
      </c>
      <c r="F6">
        <v>4</v>
      </c>
      <c r="I6">
        <v>4</v>
      </c>
      <c r="J6">
        <v>0</v>
      </c>
      <c r="K6">
        <v>2</v>
      </c>
      <c r="L6">
        <v>0</v>
      </c>
      <c r="M6" t="s">
        <v>938</v>
      </c>
      <c r="N6" t="s">
        <v>63</v>
      </c>
      <c r="O6" t="s">
        <v>63</v>
      </c>
      <c r="P6" t="s">
        <v>939</v>
      </c>
      <c r="Q6" t="s">
        <v>940</v>
      </c>
      <c r="R6" t="s">
        <v>941</v>
      </c>
      <c r="S6">
        <v>8</v>
      </c>
      <c r="U6" t="s">
        <v>62</v>
      </c>
      <c r="V6" t="s">
        <v>942</v>
      </c>
      <c r="W6" t="s">
        <v>70</v>
      </c>
    </row>
    <row r="7" spans="1:28" x14ac:dyDescent="0.25">
      <c r="A7" t="s">
        <v>711</v>
      </c>
      <c r="B7">
        <v>6</v>
      </c>
      <c r="C7">
        <v>3</v>
      </c>
      <c r="D7">
        <v>5</v>
      </c>
      <c r="E7">
        <v>0</v>
      </c>
      <c r="F7">
        <v>7</v>
      </c>
      <c r="I7">
        <v>5</v>
      </c>
      <c r="J7">
        <v>0</v>
      </c>
      <c r="K7">
        <v>6</v>
      </c>
      <c r="L7">
        <v>0</v>
      </c>
      <c r="M7" t="s">
        <v>943</v>
      </c>
      <c r="N7" t="s">
        <v>63</v>
      </c>
      <c r="O7" t="s">
        <v>63</v>
      </c>
      <c r="P7" t="s">
        <v>944</v>
      </c>
      <c r="Q7" t="s">
        <v>945</v>
      </c>
      <c r="R7" t="s">
        <v>946</v>
      </c>
      <c r="S7">
        <v>18</v>
      </c>
      <c r="T7">
        <v>4</v>
      </c>
      <c r="U7" t="s">
        <v>62</v>
      </c>
      <c r="V7" t="s">
        <v>947</v>
      </c>
      <c r="W7" t="s">
        <v>70</v>
      </c>
    </row>
    <row r="8" spans="1:28" x14ac:dyDescent="0.25">
      <c r="A8" t="s">
        <v>950</v>
      </c>
      <c r="B8">
        <v>0</v>
      </c>
      <c r="C8">
        <v>0</v>
      </c>
      <c r="D8">
        <v>0</v>
      </c>
      <c r="E8">
        <v>0</v>
      </c>
      <c r="F8">
        <v>2</v>
      </c>
      <c r="I8">
        <v>3</v>
      </c>
      <c r="J8">
        <v>0</v>
      </c>
      <c r="K8">
        <v>2</v>
      </c>
      <c r="L8">
        <v>0</v>
      </c>
      <c r="N8" t="s">
        <v>63</v>
      </c>
      <c r="O8" t="s">
        <v>63</v>
      </c>
      <c r="S8">
        <v>6</v>
      </c>
      <c r="W8" t="s">
        <v>608</v>
      </c>
    </row>
    <row r="9" spans="1:28" x14ac:dyDescent="0.25">
      <c r="A9" t="s">
        <v>729</v>
      </c>
      <c r="F9">
        <v>2</v>
      </c>
      <c r="G9" s="15" t="s">
        <v>948</v>
      </c>
      <c r="H9" t="s">
        <v>541</v>
      </c>
      <c r="W9" t="s">
        <v>605</v>
      </c>
      <c r="Z9" t="s">
        <v>729</v>
      </c>
    </row>
    <row r="10" spans="1:28" x14ac:dyDescent="0.25">
      <c r="A10" t="s">
        <v>715</v>
      </c>
      <c r="F10">
        <v>2</v>
      </c>
      <c r="G10" s="15" t="s">
        <v>948</v>
      </c>
      <c r="H10" t="s">
        <v>541</v>
      </c>
      <c r="W10" t="s">
        <v>605</v>
      </c>
      <c r="Z10" t="s">
        <v>715</v>
      </c>
    </row>
    <row r="11" spans="1:28" x14ac:dyDescent="0.25">
      <c r="A11" t="s">
        <v>713</v>
      </c>
      <c r="F11">
        <v>2</v>
      </c>
      <c r="G11" s="15" t="s">
        <v>948</v>
      </c>
      <c r="H11" t="s">
        <v>541</v>
      </c>
      <c r="W11" t="s">
        <v>605</v>
      </c>
      <c r="Z11" t="s">
        <v>713</v>
      </c>
    </row>
    <row r="12" spans="1:28" x14ac:dyDescent="0.25">
      <c r="A12" t="s">
        <v>949</v>
      </c>
      <c r="B12">
        <v>2</v>
      </c>
      <c r="C12">
        <v>2</v>
      </c>
      <c r="D12">
        <v>0</v>
      </c>
      <c r="E12">
        <v>0</v>
      </c>
      <c r="F12">
        <v>4</v>
      </c>
      <c r="I12">
        <v>3</v>
      </c>
      <c r="J12">
        <v>0</v>
      </c>
      <c r="K12">
        <v>2</v>
      </c>
      <c r="L12">
        <v>0</v>
      </c>
      <c r="M12" t="s">
        <v>936</v>
      </c>
      <c r="N12" t="s">
        <v>940</v>
      </c>
      <c r="O12" t="s">
        <v>940</v>
      </c>
      <c r="S12">
        <v>6</v>
      </c>
      <c r="U12" t="s">
        <v>62</v>
      </c>
      <c r="W12" t="s">
        <v>608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DU324"/>
  <sheetViews>
    <sheetView zoomScaleNormal="100" workbookViewId="0">
      <selection activeCell="Q9" sqref="Q9"/>
    </sheetView>
  </sheetViews>
  <sheetFormatPr defaultColWidth="7.5703125" defaultRowHeight="15" x14ac:dyDescent="0.25"/>
  <cols>
    <col min="1" max="1" width="7.7109375" bestFit="1" customWidth="1"/>
    <col min="2" max="2" width="8.28515625" bestFit="1" customWidth="1"/>
    <col min="3" max="3" width="14.7109375" style="15" bestFit="1" customWidth="1"/>
    <col min="4" max="4" width="6" bestFit="1" customWidth="1"/>
    <col min="5" max="5" width="15.28515625" bestFit="1" customWidth="1"/>
    <col min="6" max="6" width="12" bestFit="1" customWidth="1"/>
    <col min="7" max="7" width="6.7109375" bestFit="1" customWidth="1"/>
    <col min="8" max="8" width="9.85546875" bestFit="1" customWidth="1"/>
    <col min="9" max="9" width="13.42578125" bestFit="1" customWidth="1"/>
    <col min="10" max="10" width="11.7109375" bestFit="1" customWidth="1"/>
    <col min="11" max="11" width="17.85546875" bestFit="1" customWidth="1"/>
    <col min="12" max="12" width="14.5703125" style="15" bestFit="1" customWidth="1"/>
    <col min="13" max="13" width="14.42578125" bestFit="1" customWidth="1"/>
    <col min="14" max="16" width="8.85546875" bestFit="1" customWidth="1"/>
    <col min="17" max="17" width="11.42578125" bestFit="1" customWidth="1"/>
    <col min="18" max="18" width="13.42578125" bestFit="1" customWidth="1"/>
    <col min="19" max="19" width="8.28515625" style="57" bestFit="1" customWidth="1"/>
    <col min="21" max="21" width="27.5703125" bestFit="1" customWidth="1"/>
    <col min="23" max="23" width="7" customWidth="1"/>
    <col min="24" max="24" width="8.85546875" bestFit="1" customWidth="1"/>
    <col min="25" max="25" width="7.85546875" customWidth="1"/>
    <col min="26" max="26" width="6.28515625" bestFit="1" customWidth="1"/>
    <col min="27" max="27" width="8" style="24" bestFit="1" customWidth="1"/>
    <col min="28" max="28" width="7.5703125" style="24"/>
    <col min="30" max="30" width="9.5703125" bestFit="1" customWidth="1"/>
    <col min="31" max="31" width="10.28515625" bestFit="1" customWidth="1"/>
    <col min="32" max="32" width="4.7109375" style="29" bestFit="1" customWidth="1"/>
    <col min="33" max="33" width="5.42578125" style="29" bestFit="1" customWidth="1"/>
    <col min="34" max="34" width="4.140625" style="29" bestFit="1" customWidth="1"/>
    <col min="35" max="36" width="5.140625" style="29" bestFit="1" customWidth="1"/>
    <col min="37" max="37" width="8.28515625" style="74" bestFit="1" customWidth="1"/>
    <col min="38" max="38" width="10.7109375" style="34" bestFit="1" customWidth="1"/>
    <col min="39" max="39" width="7.7109375" style="29" bestFit="1" customWidth="1"/>
    <col min="40" max="40" width="12" style="29" bestFit="1" customWidth="1"/>
    <col min="41" max="41" width="5.85546875" style="29" bestFit="1" customWidth="1"/>
    <col min="42" max="42" width="12.28515625" style="29" bestFit="1" customWidth="1"/>
    <col min="43" max="43" width="5.85546875" style="29" bestFit="1" customWidth="1"/>
    <col min="45" max="45" width="13.7109375" style="30" bestFit="1" customWidth="1"/>
    <col min="46" max="46" width="15" style="30" bestFit="1" customWidth="1"/>
    <col min="47" max="47" width="10.28515625" bestFit="1" customWidth="1"/>
    <col min="48" max="48" width="7.5703125" style="24"/>
    <col min="49" max="49" width="15.5703125" style="24" bestFit="1" customWidth="1"/>
    <col min="50" max="50" width="10.140625" bestFit="1" customWidth="1"/>
    <col min="52" max="52" width="7.7109375" bestFit="1" customWidth="1"/>
    <col min="53" max="53" width="4.140625" bestFit="1" customWidth="1"/>
    <col min="54" max="56" width="12.5703125" bestFit="1" customWidth="1"/>
    <col min="57" max="57" width="13.28515625" bestFit="1" customWidth="1"/>
    <col min="58" max="60" width="13.42578125" bestFit="1" customWidth="1"/>
    <col min="62" max="64" width="11.28515625" bestFit="1" customWidth="1"/>
    <col min="66" max="66" width="4" bestFit="1" customWidth="1"/>
    <col min="67" max="68" width="5" bestFit="1" customWidth="1"/>
    <col min="69" max="69" width="11.85546875" style="24" bestFit="1" customWidth="1"/>
    <col min="70" max="70" width="4" bestFit="1" customWidth="1"/>
    <col min="71" max="72" width="5" bestFit="1" customWidth="1"/>
    <col min="73" max="73" width="11.85546875" style="24" bestFit="1" customWidth="1"/>
    <col min="75" max="75" width="10.42578125" bestFit="1" customWidth="1"/>
    <col min="76" max="76" width="9.85546875" bestFit="1" customWidth="1"/>
    <col min="77" max="77" width="7.28515625" bestFit="1" customWidth="1"/>
    <col min="78" max="79" width="7.7109375" bestFit="1" customWidth="1"/>
    <col min="80" max="80" width="2" bestFit="1" customWidth="1"/>
    <col min="81" max="81" width="4.5703125" style="24" bestFit="1" customWidth="1"/>
    <col min="82" max="82" width="10.5703125" bestFit="1" customWidth="1"/>
    <col min="83" max="83" width="8.85546875" bestFit="1" customWidth="1"/>
    <col min="84" max="84" width="7.28515625" bestFit="1" customWidth="1"/>
    <col min="85" max="85" width="9.42578125" bestFit="1" customWidth="1"/>
    <col min="86" max="86" width="12.5703125" bestFit="1" customWidth="1"/>
    <col min="87" max="87" width="11.5703125" bestFit="1" customWidth="1"/>
    <col min="88" max="88" width="8.85546875" bestFit="1" customWidth="1"/>
    <col min="89" max="89" width="7.28515625" bestFit="1" customWidth="1"/>
    <col min="90" max="90" width="9" bestFit="1" customWidth="1"/>
    <col min="92" max="92" width="8.140625" bestFit="1" customWidth="1"/>
    <col min="94" max="94" width="12.85546875" bestFit="1" customWidth="1"/>
    <col min="96" max="96" width="14.5703125" bestFit="1" customWidth="1"/>
    <col min="97" max="97" width="7.7109375" bestFit="1" customWidth="1"/>
    <col min="98" max="98" width="8.140625" bestFit="1" customWidth="1"/>
    <col min="99" max="99" width="7.7109375" bestFit="1" customWidth="1"/>
    <col min="100" max="101" width="2" bestFit="1" customWidth="1"/>
    <col min="102" max="102" width="10.85546875" bestFit="1" customWidth="1"/>
    <col min="103" max="103" width="13.28515625" bestFit="1" customWidth="1"/>
    <col min="105" max="105" width="8.28515625" bestFit="1" customWidth="1"/>
    <col min="106" max="106" width="9.42578125" bestFit="1" customWidth="1"/>
    <col min="107" max="107" width="8" style="24" customWidth="1"/>
    <col min="108" max="108" width="10.7109375" bestFit="1" customWidth="1"/>
    <col min="109" max="109" width="7.42578125" bestFit="1" customWidth="1"/>
    <col min="110" max="110" width="3.85546875" bestFit="1" customWidth="1"/>
    <col min="111" max="111" width="9.42578125" bestFit="1" customWidth="1"/>
    <col min="113" max="113" width="14.28515625" bestFit="1" customWidth="1"/>
    <col min="114" max="114" width="15.5703125" bestFit="1" customWidth="1"/>
    <col min="115" max="115" width="8.85546875" bestFit="1" customWidth="1"/>
    <col min="117" max="117" width="9.7109375" bestFit="1" customWidth="1"/>
    <col min="119" max="119" width="13.28515625" style="24" bestFit="1" customWidth="1"/>
    <col min="121" max="121" width="9.7109375" bestFit="1" customWidth="1"/>
    <col min="122" max="122" width="7" bestFit="1" customWidth="1"/>
    <col min="123" max="123" width="8.42578125" bestFit="1" customWidth="1"/>
    <col min="124" max="124" width="10.28515625" bestFit="1" customWidth="1"/>
    <col min="125" max="125" width="6.28515625" bestFit="1" customWidth="1"/>
  </cols>
  <sheetData>
    <row r="1" spans="1:125" ht="23.45" customHeight="1" x14ac:dyDescent="0.4">
      <c r="A1" s="21" t="s">
        <v>61</v>
      </c>
      <c r="B1" s="69" t="s">
        <v>87</v>
      </c>
      <c r="C1" s="65" t="s">
        <v>108</v>
      </c>
      <c r="D1" s="70" t="s">
        <v>121</v>
      </c>
      <c r="E1" s="10" t="s">
        <v>136</v>
      </c>
      <c r="F1" s="16" t="s">
        <v>149</v>
      </c>
      <c r="G1" s="21" t="s">
        <v>160</v>
      </c>
      <c r="H1" s="21" t="s">
        <v>173</v>
      </c>
      <c r="I1" s="21" t="s">
        <v>188</v>
      </c>
      <c r="J1" s="9" t="s">
        <v>202</v>
      </c>
      <c r="K1" s="16" t="s">
        <v>215</v>
      </c>
      <c r="L1" s="16" t="s">
        <v>221</v>
      </c>
      <c r="M1" s="16" t="s">
        <v>226</v>
      </c>
      <c r="N1" s="21" t="s">
        <v>230</v>
      </c>
      <c r="O1" s="21" t="s">
        <v>234</v>
      </c>
      <c r="P1" s="21" t="s">
        <v>239</v>
      </c>
      <c r="Q1" s="65" t="s">
        <v>545</v>
      </c>
      <c r="R1" s="21" t="s">
        <v>244</v>
      </c>
      <c r="S1" s="71" t="s">
        <v>603</v>
      </c>
      <c r="T1" s="20"/>
      <c r="U1" s="9" t="s">
        <v>546</v>
      </c>
      <c r="X1" t="s">
        <v>547</v>
      </c>
      <c r="Y1" t="s">
        <v>548</v>
      </c>
      <c r="Z1" t="s">
        <v>549</v>
      </c>
      <c r="AA1" s="27"/>
      <c r="AD1" s="35" t="s">
        <v>550</v>
      </c>
      <c r="AE1" t="s">
        <v>551</v>
      </c>
      <c r="AF1" s="28" t="s">
        <v>539</v>
      </c>
      <c r="AG1" s="28" t="s">
        <v>540</v>
      </c>
      <c r="AH1" s="28" t="s">
        <v>53</v>
      </c>
      <c r="AI1" s="28" t="s">
        <v>63</v>
      </c>
      <c r="AJ1" s="28" t="s">
        <v>65</v>
      </c>
      <c r="AK1" s="73" t="s">
        <v>552</v>
      </c>
      <c r="AL1" s="33" t="s">
        <v>553</v>
      </c>
      <c r="AM1" s="28" t="s">
        <v>541</v>
      </c>
      <c r="AN1" s="28" t="s">
        <v>542</v>
      </c>
      <c r="AO1" s="28" t="s">
        <v>295</v>
      </c>
      <c r="AP1" s="28" t="s">
        <v>543</v>
      </c>
      <c r="AQ1" s="28" t="s">
        <v>295</v>
      </c>
      <c r="AS1" s="17" t="s">
        <v>554</v>
      </c>
      <c r="AT1" s="36" t="s">
        <v>555</v>
      </c>
      <c r="AU1" t="s">
        <v>556</v>
      </c>
      <c r="AW1" s="24" t="s">
        <v>557</v>
      </c>
      <c r="AX1" t="s">
        <v>558</v>
      </c>
      <c r="AZ1" s="37" t="s">
        <v>559</v>
      </c>
      <c r="BA1" t="s">
        <v>537</v>
      </c>
      <c r="BB1" t="s">
        <v>560</v>
      </c>
      <c r="BC1" t="s">
        <v>561</v>
      </c>
      <c r="BD1" t="s">
        <v>562</v>
      </c>
      <c r="BE1" t="s">
        <v>563</v>
      </c>
      <c r="BF1" s="48" t="s">
        <v>564</v>
      </c>
      <c r="BG1" t="s">
        <v>565</v>
      </c>
      <c r="BH1" t="s">
        <v>566</v>
      </c>
      <c r="BJ1" t="s">
        <v>567</v>
      </c>
      <c r="BK1" t="s">
        <v>568</v>
      </c>
      <c r="BL1" t="s">
        <v>569</v>
      </c>
      <c r="BN1" s="38" t="s">
        <v>53</v>
      </c>
      <c r="BO1" s="38" t="s">
        <v>63</v>
      </c>
      <c r="BP1" s="38" t="s">
        <v>65</v>
      </c>
      <c r="BQ1" s="40" t="s">
        <v>570</v>
      </c>
      <c r="BR1" s="39" t="s">
        <v>53</v>
      </c>
      <c r="BS1" s="39" t="s">
        <v>63</v>
      </c>
      <c r="BT1" s="39" t="s">
        <v>65</v>
      </c>
      <c r="BU1" s="41" t="s">
        <v>570</v>
      </c>
      <c r="BW1" s="44" t="s">
        <v>571</v>
      </c>
      <c r="BX1" s="44" t="s">
        <v>572</v>
      </c>
      <c r="BY1" s="32" t="s">
        <v>3</v>
      </c>
      <c r="BZ1" s="32" t="s">
        <v>544</v>
      </c>
      <c r="CA1" s="32" t="s">
        <v>573</v>
      </c>
      <c r="CB1" s="79" t="s">
        <v>574</v>
      </c>
      <c r="CC1" s="80"/>
      <c r="CD1" s="32" t="s">
        <v>575</v>
      </c>
      <c r="CE1" s="32" t="s">
        <v>108</v>
      </c>
      <c r="CF1" s="32" t="s">
        <v>92</v>
      </c>
      <c r="CG1" s="67" t="s">
        <v>576</v>
      </c>
      <c r="CH1" s="67" t="s">
        <v>577</v>
      </c>
      <c r="CI1" s="67" t="s">
        <v>578</v>
      </c>
      <c r="CJ1" s="67" t="s">
        <v>108</v>
      </c>
      <c r="CK1" s="67" t="s">
        <v>92</v>
      </c>
      <c r="CL1" s="68" t="s">
        <v>579</v>
      </c>
      <c r="CN1" s="39" t="s">
        <v>580</v>
      </c>
      <c r="CP1" s="32" t="s">
        <v>581</v>
      </c>
      <c r="CR1" s="64" t="s">
        <v>582</v>
      </c>
      <c r="CS1" s="64" t="s">
        <v>3</v>
      </c>
      <c r="CT1" s="64" t="s">
        <v>544</v>
      </c>
      <c r="CU1" s="64" t="s">
        <v>573</v>
      </c>
      <c r="CV1" s="81" t="s">
        <v>574</v>
      </c>
      <c r="CW1" s="82"/>
      <c r="CX1" s="64" t="s">
        <v>575</v>
      </c>
      <c r="CY1" s="64" t="s">
        <v>581</v>
      </c>
      <c r="DA1" s="46" t="s">
        <v>583</v>
      </c>
      <c r="DB1" s="46" t="s">
        <v>584</v>
      </c>
      <c r="DC1" s="47"/>
      <c r="DD1" s="46" t="s">
        <v>585</v>
      </c>
      <c r="DE1" s="46" t="s">
        <v>586</v>
      </c>
      <c r="DF1" s="38"/>
      <c r="DG1" s="38"/>
      <c r="DI1" s="32" t="s">
        <v>587</v>
      </c>
      <c r="DJ1" s="42" t="s">
        <v>588</v>
      </c>
      <c r="DK1" s="58" t="s">
        <v>221</v>
      </c>
      <c r="DM1" s="62" t="s">
        <v>589</v>
      </c>
      <c r="DO1" s="63" t="s">
        <v>590</v>
      </c>
      <c r="DQ1" s="29" t="s">
        <v>643</v>
      </c>
      <c r="DR1" s="29" t="s">
        <v>644</v>
      </c>
      <c r="DS1" s="29" t="s">
        <v>645</v>
      </c>
      <c r="DT1" s="29" t="s">
        <v>646</v>
      </c>
      <c r="DU1" s="29" t="s">
        <v>647</v>
      </c>
    </row>
    <row r="2" spans="1:125" x14ac:dyDescent="0.25">
      <c r="A2" s="15">
        <v>1</v>
      </c>
      <c r="B2" s="15" t="s">
        <v>658</v>
      </c>
      <c r="C2" s="15">
        <v>2429</v>
      </c>
      <c r="D2" s="15">
        <v>10000</v>
      </c>
      <c r="E2" t="str">
        <f>IF(B2=Level!$A$2,SD!$C$14,SD!$C$13)</f>
        <v>3-0</v>
      </c>
      <c r="F2" s="15" t="s">
        <v>763</v>
      </c>
      <c r="G2" s="15" t="s">
        <v>690</v>
      </c>
      <c r="H2" s="15" t="s">
        <v>759</v>
      </c>
      <c r="I2" s="15" t="s">
        <v>691</v>
      </c>
      <c r="J2" t="str">
        <f>IF(AND(SD!$C$19=SD!$H$2,Grade!$G$1="Per level"),VLOOKUP(B2,Grade!$E$1:$F$200,2,FALSE),IF(AND(SD!$C$19=SD!$H$2,Grade!$G$1="Per Bar Size"),VLOOKUP(W2,Grade!$B$1:$C$12,2,0),SD!$C$19))</f>
        <v>A615 Grade 60</v>
      </c>
      <c r="K2" s="15" t="s">
        <v>66</v>
      </c>
      <c r="L2" s="24" t="str">
        <f>IFERROR(IF(A2&lt;&gt;A3,"",IF(DF2="No Lap","",IF(K3="Lap",U2,IF(K3="Coupler",_xlfn._xlws.FILTER(CCoupler,(CCName=SD!$C$8)*(CBSize=IF(A1=A2,W2&amp;W3,W2&amp;W2))*(CCMFM="Male")),"")))),"N/A")</f>
        <v/>
      </c>
      <c r="M2" t="str">
        <f t="shared" ref="M2:M65" si="0">IF(A2=A3,IF(AND(IF(A2=A3,ABS(Y2-Y3),"0")&gt;6,IF(A2=A3,ABS(Z2-Z3),"0")&gt;6),I3,IF(OR(IF(A2=A3,ABS(Y2-Y3),"0")&gt;6,IF(A2=A3,ABS(Z2-Z3),"0")&gt;6),CONCATENATE(ROUNDUP(X3/2,0)," - ",W3),"")),"")</f>
        <v/>
      </c>
      <c r="N2" s="15" t="s">
        <v>692</v>
      </c>
      <c r="O2" s="15" t="s">
        <v>693</v>
      </c>
      <c r="P2" s="15" t="s">
        <v>692</v>
      </c>
      <c r="Q2" t="str">
        <f>IF(AND(SD!$C$29=SD!$P$2,Grade!$O$1="Per level"),VLOOKUP(B2,Grade!$M$1:$N$200,2,FALSE),IF(AND(SD!$C$29=SD!$P$2,Grade!$O$1="Per Bar Size"),VLOOKUP(LEFT(N2,FIND("@",N2)-2),Grade!$J$1:$K$12,2,0),SD!$C$29))</f>
        <v>A615 Grade 60</v>
      </c>
      <c r="R2" s="15" t="s">
        <v>694</v>
      </c>
      <c r="S2" s="57">
        <v>2</v>
      </c>
      <c r="U2" t="str">
        <f>IF(Data!$J2="",IFERROR(INDEX(IF(SD!$C$11="Create",Lap!$A$3:$BF$14,IF(SD!$C$11="Per Uploaded File",Lap!$A$19:$BF$30,"")),MATCH(W2,Lap!$A$3:$A$14,0),MATCH(VALUE(D2),Lap!$A$3:$BF$3,0)+IF(IFERROR(FIND("Grade 60",J2),0)&gt;0,0,IF(IFERROR(FIND("Grade 80",J2),0),1,IF(IFERROR(FIND("Grade 75",J2),0),2,"")))),""),Data!J2)</f>
        <v>3-6</v>
      </c>
      <c r="W2" t="s">
        <v>129</v>
      </c>
      <c r="X2">
        <v>14</v>
      </c>
      <c r="Y2" t="str">
        <f t="shared" ref="Y2:Y65" si="1">IFERROR(LEFT(G2,FIND(" dia",G2)-2),LEFT(G2,FIND("x",G2)-1))</f>
        <v xml:space="preserve">12 </v>
      </c>
      <c r="Z2" t="str">
        <f t="shared" ref="Z2:Z65" si="2">IFERROR(IF(FIND("dia",G2)&gt;0,0,ERROR.TYPE(#VALUE!)),RIGHT(G2,LEN(G2)-FIND("x",G2)))</f>
        <v xml:space="preserve"> 56</v>
      </c>
      <c r="AB2" s="25"/>
      <c r="AT2" s="31"/>
      <c r="DE2" t="s">
        <v>690</v>
      </c>
      <c r="DF2" t="s">
        <v>66</v>
      </c>
      <c r="DG2" t="str">
        <f>VLOOKUP(W2,'Level Wise PSI'!$F$2:$G$12,2,FALSE)</f>
        <v>Double Lift</v>
      </c>
    </row>
    <row r="3" spans="1:125" x14ac:dyDescent="0.25">
      <c r="A3">
        <v>10</v>
      </c>
      <c r="B3" t="s">
        <v>658</v>
      </c>
      <c r="C3" s="15">
        <v>2429</v>
      </c>
      <c r="D3" s="15">
        <v>10000</v>
      </c>
      <c r="E3" t="str">
        <f>IF(B3=Level!$A$2,SD!$C$14,SD!$C$13)</f>
        <v>3-0</v>
      </c>
      <c r="F3" s="15" t="s">
        <v>763</v>
      </c>
      <c r="G3" t="s">
        <v>695</v>
      </c>
      <c r="H3" s="15" t="s">
        <v>759</v>
      </c>
      <c r="I3" t="s">
        <v>696</v>
      </c>
      <c r="J3" t="str">
        <f>IF(AND(SD!$C$19=SD!$H$2,Grade!$G$1="Per level"),VLOOKUP(B3,Grade!$E$1:$F$200,2,FALSE),IF(AND(SD!$C$19=SD!$H$2,Grade!$G$1="Per Bar Size"),VLOOKUP(W3,Grade!$B$1:$C$12,2,0),SD!$C$19))</f>
        <v>A615 Grade 60</v>
      </c>
      <c r="K3" s="15" t="s">
        <v>66</v>
      </c>
      <c r="L3" s="24" t="str">
        <f>IFERROR(IF(A3&lt;&gt;A4,"",IF(DF3="No Lap","",IF(K4="Lap",U3,IF(K4="Coupler",_xlfn._xlws.FILTER(CCoupler,(CCName=SD!$C$8)*(CBSize=IF(A2=A3,W3&amp;W4,W3&amp;W3))*(CCMFM="Male")),"")))),"N/A")</f>
        <v/>
      </c>
      <c r="M3" t="str">
        <f t="shared" si="0"/>
        <v/>
      </c>
      <c r="N3" t="s">
        <v>692</v>
      </c>
      <c r="O3" t="s">
        <v>697</v>
      </c>
      <c r="P3" t="s">
        <v>692</v>
      </c>
      <c r="Q3" t="str">
        <f>IF(AND(SD!$C$29=SD!$P$2,Grade!$O$1="Per level"),VLOOKUP(B3,Grade!$M$1:$N$200,2,FALSE),IF(AND(SD!$C$29=SD!$P$2,Grade!$O$1="Per Bar Size"),VLOOKUP(LEFT(N3,FIND("@",N3)-2),Grade!$J$1:$K$12,2,0),SD!$C$29))</f>
        <v>A615 Grade 60</v>
      </c>
      <c r="R3" t="s">
        <v>698</v>
      </c>
      <c r="S3" s="57">
        <v>3</v>
      </c>
      <c r="U3" t="str">
        <f>IF(Data!$J3="",IFERROR(INDEX(IF(SD!$C$11="Create",Lap!$A$3:$BF$14,IF(SD!$C$11="Per Uploaded File",Lap!$A$19:$BF$30,"")),MATCH(W3,Lap!$A$3:$A$14,0),MATCH(VALUE(D3),Lap!$A$3:$BF$3,0)+IF(IFERROR(FIND("Grade 60",J3),0)&gt;0,0,IF(IFERROR(FIND("Grade 80",J3),0),1,IF(IFERROR(FIND("Grade 75",J3),0),2,"")))),""),Data!J3)</f>
        <v>3-6</v>
      </c>
      <c r="W3" t="s">
        <v>129</v>
      </c>
      <c r="X3">
        <v>6</v>
      </c>
      <c r="Y3" t="str">
        <f t="shared" si="1"/>
        <v xml:space="preserve">8 </v>
      </c>
      <c r="Z3" t="str">
        <f t="shared" si="2"/>
        <v xml:space="preserve"> 36</v>
      </c>
      <c r="AB3" s="25"/>
      <c r="AT3" s="31"/>
      <c r="DE3" t="s">
        <v>695</v>
      </c>
      <c r="DF3" t="s">
        <v>66</v>
      </c>
      <c r="DG3" t="str">
        <f>VLOOKUP(W3,'Level Wise PSI'!$F$2:$G$12,2,FALSE)</f>
        <v>Double Lift</v>
      </c>
    </row>
    <row r="4" spans="1:125" x14ac:dyDescent="0.25">
      <c r="A4">
        <v>11</v>
      </c>
      <c r="B4" t="s">
        <v>658</v>
      </c>
      <c r="C4" s="15">
        <v>2429</v>
      </c>
      <c r="D4" s="15">
        <v>10000</v>
      </c>
      <c r="E4" t="str">
        <f>IF(B4=Level!$A$2,SD!$C$14,SD!$C$13)</f>
        <v>3-0</v>
      </c>
      <c r="F4" s="15" t="s">
        <v>763</v>
      </c>
      <c r="G4" t="s">
        <v>695</v>
      </c>
      <c r="H4" s="15" t="s">
        <v>759</v>
      </c>
      <c r="I4" t="s">
        <v>696</v>
      </c>
      <c r="J4" t="str">
        <f>IF(AND(SD!$C$19=SD!$H$2,Grade!$G$1="Per level"),VLOOKUP(B4,Grade!$E$1:$F$200,2,FALSE),IF(AND(SD!$C$19=SD!$H$2,Grade!$G$1="Per Bar Size"),VLOOKUP(W4,Grade!$B$1:$C$12,2,0),SD!$C$19))</f>
        <v>A615 Grade 60</v>
      </c>
      <c r="K4" s="15" t="s">
        <v>66</v>
      </c>
      <c r="L4" s="24" t="str">
        <f>IFERROR(IF(A4&lt;&gt;A5,"",IF(DF4="No Lap","",IF(K5="Lap",U4,IF(K5="Coupler",_xlfn._xlws.FILTER(CCoupler,(CCName=SD!$C$8)*(CBSize=IF(A3=A4,W4&amp;W5,W4&amp;W4))*(CCMFM="Male")),"")))),"N/A")</f>
        <v/>
      </c>
      <c r="M4" t="str">
        <f t="shared" si="0"/>
        <v/>
      </c>
      <c r="N4" t="s">
        <v>692</v>
      </c>
      <c r="O4" t="s">
        <v>697</v>
      </c>
      <c r="P4" t="s">
        <v>692</v>
      </c>
      <c r="Q4" t="str">
        <f>IF(AND(SD!$C$29=SD!$P$2,Grade!$O$1="Per level"),VLOOKUP(B4,Grade!$M$1:$N$200,2,FALSE),IF(AND(SD!$C$29=SD!$P$2,Grade!$O$1="Per Bar Size"),VLOOKUP(LEFT(N4,FIND("@",N4)-2),Grade!$J$1:$K$12,2,0),SD!$C$29))</f>
        <v>A615 Grade 60</v>
      </c>
      <c r="R4" t="s">
        <v>698</v>
      </c>
      <c r="S4" s="57">
        <v>4</v>
      </c>
      <c r="U4" t="str">
        <f>IF(Data!$J4="",IFERROR(INDEX(IF(SD!$C$11="Create",Lap!$A$3:$BF$14,IF(SD!$C$11="Per Uploaded File",Lap!$A$19:$BF$30,"")),MATCH(W4,Lap!$A$3:$A$14,0),MATCH(VALUE(D4),Lap!$A$3:$BF$3,0)+IF(IFERROR(FIND("Grade 60",J4),0)&gt;0,0,IF(IFERROR(FIND("Grade 80",J4),0),1,IF(IFERROR(FIND("Grade 75",J4),0),2,"")))),""),Data!J4)</f>
        <v>3-6</v>
      </c>
      <c r="W4" t="s">
        <v>129</v>
      </c>
      <c r="X4">
        <v>6</v>
      </c>
      <c r="Y4" t="str">
        <f t="shared" si="1"/>
        <v xml:space="preserve">8 </v>
      </c>
      <c r="Z4" t="str">
        <f t="shared" si="2"/>
        <v xml:space="preserve"> 36</v>
      </c>
      <c r="AB4" s="25"/>
      <c r="AT4" s="31"/>
      <c r="DE4" t="s">
        <v>695</v>
      </c>
      <c r="DF4" t="s">
        <v>66</v>
      </c>
      <c r="DG4" t="str">
        <f>VLOOKUP(W4,'Level Wise PSI'!$F$2:$G$12,2,FALSE)</f>
        <v>Double Lift</v>
      </c>
    </row>
    <row r="5" spans="1:125" ht="16.149999999999999" customHeight="1" x14ac:dyDescent="0.25">
      <c r="A5">
        <v>12</v>
      </c>
      <c r="B5" t="s">
        <v>658</v>
      </c>
      <c r="C5" s="15">
        <v>2429</v>
      </c>
      <c r="D5" s="15">
        <v>10000</v>
      </c>
      <c r="E5" s="15" t="s">
        <v>745</v>
      </c>
      <c r="F5" s="15" t="s">
        <v>763</v>
      </c>
      <c r="G5" t="s">
        <v>699</v>
      </c>
      <c r="H5" s="15" t="s">
        <v>760</v>
      </c>
      <c r="I5" s="15" t="s">
        <v>700</v>
      </c>
      <c r="J5" t="str">
        <f>IF(AND(SD!$C$19=SD!$H$2,Grade!$G$1="Per level"),VLOOKUP(B5,Grade!$E$1:$F$200,2,FALSE),IF(AND(SD!$C$19=SD!$H$2,Grade!$G$1="Per Bar Size"),VLOOKUP(W5,Grade!$B$1:$C$12,2,0),SD!$C$19))</f>
        <v>A615 Grade 60</v>
      </c>
      <c r="K5" s="15" t="s">
        <v>66</v>
      </c>
      <c r="L5" s="24" t="str">
        <f>IFERROR(IF(A5&lt;&gt;A6,"",IF(DF5="No Lap","",IF(K6="Lap",U5,IF(K6="Coupler",_xlfn._xlws.FILTER(CCoupler,(CCName=SD!$C$8)*(CBSize=IF(A4=A5,W5&amp;W6,W5&amp;W5))*(CCMFM="Male")),"")))),"N/A")</f>
        <v/>
      </c>
      <c r="M5" t="str">
        <f t="shared" si="0"/>
        <v/>
      </c>
      <c r="N5" t="s">
        <v>692</v>
      </c>
      <c r="O5" t="s">
        <v>693</v>
      </c>
      <c r="P5" t="s">
        <v>692</v>
      </c>
      <c r="Q5" t="str">
        <f>IF(AND(SD!$C$29=SD!$P$2,Grade!$O$1="Per level"),VLOOKUP(B5,Grade!$M$1:$N$200,2,FALSE),IF(AND(SD!$C$29=SD!$P$2,Grade!$O$1="Per Bar Size"),VLOOKUP(LEFT(N5,FIND("@",N5)-2),Grade!$J$1:$K$12,2,0),SD!$C$29))</f>
        <v>A615 Grade 60</v>
      </c>
      <c r="R5" t="s">
        <v>701</v>
      </c>
      <c r="S5" s="57">
        <v>5</v>
      </c>
      <c r="U5" t="str">
        <f>IF(Data!$J5="",IFERROR(INDEX(IF(SD!$C$11="Create",Lap!$A$3:$BF$14,IF(SD!$C$11="Per Uploaded File",Lap!$A$19:$BF$30,"")),MATCH(W5,Lap!$A$3:$A$14,0),MATCH(VALUE(D5),Lap!$A$3:$BF$3,0)+IF(IFERROR(FIND("Grade 60",J5),0)&gt;0,0,IF(IFERROR(FIND("Grade 80",J5),0),1,IF(IFERROR(FIND("Grade 75",J5),0),2,"")))),""),Data!J5)</f>
        <v>4-6</v>
      </c>
      <c r="W5" t="s">
        <v>154</v>
      </c>
      <c r="X5">
        <v>12</v>
      </c>
      <c r="Y5" t="str">
        <f t="shared" si="1"/>
        <v xml:space="preserve">24 </v>
      </c>
      <c r="Z5" t="str">
        <f t="shared" si="2"/>
        <v xml:space="preserve"> 36</v>
      </c>
      <c r="AB5" s="25"/>
      <c r="AT5" s="31"/>
      <c r="DE5" t="s">
        <v>699</v>
      </c>
      <c r="DF5" t="s">
        <v>66</v>
      </c>
      <c r="DG5" t="str">
        <f>VLOOKUP(W5,'Level Wise PSI'!$F$2:$G$12,2,FALSE)</f>
        <v>Double Lift</v>
      </c>
    </row>
    <row r="6" spans="1:125" x14ac:dyDescent="0.25">
      <c r="A6">
        <v>13</v>
      </c>
      <c r="B6" t="s">
        <v>658</v>
      </c>
      <c r="C6" s="15">
        <v>2429</v>
      </c>
      <c r="D6" s="15">
        <v>10000</v>
      </c>
      <c r="E6" s="15" t="s">
        <v>748</v>
      </c>
      <c r="F6" s="15" t="s">
        <v>763</v>
      </c>
      <c r="G6" t="s">
        <v>699</v>
      </c>
      <c r="H6" s="15" t="s">
        <v>760</v>
      </c>
      <c r="I6" t="s">
        <v>700</v>
      </c>
      <c r="J6" t="str">
        <f>IF(AND(SD!$C$19=SD!$H$2,Grade!$G$1="Per level"),VLOOKUP(B6,Grade!$E$1:$F$200,2,FALSE),IF(AND(SD!$C$19=SD!$H$2,Grade!$G$1="Per Bar Size"),VLOOKUP(W6,Grade!$B$1:$C$12,2,0),SD!$C$19))</f>
        <v>A615 Grade 60</v>
      </c>
      <c r="K6" s="15" t="s">
        <v>66</v>
      </c>
      <c r="L6" s="24" t="str">
        <f>IFERROR(IF(A6&lt;&gt;A7,"",IF(DF6="No Lap","",IF(K7="Lap",U6,IF(K7="Coupler",_xlfn._xlws.FILTER(CCoupler,(CCName=SD!$C$8)*(CBSize=IF(A5=A6,W6&amp;W7,W6&amp;W6))*(CCMFM="Male")),"")))),"N/A")</f>
        <v/>
      </c>
      <c r="M6" t="str">
        <f t="shared" si="0"/>
        <v/>
      </c>
      <c r="N6" t="s">
        <v>692</v>
      </c>
      <c r="O6" t="s">
        <v>693</v>
      </c>
      <c r="P6" t="s">
        <v>692</v>
      </c>
      <c r="Q6" t="str">
        <f>IF(AND(SD!$C$29=SD!$P$2,Grade!$O$1="Per level"),VLOOKUP(B6,Grade!$M$1:$N$200,2,FALSE),IF(AND(SD!$C$29=SD!$P$2,Grade!$O$1="Per Bar Size"),VLOOKUP(LEFT(N6,FIND("@",N6)-2),Grade!$J$1:$K$12,2,0),SD!$C$29))</f>
        <v>A615 Grade 60</v>
      </c>
      <c r="R6" t="s">
        <v>701</v>
      </c>
      <c r="S6" s="57">
        <v>6</v>
      </c>
      <c r="U6" t="str">
        <f>IF(Data!$J6="",IFERROR(INDEX(IF(SD!$C$11="Create",Lap!$A$3:$BF$14,IF(SD!$C$11="Per Uploaded File",Lap!$A$19:$BF$30,"")),MATCH(W6,Lap!$A$3:$A$14,0),MATCH(VALUE(D6),Lap!$A$3:$BF$3,0)+IF(IFERROR(FIND("Grade 60",J6),0)&gt;0,0,IF(IFERROR(FIND("Grade 80",J6),0),1,IF(IFERROR(FIND("Grade 75",J6),0),2,"")))),""),Data!J6)</f>
        <v>4-6</v>
      </c>
      <c r="W6" t="s">
        <v>154</v>
      </c>
      <c r="X6">
        <v>12</v>
      </c>
      <c r="Y6" t="str">
        <f t="shared" si="1"/>
        <v xml:space="preserve">24 </v>
      </c>
      <c r="Z6" t="str">
        <f t="shared" si="2"/>
        <v xml:space="preserve"> 36</v>
      </c>
      <c r="AB6" s="25"/>
      <c r="AT6" s="31"/>
      <c r="DE6" t="s">
        <v>699</v>
      </c>
      <c r="DF6" t="s">
        <v>66</v>
      </c>
      <c r="DG6" t="str">
        <f>VLOOKUP(W6,'Level Wise PSI'!$F$2:$G$12,2,FALSE)</f>
        <v>Double Lift</v>
      </c>
    </row>
    <row r="7" spans="1:125" x14ac:dyDescent="0.25">
      <c r="A7">
        <v>14</v>
      </c>
      <c r="B7" t="s">
        <v>658</v>
      </c>
      <c r="C7" s="15">
        <v>2429</v>
      </c>
      <c r="D7" s="15">
        <v>10000</v>
      </c>
      <c r="E7" s="15" t="s">
        <v>748</v>
      </c>
      <c r="F7" s="15" t="s">
        <v>763</v>
      </c>
      <c r="G7" t="s">
        <v>699</v>
      </c>
      <c r="H7" s="15" t="s">
        <v>760</v>
      </c>
      <c r="I7" t="s">
        <v>700</v>
      </c>
      <c r="J7" t="str">
        <f>IF(AND(SD!$C$19=SD!$H$2,Grade!$G$1="Per level"),VLOOKUP(B7,Grade!$E$1:$F$200,2,FALSE),IF(AND(SD!$C$19=SD!$H$2,Grade!$G$1="Per Bar Size"),VLOOKUP(W7,Grade!$B$1:$C$12,2,0),SD!$C$19))</f>
        <v>A615 Grade 60</v>
      </c>
      <c r="K7" s="15" t="s">
        <v>66</v>
      </c>
      <c r="L7" s="24" t="str">
        <f>IFERROR(IF(A7&lt;&gt;A8,"",IF(DF7="No Lap","",IF(K8="Lap",U7,IF(K8="Coupler",_xlfn._xlws.FILTER(CCoupler,(CCName=SD!$C$8)*(CBSize=IF(A6=A7,W7&amp;W8,W7&amp;W7))*(CCMFM="Male")),"")))),"N/A")</f>
        <v/>
      </c>
      <c r="M7" t="str">
        <f t="shared" si="0"/>
        <v/>
      </c>
      <c r="N7" s="15" t="s">
        <v>692</v>
      </c>
      <c r="O7" s="15" t="s">
        <v>693</v>
      </c>
      <c r="P7" s="15" t="s">
        <v>692</v>
      </c>
      <c r="Q7" t="str">
        <f>IF(AND(SD!$C$29=SD!$P$2,Grade!$O$1="Per level"),VLOOKUP(B7,Grade!$M$1:$N$200,2,FALSE),IF(AND(SD!$C$29=SD!$P$2,Grade!$O$1="Per Bar Size"),VLOOKUP(LEFT(N7,FIND("@",N7)-2),Grade!$J$1:$K$12,2,0),SD!$C$29))</f>
        <v>A615 Grade 60</v>
      </c>
      <c r="R7" t="s">
        <v>701</v>
      </c>
      <c r="S7" s="57">
        <v>7</v>
      </c>
      <c r="U7" t="str">
        <f>IF(Data!$J7="",IFERROR(INDEX(IF(SD!$C$11="Create",Lap!$A$3:$BF$14,IF(SD!$C$11="Per Uploaded File",Lap!$A$19:$BF$30,"")),MATCH(W7,Lap!$A$3:$A$14,0),MATCH(VALUE(D7),Lap!$A$3:$BF$3,0)+IF(IFERROR(FIND("Grade 60",J7),0)&gt;0,0,IF(IFERROR(FIND("Grade 80",J7),0),1,IF(IFERROR(FIND("Grade 75",J7),0),2,"")))),""),Data!J7)</f>
        <v>4-6</v>
      </c>
      <c r="W7" t="s">
        <v>154</v>
      </c>
      <c r="X7">
        <v>12</v>
      </c>
      <c r="Y7" t="str">
        <f t="shared" si="1"/>
        <v xml:space="preserve">24 </v>
      </c>
      <c r="Z7" t="str">
        <f t="shared" si="2"/>
        <v xml:space="preserve"> 36</v>
      </c>
      <c r="AB7" s="25"/>
      <c r="AT7" s="31"/>
      <c r="DE7" t="s">
        <v>699</v>
      </c>
      <c r="DF7" t="s">
        <v>66</v>
      </c>
      <c r="DG7" t="str">
        <f>VLOOKUP(W7,'Level Wise PSI'!$F$2:$G$12,2,FALSE)</f>
        <v>Double Lift</v>
      </c>
    </row>
    <row r="8" spans="1:125" x14ac:dyDescent="0.25">
      <c r="A8">
        <v>15</v>
      </c>
      <c r="B8" t="s">
        <v>658</v>
      </c>
      <c r="C8" s="15">
        <v>2429</v>
      </c>
      <c r="D8" s="15">
        <v>10000</v>
      </c>
      <c r="E8" s="15" t="s">
        <v>751</v>
      </c>
      <c r="F8" s="15" t="s">
        <v>763</v>
      </c>
      <c r="G8" t="s">
        <v>699</v>
      </c>
      <c r="H8" s="15" t="s">
        <v>760</v>
      </c>
      <c r="I8" t="s">
        <v>702</v>
      </c>
      <c r="J8" t="str">
        <f>IF(AND(SD!$C$19=SD!$H$2,Grade!$G$1="Per level"),VLOOKUP(B8,Grade!$E$1:$F$200,2,FALSE),IF(AND(SD!$C$19=SD!$H$2,Grade!$G$1="Per Bar Size"),VLOOKUP(W8,Grade!$B$1:$C$12,2,0),SD!$C$19))</f>
        <v>A615 Grade 60</v>
      </c>
      <c r="K8" s="15" t="s">
        <v>66</v>
      </c>
      <c r="L8" s="24" t="str">
        <f>IFERROR(IF(A8&lt;&gt;A9,"",IF(DF8="No Lap","",IF(K9="Lap",U8,IF(K9="Coupler",_xlfn._xlws.FILTER(CCoupler,(CCName=SD!$C$8)*(CBSize=IF(A7=A8,W8&amp;W9,W8&amp;W8))*(CCMFM="Male")),"")))),"N/A")</f>
        <v/>
      </c>
      <c r="M8" t="str">
        <f t="shared" si="0"/>
        <v/>
      </c>
      <c r="N8" t="s">
        <v>703</v>
      </c>
      <c r="O8" t="s">
        <v>704</v>
      </c>
      <c r="P8" t="s">
        <v>703</v>
      </c>
      <c r="Q8" t="str">
        <f>IF(AND(SD!$C$29=SD!$P$2,Grade!$O$1="Per level"),VLOOKUP(B8,Grade!$M$1:$N$200,2,FALSE),IF(AND(SD!$C$29=SD!$P$2,Grade!$O$1="Per Bar Size"),VLOOKUP(LEFT(N8,FIND("@",N8)-2),Grade!$J$1:$K$12,2,0),SD!$C$29))</f>
        <v>A615 Grade 60</v>
      </c>
      <c r="R8" t="s">
        <v>705</v>
      </c>
      <c r="S8" s="57">
        <v>8</v>
      </c>
      <c r="U8" t="str">
        <f>IF(Data!$J8="",IFERROR(INDEX(IF(SD!$C$11="Create",Lap!$A$3:$BF$14,IF(SD!$C$11="Per Uploaded File",Lap!$A$19:$BF$30,"")),MATCH(W8,Lap!$A$3:$A$14,0),MATCH(VALUE(D8),Lap!$A$3:$BF$3,0)+IF(IFERROR(FIND("Grade 60",J8),0)&gt;0,0,IF(IFERROR(FIND("Grade 80",J8),0),1,IF(IFERROR(FIND("Grade 75",J8),0),2,"")))),""),Data!J8)</f>
        <v>5-8</v>
      </c>
      <c r="W8" t="s">
        <v>181</v>
      </c>
      <c r="X8">
        <v>16</v>
      </c>
      <c r="Y8" t="str">
        <f t="shared" si="1"/>
        <v xml:space="preserve">24 </v>
      </c>
      <c r="Z8" t="str">
        <f t="shared" si="2"/>
        <v xml:space="preserve"> 36</v>
      </c>
      <c r="DE8" t="s">
        <v>699</v>
      </c>
      <c r="DF8" t="s">
        <v>66</v>
      </c>
      <c r="DG8" t="str">
        <f>VLOOKUP(W8,'Level Wise PSI'!$F$2:$G$12,2,FALSE)</f>
        <v>Double Lift</v>
      </c>
    </row>
    <row r="9" spans="1:125" x14ac:dyDescent="0.25">
      <c r="A9">
        <v>16</v>
      </c>
      <c r="B9" t="s">
        <v>658</v>
      </c>
      <c r="C9" s="15">
        <v>2429</v>
      </c>
      <c r="D9" s="15">
        <v>10000</v>
      </c>
      <c r="E9" s="15" t="s">
        <v>749</v>
      </c>
      <c r="F9" s="15" t="s">
        <v>763</v>
      </c>
      <c r="G9" t="s">
        <v>706</v>
      </c>
      <c r="H9" s="15" t="s">
        <v>759</v>
      </c>
      <c r="I9" t="s">
        <v>700</v>
      </c>
      <c r="J9" t="str">
        <f>IF(AND(SD!$C$19=SD!$H$2,Grade!$G$1="Per level"),VLOOKUP(B9,Grade!$E$1:$F$200,2,FALSE),IF(AND(SD!$C$19=SD!$H$2,Grade!$G$1="Per Bar Size"),VLOOKUP(W9,Grade!$B$1:$C$12,2,0),SD!$C$19))</f>
        <v>A615 Grade 60</v>
      </c>
      <c r="K9" s="15" t="s">
        <v>66</v>
      </c>
      <c r="L9" s="24" t="str">
        <f>IFERROR(IF(A9&lt;&gt;A10,"",IF(DF9="No Lap","",IF(K10="Lap",U9,IF(K10="Coupler",_xlfn._xlws.FILTER(CCoupler,(CCName=SD!$C$8)*(CBSize=IF(A8=A9,W9&amp;W10,W9&amp;W9))*(CCMFM="Male")),"")))),"N/A")</f>
        <v/>
      </c>
      <c r="M9" t="str">
        <f t="shared" si="0"/>
        <v/>
      </c>
      <c r="N9" t="s">
        <v>692</v>
      </c>
      <c r="O9" t="s">
        <v>693</v>
      </c>
      <c r="P9" t="s">
        <v>692</v>
      </c>
      <c r="Q9" t="str">
        <f>IF(AND(SD!$C$29=SD!$P$2,Grade!$O$1="Per level"),VLOOKUP(B9,Grade!$M$1:$N$200,2,FALSE),IF(AND(SD!$C$29=SD!$P$2,Grade!$O$1="Per Bar Size"),VLOOKUP(LEFT(N9,FIND("@",N9)-2),Grade!$J$1:$K$12,2,0),SD!$C$29))</f>
        <v>A615 Grade 60</v>
      </c>
      <c r="R9" t="s">
        <v>701</v>
      </c>
      <c r="S9" s="57">
        <v>9</v>
      </c>
      <c r="U9" t="str">
        <f>IF(Data!$J9="",IFERROR(INDEX(IF(SD!$C$11="Create",Lap!$A$3:$BF$14,IF(SD!$C$11="Per Uploaded File",Lap!$A$19:$BF$30,"")),MATCH(W9,Lap!$A$3:$A$14,0),MATCH(VALUE(D9),Lap!$A$3:$BF$3,0)+IF(IFERROR(FIND("Grade 60",J9),0)&gt;0,0,IF(IFERROR(FIND("Grade 80",J9),0),1,IF(IFERROR(FIND("Grade 75",J9),0),2,"")))),""),Data!J9)</f>
        <v>4-6</v>
      </c>
      <c r="W9" t="s">
        <v>154</v>
      </c>
      <c r="X9">
        <v>12</v>
      </c>
      <c r="Y9" t="str">
        <f t="shared" si="1"/>
        <v xml:space="preserve">14 </v>
      </c>
      <c r="Z9" t="str">
        <f t="shared" si="2"/>
        <v xml:space="preserve"> 24</v>
      </c>
      <c r="DE9" t="s">
        <v>706</v>
      </c>
      <c r="DF9" t="s">
        <v>66</v>
      </c>
      <c r="DG9" t="str">
        <f>VLOOKUP(W9,'Level Wise PSI'!$F$2:$G$12,2,FALSE)</f>
        <v>Double Lift</v>
      </c>
    </row>
    <row r="10" spans="1:125" x14ac:dyDescent="0.25">
      <c r="A10">
        <v>17</v>
      </c>
      <c r="B10" t="s">
        <v>658</v>
      </c>
      <c r="C10" s="15">
        <v>2429</v>
      </c>
      <c r="D10" s="15">
        <v>10000</v>
      </c>
      <c r="E10" s="15" t="s">
        <v>742</v>
      </c>
      <c r="F10" s="15" t="s">
        <v>763</v>
      </c>
      <c r="G10" t="s">
        <v>706</v>
      </c>
      <c r="H10" s="15" t="s">
        <v>758</v>
      </c>
      <c r="I10" t="s">
        <v>696</v>
      </c>
      <c r="J10" t="str">
        <f>IF(AND(SD!$C$19=SD!$H$2,Grade!$G$1="Per level"),VLOOKUP(B10,Grade!$E$1:$F$200,2,FALSE),IF(AND(SD!$C$19=SD!$H$2,Grade!$G$1="Per Bar Size"),VLOOKUP(W10,Grade!$B$1:$C$12,2,0),SD!$C$19))</f>
        <v>A615 Grade 60</v>
      </c>
      <c r="K10" s="15" t="s">
        <v>66</v>
      </c>
      <c r="L10" s="24" t="str">
        <f>IFERROR(IF(A10&lt;&gt;A11,"",IF(DF10="No Lap","",IF(K11="Lap",U10,IF(K11="Coupler",_xlfn._xlws.FILTER(CCoupler,(CCName=SD!$C$8)*(CBSize=IF(A9=A10,W10&amp;W11,W10&amp;W10))*(CCMFM="Male")),"")))),"N/A")</f>
        <v/>
      </c>
      <c r="M10" t="str">
        <f t="shared" si="0"/>
        <v/>
      </c>
      <c r="N10" s="15" t="s">
        <v>692</v>
      </c>
      <c r="O10" s="15" t="s">
        <v>693</v>
      </c>
      <c r="P10" s="15" t="s">
        <v>692</v>
      </c>
      <c r="Q10" t="str">
        <f>IF(AND(SD!$C$29=SD!$P$2,Grade!$O$1="Per level"),VLOOKUP(B10,Grade!$M$1:$N$200,2,FALSE),IF(AND(SD!$C$29=SD!$P$2,Grade!$O$1="Per Bar Size"),VLOOKUP(LEFT(N10,FIND("@",N10)-2),Grade!$J$1:$K$12,2,0),SD!$C$29))</f>
        <v>A615 Grade 60</v>
      </c>
      <c r="R10" t="s">
        <v>698</v>
      </c>
      <c r="S10" s="57">
        <v>10</v>
      </c>
      <c r="U10" t="str">
        <f>IF(Data!$J10="",IFERROR(INDEX(IF(SD!$C$11="Create",Lap!$A$3:$BF$14,IF(SD!$C$11="Per Uploaded File",Lap!$A$19:$BF$30,"")),MATCH(W10,Lap!$A$3:$A$14,0),MATCH(VALUE(D10),Lap!$A$3:$BF$3,0)+IF(IFERROR(FIND("Grade 60",J10),0)&gt;0,0,IF(IFERROR(FIND("Grade 80",J10),0),1,IF(IFERROR(FIND("Grade 75",J10),0),2,"")))),""),Data!J10)</f>
        <v>3-6</v>
      </c>
      <c r="W10" t="s">
        <v>129</v>
      </c>
      <c r="X10">
        <v>6</v>
      </c>
      <c r="Y10" t="str">
        <f t="shared" si="1"/>
        <v xml:space="preserve">14 </v>
      </c>
      <c r="Z10" t="str">
        <f t="shared" si="2"/>
        <v xml:space="preserve"> 24</v>
      </c>
      <c r="DE10" t="s">
        <v>706</v>
      </c>
      <c r="DF10" t="s">
        <v>66</v>
      </c>
      <c r="DG10" t="str">
        <f>VLOOKUP(W10,'Level Wise PSI'!$F$2:$G$12,2,FALSE)</f>
        <v>Double Lift</v>
      </c>
    </row>
    <row r="11" spans="1:125" x14ac:dyDescent="0.25">
      <c r="A11">
        <v>18</v>
      </c>
      <c r="B11" t="s">
        <v>658</v>
      </c>
      <c r="C11" s="15">
        <v>2429</v>
      </c>
      <c r="D11" s="15">
        <v>10000</v>
      </c>
      <c r="E11" t="str">
        <f>IF(B11=Level!$A$2,SD!$C$14,SD!$C$13)</f>
        <v>3-0</v>
      </c>
      <c r="F11" s="15" t="s">
        <v>763</v>
      </c>
      <c r="G11" t="s">
        <v>706</v>
      </c>
      <c r="H11" s="15" t="s">
        <v>759</v>
      </c>
      <c r="I11" t="s">
        <v>700</v>
      </c>
      <c r="J11" t="str">
        <f>IF(AND(SD!$C$19=SD!$H$2,Grade!$G$1="Per level"),VLOOKUP(B11,Grade!$E$1:$F$200,2,FALSE),IF(AND(SD!$C$19=SD!$H$2,Grade!$G$1="Per Bar Size"),VLOOKUP(W11,Grade!$B$1:$C$12,2,0),SD!$C$19))</f>
        <v>A615 Grade 60</v>
      </c>
      <c r="K11" s="15" t="s">
        <v>66</v>
      </c>
      <c r="L11" s="24" t="str">
        <f>IFERROR(IF(A11&lt;&gt;A12,"",IF(DF11="No Lap","",IF(K12="Lap",U11,IF(K12="Coupler",_xlfn._xlws.FILTER(CCoupler,(CCName=SD!$C$8)*(CBSize=IF(A10=A11,W11&amp;W12,W11&amp;W11))*(CCMFM="Male")),"")))),"N/A")</f>
        <v/>
      </c>
      <c r="M11" t="str">
        <f t="shared" si="0"/>
        <v/>
      </c>
      <c r="N11" t="s">
        <v>692</v>
      </c>
      <c r="O11" t="s">
        <v>693</v>
      </c>
      <c r="P11" t="s">
        <v>692</v>
      </c>
      <c r="Q11" t="str">
        <f>IF(AND(SD!$C$29=SD!$P$2,Grade!$O$1="Per level"),VLOOKUP(B11,Grade!$M$1:$N$200,2,FALSE),IF(AND(SD!$C$29=SD!$P$2,Grade!$O$1="Per Bar Size"),VLOOKUP(LEFT(N11,FIND("@",N11)-2),Grade!$J$1:$K$12,2,0),SD!$C$29))</f>
        <v>A615 Grade 60</v>
      </c>
      <c r="R11" t="s">
        <v>701</v>
      </c>
      <c r="S11" s="57">
        <v>11</v>
      </c>
      <c r="U11" t="str">
        <f>IF(Data!$J11="",IFERROR(INDEX(IF(SD!$C$11="Create",Lap!$A$3:$BF$14,IF(SD!$C$11="Per Uploaded File",Lap!$A$19:$BF$30,"")),MATCH(W11,Lap!$A$3:$A$14,0),MATCH(VALUE(D11),Lap!$A$3:$BF$3,0)+IF(IFERROR(FIND("Grade 60",J11),0)&gt;0,0,IF(IFERROR(FIND("Grade 80",J11),0),1,IF(IFERROR(FIND("Grade 75",J11),0),2,"")))),""),Data!J11)</f>
        <v>4-6</v>
      </c>
      <c r="W11" t="s">
        <v>154</v>
      </c>
      <c r="X11">
        <v>12</v>
      </c>
      <c r="Y11" t="str">
        <f t="shared" si="1"/>
        <v xml:space="preserve">14 </v>
      </c>
      <c r="Z11" t="str">
        <f t="shared" si="2"/>
        <v xml:space="preserve"> 24</v>
      </c>
      <c r="DE11" t="s">
        <v>706</v>
      </c>
      <c r="DF11" t="s">
        <v>66</v>
      </c>
      <c r="DG11" t="str">
        <f>VLOOKUP(W11,'Level Wise PSI'!$F$2:$G$12,2,FALSE)</f>
        <v>Double Lift</v>
      </c>
    </row>
    <row r="12" spans="1:125" x14ac:dyDescent="0.25">
      <c r="A12">
        <v>19</v>
      </c>
      <c r="B12" t="s">
        <v>658</v>
      </c>
      <c r="C12" s="15">
        <v>2429</v>
      </c>
      <c r="D12" s="15">
        <v>10000</v>
      </c>
      <c r="E12" s="15" t="s">
        <v>742</v>
      </c>
      <c r="F12" s="15" t="s">
        <v>763</v>
      </c>
      <c r="G12" t="s">
        <v>699</v>
      </c>
      <c r="H12" s="15" t="s">
        <v>760</v>
      </c>
      <c r="I12" t="s">
        <v>700</v>
      </c>
      <c r="J12" t="str">
        <f>IF(AND(SD!$C$19=SD!$H$2,Grade!$G$1="Per level"),VLOOKUP(B12,Grade!$E$1:$F$200,2,FALSE),IF(AND(SD!$C$19=SD!$H$2,Grade!$G$1="Per Bar Size"),VLOOKUP(W12,Grade!$B$1:$C$12,2,0),SD!$C$19))</f>
        <v>A615 Grade 60</v>
      </c>
      <c r="K12" s="15" t="s">
        <v>66</v>
      </c>
      <c r="L12" s="24" t="str">
        <f>IFERROR(IF(A12&lt;&gt;A13,"",IF(DF12="No Lap","",IF(K13="Lap",U12,IF(K13="Coupler",_xlfn._xlws.FILTER(CCoupler,(CCName=SD!$C$8)*(CBSize=IF(A11=A12,W12&amp;W13,W12&amp;W12))*(CCMFM="Male")),"")))),"N/A")</f>
        <v/>
      </c>
      <c r="M12" t="str">
        <f t="shared" si="0"/>
        <v/>
      </c>
      <c r="N12" t="s">
        <v>692</v>
      </c>
      <c r="O12" t="s">
        <v>693</v>
      </c>
      <c r="P12" t="s">
        <v>692</v>
      </c>
      <c r="Q12" t="str">
        <f>IF(AND(SD!$C$29=SD!$P$2,Grade!$O$1="Per level"),VLOOKUP(B12,Grade!$M$1:$N$200,2,FALSE),IF(AND(SD!$C$29=SD!$P$2,Grade!$O$1="Per Bar Size"),VLOOKUP(LEFT(N12,FIND("@",N12)-2),Grade!$J$1:$K$12,2,0),SD!$C$29))</f>
        <v>A615 Grade 60</v>
      </c>
      <c r="R12" t="s">
        <v>701</v>
      </c>
      <c r="S12" s="57">
        <v>12</v>
      </c>
      <c r="U12" t="str">
        <f>IF(Data!$J12="",IFERROR(INDEX(IF(SD!$C$11="Create",Lap!$A$3:$BF$14,IF(SD!$C$11="Per Uploaded File",Lap!$A$19:$BF$30,"")),MATCH(W12,Lap!$A$3:$A$14,0),MATCH(VALUE(D12),Lap!$A$3:$BF$3,0)+IF(IFERROR(FIND("Grade 60",J12),0)&gt;0,0,IF(IFERROR(FIND("Grade 80",J12),0),1,IF(IFERROR(FIND("Grade 75",J12),0),2,"")))),""),Data!J12)</f>
        <v>4-6</v>
      </c>
      <c r="W12" t="s">
        <v>154</v>
      </c>
      <c r="X12">
        <v>12</v>
      </c>
      <c r="Y12" t="str">
        <f t="shared" si="1"/>
        <v xml:space="preserve">24 </v>
      </c>
      <c r="Z12" t="str">
        <f t="shared" si="2"/>
        <v xml:space="preserve"> 36</v>
      </c>
      <c r="DE12" t="s">
        <v>699</v>
      </c>
      <c r="DF12" t="s">
        <v>66</v>
      </c>
      <c r="DG12" t="str">
        <f>VLOOKUP(W12,'Level Wise PSI'!$F$2:$G$12,2,FALSE)</f>
        <v>Double Lift</v>
      </c>
    </row>
    <row r="13" spans="1:125" x14ac:dyDescent="0.25">
      <c r="A13">
        <v>2</v>
      </c>
      <c r="B13" t="s">
        <v>658</v>
      </c>
      <c r="C13" s="15">
        <v>2429</v>
      </c>
      <c r="D13" s="15">
        <v>10000</v>
      </c>
      <c r="E13" t="str">
        <f>IF(B13=Level!$A$2,SD!$C$14,SD!$C$13)</f>
        <v>3-0</v>
      </c>
      <c r="F13" s="15" t="s">
        <v>763</v>
      </c>
      <c r="G13" t="s">
        <v>707</v>
      </c>
      <c r="H13" s="15" t="s">
        <v>759</v>
      </c>
      <c r="I13" t="s">
        <v>708</v>
      </c>
      <c r="J13" t="str">
        <f>IF(AND(SD!$C$19=SD!$H$2,Grade!$G$1="Per level"),VLOOKUP(B13,Grade!$E$1:$F$200,2,FALSE),IF(AND(SD!$C$19=SD!$H$2,Grade!$G$1="Per Bar Size"),VLOOKUP(W13,Grade!$B$1:$C$12,2,0),SD!$C$19))</f>
        <v>A615 Grade 60</v>
      </c>
      <c r="K13" s="15" t="s">
        <v>66</v>
      </c>
      <c r="L13" s="24" t="str">
        <f>IFERROR(IF(A13&lt;&gt;A14,"",IF(DF13="No Lap","",IF(K14="Lap",U13,IF(K14="Coupler",_xlfn._xlws.FILTER(CCoupler,(CCName=SD!$C$8)*(CBSize=IF(A12=A13,W13&amp;W14,W13&amp;W13))*(CCMFM="Male")),"")))),"N/A")</f>
        <v/>
      </c>
      <c r="M13" t="str">
        <f t="shared" si="0"/>
        <v/>
      </c>
      <c r="N13" t="s">
        <v>692</v>
      </c>
      <c r="O13" t="s">
        <v>693</v>
      </c>
      <c r="P13" t="s">
        <v>692</v>
      </c>
      <c r="Q13" t="str">
        <f>IF(AND(SD!$C$29=SD!$P$2,Grade!$O$1="Per level"),VLOOKUP(B13,Grade!$M$1:$N$200,2,FALSE),IF(AND(SD!$C$29=SD!$P$2,Grade!$O$1="Per Bar Size"),VLOOKUP(LEFT(N13,FIND("@",N13)-2),Grade!$J$1:$K$12,2,0),SD!$C$29))</f>
        <v>A615 Grade 60</v>
      </c>
      <c r="R13" t="s">
        <v>709</v>
      </c>
      <c r="S13" s="57">
        <v>13</v>
      </c>
      <c r="U13" t="str">
        <f>IF(Data!$J13="",IFERROR(INDEX(IF(SD!$C$11="Create",Lap!$A$3:$BF$14,IF(SD!$C$11="Per Uploaded File",Lap!$A$19:$BF$30,"")),MATCH(W13,Lap!$A$3:$A$14,0),MATCH(VALUE(D13),Lap!$A$3:$BF$3,0)+IF(IFERROR(FIND("Grade 60",J13),0)&gt;0,0,IF(IFERROR(FIND("Grade 80",J13),0),1,IF(IFERROR(FIND("Grade 75",J13),0),2,"")))),""),Data!J13)</f>
        <v>3-6</v>
      </c>
      <c r="W13" t="s">
        <v>129</v>
      </c>
      <c r="X13">
        <v>8</v>
      </c>
      <c r="Y13" t="str">
        <f t="shared" si="1"/>
        <v xml:space="preserve">16 </v>
      </c>
      <c r="Z13" t="str">
        <f t="shared" si="2"/>
        <v xml:space="preserve"> 30</v>
      </c>
      <c r="DE13" t="s">
        <v>707</v>
      </c>
      <c r="DF13" t="s">
        <v>66</v>
      </c>
      <c r="DG13" t="str">
        <f>VLOOKUP(W13,'Level Wise PSI'!$F$2:$G$12,2,FALSE)</f>
        <v>Double Lift</v>
      </c>
    </row>
    <row r="14" spans="1:125" x14ac:dyDescent="0.25">
      <c r="A14">
        <v>20</v>
      </c>
      <c r="B14" t="s">
        <v>658</v>
      </c>
      <c r="C14" s="15">
        <v>2429</v>
      </c>
      <c r="D14" s="15">
        <v>10000</v>
      </c>
      <c r="E14" s="15" t="s">
        <v>742</v>
      </c>
      <c r="F14" s="15" t="s">
        <v>763</v>
      </c>
      <c r="G14" t="s">
        <v>699</v>
      </c>
      <c r="H14" s="15" t="s">
        <v>760</v>
      </c>
      <c r="I14" t="s">
        <v>700</v>
      </c>
      <c r="J14" t="str">
        <f>IF(AND(SD!$C$19=SD!$H$2,Grade!$G$1="Per level"),VLOOKUP(B14,Grade!$E$1:$F$200,2,FALSE),IF(AND(SD!$C$19=SD!$H$2,Grade!$G$1="Per Bar Size"),VLOOKUP(W14,Grade!$B$1:$C$12,2,0),SD!$C$19))</f>
        <v>A615 Grade 60</v>
      </c>
      <c r="K14" s="15" t="s">
        <v>66</v>
      </c>
      <c r="L14" s="24" t="str">
        <f>IFERROR(IF(A14&lt;&gt;A15,"",IF(DF14="No Lap","",IF(K15="Lap",U14,IF(K15="Coupler",_xlfn._xlws.FILTER(CCoupler,(CCName=SD!$C$8)*(CBSize=IF(A13=A14,W14&amp;W15,W14&amp;W14))*(CCMFM="Male")),"")))),"N/A")</f>
        <v/>
      </c>
      <c r="M14" t="str">
        <f t="shared" si="0"/>
        <v/>
      </c>
      <c r="N14" t="s">
        <v>692</v>
      </c>
      <c r="O14" t="s">
        <v>693</v>
      </c>
      <c r="P14" t="s">
        <v>692</v>
      </c>
      <c r="Q14" t="str">
        <f>IF(AND(SD!$C$29=SD!$P$2,Grade!$O$1="Per level"),VLOOKUP(B14,Grade!$M$1:$N$200,2,FALSE),IF(AND(SD!$C$29=SD!$P$2,Grade!$O$1="Per Bar Size"),VLOOKUP(LEFT(N14,FIND("@",N14)-2),Grade!$J$1:$K$12,2,0),SD!$C$29))</f>
        <v>A615 Grade 60</v>
      </c>
      <c r="R14" t="s">
        <v>701</v>
      </c>
      <c r="S14" s="57">
        <v>14</v>
      </c>
      <c r="U14" t="str">
        <f>IF(Data!$J14="",IFERROR(INDEX(IF(SD!$C$11="Create",Lap!$A$3:$BF$14,IF(SD!$C$11="Per Uploaded File",Lap!$A$19:$BF$30,"")),MATCH(W14,Lap!$A$3:$A$14,0),MATCH(VALUE(D14),Lap!$A$3:$BF$3,0)+IF(IFERROR(FIND("Grade 60",J14),0)&gt;0,0,IF(IFERROR(FIND("Grade 80",J14),0),1,IF(IFERROR(FIND("Grade 75",J14),0),2,"")))),""),Data!J14)</f>
        <v>4-6</v>
      </c>
      <c r="W14" t="s">
        <v>154</v>
      </c>
      <c r="X14">
        <v>12</v>
      </c>
      <c r="Y14" t="str">
        <f t="shared" si="1"/>
        <v xml:space="preserve">24 </v>
      </c>
      <c r="Z14" t="str">
        <f t="shared" si="2"/>
        <v xml:space="preserve"> 36</v>
      </c>
      <c r="DE14" t="s">
        <v>699</v>
      </c>
      <c r="DF14" t="s">
        <v>66</v>
      </c>
      <c r="DG14" t="str">
        <f>VLOOKUP(W14,'Level Wise PSI'!$F$2:$G$12,2,FALSE)</f>
        <v>Double Lift</v>
      </c>
    </row>
    <row r="15" spans="1:125" x14ac:dyDescent="0.25">
      <c r="A15">
        <v>21</v>
      </c>
      <c r="B15" t="s">
        <v>658</v>
      </c>
      <c r="C15" s="15">
        <v>2429</v>
      </c>
      <c r="D15" s="15">
        <v>10000</v>
      </c>
      <c r="E15" s="15" t="s">
        <v>742</v>
      </c>
      <c r="F15" s="15" t="s">
        <v>763</v>
      </c>
      <c r="G15" t="s">
        <v>699</v>
      </c>
      <c r="H15" s="15" t="s">
        <v>760</v>
      </c>
      <c r="I15" t="s">
        <v>700</v>
      </c>
      <c r="J15" t="str">
        <f>IF(AND(SD!$C$19=SD!$H$2,Grade!$G$1="Per level"),VLOOKUP(B15,Grade!$E$1:$F$200,2,FALSE),IF(AND(SD!$C$19=SD!$H$2,Grade!$G$1="Per Bar Size"),VLOOKUP(W15,Grade!$B$1:$C$12,2,0),SD!$C$19))</f>
        <v>A615 Grade 60</v>
      </c>
      <c r="K15" s="15" t="s">
        <v>66</v>
      </c>
      <c r="L15" s="24" t="str">
        <f>IFERROR(IF(A15&lt;&gt;A16,"",IF(DF15="No Lap","",IF(K16="Lap",U15,IF(K16="Coupler",_xlfn._xlws.FILTER(CCoupler,(CCName=SD!$C$8)*(CBSize=IF(A14=A15,W15&amp;W16,W15&amp;W15))*(CCMFM="Male")),"")))),"N/A")</f>
        <v/>
      </c>
      <c r="M15" t="str">
        <f t="shared" si="0"/>
        <v/>
      </c>
      <c r="N15" t="s">
        <v>692</v>
      </c>
      <c r="O15" t="s">
        <v>693</v>
      </c>
      <c r="P15" t="s">
        <v>692</v>
      </c>
      <c r="Q15" t="str">
        <f>IF(AND(SD!$C$29=SD!$P$2,Grade!$O$1="Per level"),VLOOKUP(B15,Grade!$M$1:$N$200,2,FALSE),IF(AND(SD!$C$29=SD!$P$2,Grade!$O$1="Per Bar Size"),VLOOKUP(LEFT(N15,FIND("@",N15)-2),Grade!$J$1:$K$12,2,0),SD!$C$29))</f>
        <v>A615 Grade 60</v>
      </c>
      <c r="R15" t="s">
        <v>701</v>
      </c>
      <c r="S15" s="57">
        <v>15</v>
      </c>
      <c r="U15" t="str">
        <f>IF(Data!$J15="",IFERROR(INDEX(IF(SD!$C$11="Create",Lap!$A$3:$BF$14,IF(SD!$C$11="Per Uploaded File",Lap!$A$19:$BF$30,"")),MATCH(W15,Lap!$A$3:$A$14,0),MATCH(VALUE(D15),Lap!$A$3:$BF$3,0)+IF(IFERROR(FIND("Grade 60",J15),0)&gt;0,0,IF(IFERROR(FIND("Grade 80",J15),0),1,IF(IFERROR(FIND("Grade 75",J15),0),2,"")))),""),Data!J15)</f>
        <v>4-6</v>
      </c>
      <c r="W15" t="s">
        <v>154</v>
      </c>
      <c r="X15">
        <v>12</v>
      </c>
      <c r="Y15" t="str">
        <f t="shared" si="1"/>
        <v xml:space="preserve">24 </v>
      </c>
      <c r="Z15" t="str">
        <f t="shared" si="2"/>
        <v xml:space="preserve"> 36</v>
      </c>
      <c r="DE15" t="s">
        <v>699</v>
      </c>
      <c r="DF15" t="s">
        <v>66</v>
      </c>
      <c r="DG15" t="str">
        <f>VLOOKUP(W15,'Level Wise PSI'!$F$2:$G$12,2,FALSE)</f>
        <v>Double Lift</v>
      </c>
    </row>
    <row r="16" spans="1:125" x14ac:dyDescent="0.25">
      <c r="A16">
        <v>22</v>
      </c>
      <c r="B16" t="s">
        <v>658</v>
      </c>
      <c r="C16" s="15">
        <v>2429</v>
      </c>
      <c r="D16" s="15">
        <v>10000</v>
      </c>
      <c r="E16" s="15" t="s">
        <v>745</v>
      </c>
      <c r="F16" s="15" t="s">
        <v>763</v>
      </c>
      <c r="G16" t="s">
        <v>699</v>
      </c>
      <c r="H16" s="15" t="s">
        <v>760</v>
      </c>
      <c r="I16" t="s">
        <v>710</v>
      </c>
      <c r="J16" t="str">
        <f>IF(AND(SD!$C$19=SD!$H$2,Grade!$G$1="Per level"),VLOOKUP(B16,Grade!$E$1:$F$200,2,FALSE),IF(AND(SD!$C$19=SD!$H$2,Grade!$G$1="Per Bar Size"),VLOOKUP(W16,Grade!$B$1:$C$12,2,0),SD!$C$19))</f>
        <v>A615 Grade 60</v>
      </c>
      <c r="K16" s="15" t="s">
        <v>66</v>
      </c>
      <c r="L16" s="24" t="str">
        <f>IFERROR(IF(A16&lt;&gt;A17,"",IF(DF16="No Lap","",IF(K17="Lap",U16,IF(K17="Coupler",_xlfn._xlws.FILTER(CCoupler,(CCName=SD!$C$8)*(CBSize=IF(A15=A16,W16&amp;W17,W16&amp;W16))*(CCMFM="Male")),"")))),"N/A")</f>
        <v/>
      </c>
      <c r="M16" t="str">
        <f t="shared" si="0"/>
        <v/>
      </c>
      <c r="N16" s="15" t="s">
        <v>692</v>
      </c>
      <c r="O16" s="15" t="s">
        <v>693</v>
      </c>
      <c r="P16" s="15" t="s">
        <v>692</v>
      </c>
      <c r="Q16" t="str">
        <f>IF(AND(SD!$C$29=SD!$P$2,Grade!$O$1="Per level"),VLOOKUP(B16,Grade!$M$1:$N$200,2,FALSE),IF(AND(SD!$C$29=SD!$P$2,Grade!$O$1="Per Bar Size"),VLOOKUP(LEFT(N16,FIND("@",N16)-2),Grade!$J$1:$K$12,2,0),SD!$C$29))</f>
        <v>A615 Grade 60</v>
      </c>
      <c r="R16" t="s">
        <v>711</v>
      </c>
      <c r="S16" s="57">
        <v>16</v>
      </c>
      <c r="U16" t="str">
        <f>IF(Data!$J16="",IFERROR(INDEX(IF(SD!$C$11="Create",Lap!$A$3:$BF$14,IF(SD!$C$11="Per Uploaded File",Lap!$A$19:$BF$30,"")),MATCH(W16,Lap!$A$3:$A$14,0),MATCH(VALUE(D16),Lap!$A$3:$BF$3,0)+IF(IFERROR(FIND("Grade 60",J16),0)&gt;0,0,IF(IFERROR(FIND("Grade 80",J16),0),1,IF(IFERROR(FIND("Grade 75",J16),0),2,"")))),""),Data!J16)</f>
        <v>4-6</v>
      </c>
      <c r="W16" t="s">
        <v>154</v>
      </c>
      <c r="X16">
        <v>18</v>
      </c>
      <c r="Y16" t="str">
        <f t="shared" si="1"/>
        <v xml:space="preserve">24 </v>
      </c>
      <c r="Z16" t="str">
        <f t="shared" si="2"/>
        <v xml:space="preserve"> 36</v>
      </c>
      <c r="DE16" t="s">
        <v>699</v>
      </c>
      <c r="DF16" t="s">
        <v>66</v>
      </c>
      <c r="DG16" t="str">
        <f>VLOOKUP(W16,'Level Wise PSI'!$F$2:$G$12,2,FALSE)</f>
        <v>Double Lift</v>
      </c>
    </row>
    <row r="17" spans="1:111" x14ac:dyDescent="0.25">
      <c r="A17">
        <v>23</v>
      </c>
      <c r="B17" t="s">
        <v>658</v>
      </c>
      <c r="C17" s="15">
        <v>2429</v>
      </c>
      <c r="D17" s="15">
        <v>10000</v>
      </c>
      <c r="E17" s="15" t="s">
        <v>748</v>
      </c>
      <c r="F17" s="15" t="s">
        <v>763</v>
      </c>
      <c r="G17" t="s">
        <v>706</v>
      </c>
      <c r="H17" s="15" t="s">
        <v>759</v>
      </c>
      <c r="I17" t="s">
        <v>696</v>
      </c>
      <c r="J17" t="str">
        <f>IF(AND(SD!$C$19=SD!$H$2,Grade!$G$1="Per level"),VLOOKUP(B17,Grade!$E$1:$F$200,2,FALSE),IF(AND(SD!$C$19=SD!$H$2,Grade!$G$1="Per Bar Size"),VLOOKUP(W17,Grade!$B$1:$C$12,2,0),SD!$C$19))</f>
        <v>A615 Grade 60</v>
      </c>
      <c r="K17" s="15" t="s">
        <v>66</v>
      </c>
      <c r="L17" s="24" t="str">
        <f>IFERROR(IF(A17&lt;&gt;A18,"",IF(DF17="No Lap","",IF(K18="Lap",U17,IF(K18="Coupler",_xlfn._xlws.FILTER(CCoupler,(CCName=SD!$C$8)*(CBSize=IF(A16=A17,W17&amp;W18,W17&amp;W17))*(CCMFM="Male")),"")))),"N/A")</f>
        <v/>
      </c>
      <c r="M17" t="str">
        <f t="shared" si="0"/>
        <v/>
      </c>
      <c r="N17" t="s">
        <v>692</v>
      </c>
      <c r="O17" t="s">
        <v>693</v>
      </c>
      <c r="P17" t="s">
        <v>692</v>
      </c>
      <c r="Q17" t="str">
        <f>IF(AND(SD!$C$29=SD!$P$2,Grade!$O$1="Per level"),VLOOKUP(B17,Grade!$M$1:$N$200,2,FALSE),IF(AND(SD!$C$29=SD!$P$2,Grade!$O$1="Per Bar Size"),VLOOKUP(LEFT(N17,FIND("@",N17)-2),Grade!$J$1:$K$12,2,0),SD!$C$29))</f>
        <v>A615 Grade 60</v>
      </c>
      <c r="R17" t="s">
        <v>698</v>
      </c>
      <c r="S17" s="57">
        <v>17</v>
      </c>
      <c r="U17" t="str">
        <f>IF(Data!$J17="",IFERROR(INDEX(IF(SD!$C$11="Create",Lap!$A$3:$BF$14,IF(SD!$C$11="Per Uploaded File",Lap!$A$19:$BF$30,"")),MATCH(W17,Lap!$A$3:$A$14,0),MATCH(VALUE(D17),Lap!$A$3:$BF$3,0)+IF(IFERROR(FIND("Grade 60",J17),0)&gt;0,0,IF(IFERROR(FIND("Grade 80",J17),0),1,IF(IFERROR(FIND("Grade 75",J17),0),2,"")))),""),Data!J17)</f>
        <v>3-6</v>
      </c>
      <c r="W17" t="s">
        <v>129</v>
      </c>
      <c r="X17">
        <v>6</v>
      </c>
      <c r="Y17" t="str">
        <f t="shared" si="1"/>
        <v xml:space="preserve">14 </v>
      </c>
      <c r="Z17" t="str">
        <f t="shared" si="2"/>
        <v xml:space="preserve"> 24</v>
      </c>
      <c r="DE17" t="s">
        <v>706</v>
      </c>
      <c r="DF17" t="s">
        <v>66</v>
      </c>
      <c r="DG17" t="str">
        <f>VLOOKUP(W17,'Level Wise PSI'!$F$2:$G$12,2,FALSE)</f>
        <v>Double Lift</v>
      </c>
    </row>
    <row r="18" spans="1:111" x14ac:dyDescent="0.25">
      <c r="A18">
        <v>24</v>
      </c>
      <c r="B18" t="s">
        <v>658</v>
      </c>
      <c r="C18" s="15">
        <v>2429</v>
      </c>
      <c r="D18" s="15">
        <v>10000</v>
      </c>
      <c r="E18" s="15" t="s">
        <v>742</v>
      </c>
      <c r="F18" s="15" t="s">
        <v>763</v>
      </c>
      <c r="G18" s="15" t="s">
        <v>706</v>
      </c>
      <c r="H18" s="15" t="s">
        <v>758</v>
      </c>
      <c r="I18" t="s">
        <v>696</v>
      </c>
      <c r="J18" t="str">
        <f>IF(AND(SD!$C$19=SD!$H$2,Grade!$G$1="Per level"),VLOOKUP(B18,Grade!$E$1:$F$200,2,FALSE),IF(AND(SD!$C$19=SD!$H$2,Grade!$G$1="Per Bar Size"),VLOOKUP(W18,Grade!$B$1:$C$12,2,0),SD!$C$19))</f>
        <v>A615 Grade 60</v>
      </c>
      <c r="K18" s="15" t="s">
        <v>66</v>
      </c>
      <c r="L18" s="24" t="str">
        <f>IFERROR(IF(A18&lt;&gt;A19,"",IF(DF18="No Lap","",IF(K19="Lap",U18,IF(K19="Coupler",_xlfn._xlws.FILTER(CCoupler,(CCName=SD!$C$8)*(CBSize=IF(A17=A18,W18&amp;W19,W18&amp;W18))*(CCMFM="Male")),"")))),"N/A")</f>
        <v/>
      </c>
      <c r="M18" t="str">
        <f t="shared" si="0"/>
        <v/>
      </c>
      <c r="N18" t="s">
        <v>692</v>
      </c>
      <c r="O18" t="s">
        <v>693</v>
      </c>
      <c r="P18" t="s">
        <v>692</v>
      </c>
      <c r="Q18" t="str">
        <f>IF(AND(SD!$C$29=SD!$P$2,Grade!$O$1="Per level"),VLOOKUP(B18,Grade!$M$1:$N$200,2,FALSE),IF(AND(SD!$C$29=SD!$P$2,Grade!$O$1="Per Bar Size"),VLOOKUP(LEFT(N18,FIND("@",N18)-2),Grade!$J$1:$K$12,2,0),SD!$C$29))</f>
        <v>A615 Grade 60</v>
      </c>
      <c r="R18" t="s">
        <v>698</v>
      </c>
      <c r="S18" s="57">
        <v>18</v>
      </c>
      <c r="U18" t="str">
        <f>IF(Data!$J18="",IFERROR(INDEX(IF(SD!$C$11="Create",Lap!$A$3:$BF$14,IF(SD!$C$11="Per Uploaded File",Lap!$A$19:$BF$30,"")),MATCH(W18,Lap!$A$3:$A$14,0),MATCH(VALUE(D18),Lap!$A$3:$BF$3,0)+IF(IFERROR(FIND("Grade 60",J18),0)&gt;0,0,IF(IFERROR(FIND("Grade 80",J18),0),1,IF(IFERROR(FIND("Grade 75",J18),0),2,"")))),""),Data!J18)</f>
        <v>3-6</v>
      </c>
      <c r="W18" t="s">
        <v>129</v>
      </c>
      <c r="X18">
        <v>6</v>
      </c>
      <c r="Y18" t="str">
        <f t="shared" si="1"/>
        <v xml:space="preserve">14 </v>
      </c>
      <c r="Z18" t="str">
        <f t="shared" si="2"/>
        <v xml:space="preserve"> 24</v>
      </c>
      <c r="DE18" t="s">
        <v>706</v>
      </c>
      <c r="DF18" t="s">
        <v>66</v>
      </c>
      <c r="DG18" t="str">
        <f>VLOOKUP(W18,'Level Wise PSI'!$F$2:$G$12,2,FALSE)</f>
        <v>Double Lift</v>
      </c>
    </row>
    <row r="19" spans="1:111" x14ac:dyDescent="0.25">
      <c r="A19">
        <v>25</v>
      </c>
      <c r="B19" t="s">
        <v>658</v>
      </c>
      <c r="C19" s="15">
        <v>2429</v>
      </c>
      <c r="D19" s="15">
        <v>10000</v>
      </c>
      <c r="E19" t="str">
        <f>IF(B19=Level!$A$2,SD!$C$14,SD!$C$13)</f>
        <v>3-0</v>
      </c>
      <c r="F19" s="15" t="s">
        <v>763</v>
      </c>
      <c r="G19" t="s">
        <v>706</v>
      </c>
      <c r="H19" s="15" t="s">
        <v>759</v>
      </c>
      <c r="I19" t="s">
        <v>696</v>
      </c>
      <c r="J19" t="str">
        <f>IF(AND(SD!$C$19=SD!$H$2,Grade!$G$1="Per level"),VLOOKUP(B19,Grade!$E$1:$F$200,2,FALSE),IF(AND(SD!$C$19=SD!$H$2,Grade!$G$1="Per Bar Size"),VLOOKUP(W19,Grade!$B$1:$C$12,2,0),SD!$C$19))</f>
        <v>A615 Grade 60</v>
      </c>
      <c r="K19" s="15" t="s">
        <v>66</v>
      </c>
      <c r="L19" s="24" t="str">
        <f>IFERROR(IF(A19&lt;&gt;A20,"",IF(DF19="No Lap","",IF(K20="Lap",U19,IF(K20="Coupler",_xlfn._xlws.FILTER(CCoupler,(CCName=SD!$C$8)*(CBSize=IF(A18=A19,W19&amp;W20,W19&amp;W19))*(CCMFM="Male")),"")))),"N/A")</f>
        <v/>
      </c>
      <c r="M19" t="str">
        <f t="shared" si="0"/>
        <v/>
      </c>
      <c r="N19" t="s">
        <v>692</v>
      </c>
      <c r="O19" t="s">
        <v>693</v>
      </c>
      <c r="P19" t="s">
        <v>692</v>
      </c>
      <c r="Q19" t="str">
        <f>IF(AND(SD!$C$29=SD!$P$2,Grade!$O$1="Per level"),VLOOKUP(B19,Grade!$M$1:$N$200,2,FALSE),IF(AND(SD!$C$29=SD!$P$2,Grade!$O$1="Per Bar Size"),VLOOKUP(LEFT(N19,FIND("@",N19)-2),Grade!$J$1:$K$12,2,0),SD!$C$29))</f>
        <v>A615 Grade 60</v>
      </c>
      <c r="R19" t="s">
        <v>698</v>
      </c>
      <c r="S19" s="57">
        <v>19</v>
      </c>
      <c r="U19" t="str">
        <f>IF(Data!$J19="",IFERROR(INDEX(IF(SD!$C$11="Create",Lap!$A$3:$BF$14,IF(SD!$C$11="Per Uploaded File",Lap!$A$19:$BF$30,"")),MATCH(W19,Lap!$A$3:$A$14,0),MATCH(VALUE(D19),Lap!$A$3:$BF$3,0)+IF(IFERROR(FIND("Grade 60",J19),0)&gt;0,0,IF(IFERROR(FIND("Grade 80",J19),0),1,IF(IFERROR(FIND("Grade 75",J19),0),2,"")))),""),Data!J19)</f>
        <v>3-6</v>
      </c>
      <c r="W19" t="s">
        <v>129</v>
      </c>
      <c r="X19">
        <v>6</v>
      </c>
      <c r="Y19" t="str">
        <f t="shared" si="1"/>
        <v xml:space="preserve">14 </v>
      </c>
      <c r="Z19" t="str">
        <f t="shared" si="2"/>
        <v xml:space="preserve"> 24</v>
      </c>
      <c r="DE19" t="s">
        <v>706</v>
      </c>
      <c r="DF19" t="s">
        <v>66</v>
      </c>
      <c r="DG19" t="str">
        <f>VLOOKUP(W19,'Level Wise PSI'!$F$2:$G$12,2,FALSE)</f>
        <v>Double Lift</v>
      </c>
    </row>
    <row r="20" spans="1:111" x14ac:dyDescent="0.25">
      <c r="A20">
        <v>26</v>
      </c>
      <c r="B20" t="s">
        <v>658</v>
      </c>
      <c r="C20" s="15">
        <v>2429</v>
      </c>
      <c r="D20" s="15">
        <v>10000</v>
      </c>
      <c r="E20" s="15" t="s">
        <v>761</v>
      </c>
      <c r="F20" s="15" t="s">
        <v>763</v>
      </c>
      <c r="G20" t="s">
        <v>699</v>
      </c>
      <c r="H20" s="15" t="s">
        <v>760</v>
      </c>
      <c r="I20" t="s">
        <v>712</v>
      </c>
      <c r="J20" t="str">
        <f>IF(AND(SD!$C$19=SD!$H$2,Grade!$G$1="Per level"),VLOOKUP(B20,Grade!$E$1:$F$200,2,FALSE),IF(AND(SD!$C$19=SD!$H$2,Grade!$G$1="Per Bar Size"),VLOOKUP(W20,Grade!$B$1:$C$12,2,0),SD!$C$19))</f>
        <v>A615 Grade 60</v>
      </c>
      <c r="K20" s="15" t="s">
        <v>66</v>
      </c>
      <c r="L20" s="24" t="str">
        <f>IFERROR(IF(A20&lt;&gt;A21,"",IF(DF20="No Lap","",IF(K21="Lap",U20,IF(K21="Coupler",_xlfn._xlws.FILTER(CCoupler,(CCName=SD!$C$8)*(CBSize=IF(A19=A20,W20&amp;W21,W20&amp;W20))*(CCMFM="Male")),"")))),"N/A")</f>
        <v>5-1</v>
      </c>
      <c r="M20" t="str">
        <f t="shared" si="0"/>
        <v>10 - #10</v>
      </c>
      <c r="N20" t="s">
        <v>692</v>
      </c>
      <c r="O20" t="s">
        <v>693</v>
      </c>
      <c r="P20" t="s">
        <v>692</v>
      </c>
      <c r="Q20" t="str">
        <f>IF(AND(SD!$C$29=SD!$P$2,Grade!$O$1="Per level"),VLOOKUP(B20,Grade!$M$1:$N$200,2,FALSE),IF(AND(SD!$C$29=SD!$P$2,Grade!$O$1="Per Bar Size"),VLOOKUP(LEFT(N20,FIND("@",N20)-2),Grade!$J$1:$K$12,2,0),SD!$C$29))</f>
        <v>A615 Grade 60</v>
      </c>
      <c r="R20" t="s">
        <v>709</v>
      </c>
      <c r="S20" s="57">
        <v>20</v>
      </c>
      <c r="U20" t="str">
        <f>IF(Data!$J20="",IFERROR(INDEX(IF(SD!$C$11="Create",Lap!$A$3:$BF$14,IF(SD!$C$11="Per Uploaded File",Lap!$A$19:$BF$30,"")),MATCH(W20,Lap!$A$3:$A$14,0),MATCH(VALUE(D20),Lap!$A$3:$BF$3,0)+IF(IFERROR(FIND("Grade 60",J20),0)&gt;0,0,IF(IFERROR(FIND("Grade 80",J20),0),1,IF(IFERROR(FIND("Grade 75",J20),0),2,"")))),""),Data!J20)</f>
        <v>5-1</v>
      </c>
      <c r="W20" t="s">
        <v>166</v>
      </c>
      <c r="X20">
        <v>8</v>
      </c>
      <c r="Y20" t="str">
        <f t="shared" si="1"/>
        <v xml:space="preserve">24 </v>
      </c>
      <c r="Z20" t="str">
        <f t="shared" si="2"/>
        <v xml:space="preserve"> 36</v>
      </c>
      <c r="DE20" t="s">
        <v>831</v>
      </c>
      <c r="DF20" t="s">
        <v>66</v>
      </c>
      <c r="DG20" t="str">
        <f>VLOOKUP(W20,'Level Wise PSI'!$F$2:$G$12,2,FALSE)</f>
        <v>Double Lift</v>
      </c>
    </row>
    <row r="21" spans="1:111" x14ac:dyDescent="0.25">
      <c r="A21">
        <v>26</v>
      </c>
      <c r="B21" t="s">
        <v>661</v>
      </c>
      <c r="C21" s="15">
        <v>2429</v>
      </c>
      <c r="D21" s="15">
        <v>10000</v>
      </c>
      <c r="E21" t="str">
        <f>IF(B21=Level!$A$2,SD!$C$14,SD!$C$13)</f>
        <v>0-8</v>
      </c>
      <c r="F21" s="15" t="s">
        <v>763</v>
      </c>
      <c r="G21" t="s">
        <v>713</v>
      </c>
      <c r="H21" t="str">
        <f>RIGHT(VLOOKUP(B21,Level!A:C,3,FALSE),LEN(VLOOKUP(B21,Level!A:C,3,FALSE))-1)</f>
        <v>10-7</v>
      </c>
      <c r="I21" t="s">
        <v>714</v>
      </c>
      <c r="J21" t="str">
        <f>IF(AND(SD!$C$19=SD!$H$2,Grade!$G$1="Per level"),VLOOKUP(B21,Grade!$E$1:$F$200,2,FALSE),IF(AND(SD!$C$19=SD!$H$2,Grade!$G$1="Per Bar Size"),VLOOKUP(W21,Grade!$B$1:$C$12,2,0),SD!$C$19))</f>
        <v>A615 Grade 60</v>
      </c>
      <c r="K21" s="15" t="s">
        <v>66</v>
      </c>
      <c r="L21" s="24" t="str">
        <f>IFERROR(IF(A21&lt;&gt;A22,"",IF(DF21="No Lap","",IF(K22="Lap",U21,IF(K22="Coupler",_xlfn._xlws.FILTER(CCoupler,(CCName=SD!$C$8)*(CBSize=IF(A20=A21,W21&amp;W22,W21&amp;W21))*(CCMFM="Male")),"")))),"N/A")</f>
        <v>5-1</v>
      </c>
      <c r="M21" t="str">
        <f t="shared" si="0"/>
        <v/>
      </c>
      <c r="N21" t="s">
        <v>692</v>
      </c>
      <c r="O21" t="s">
        <v>693</v>
      </c>
      <c r="P21" t="s">
        <v>692</v>
      </c>
      <c r="Q21" t="str">
        <f>IF(AND(SD!$C$29=SD!$P$2,Grade!$O$1="Per level"),VLOOKUP(B21,Grade!$M$1:$N$200,2,FALSE),IF(AND(SD!$C$29=SD!$P$2,Grade!$O$1="Per Bar Size"),VLOOKUP(LEFT(N21,FIND("@",N21)-2),Grade!$J$1:$K$12,2,0),SD!$C$29))</f>
        <v>A615 Grade 60</v>
      </c>
      <c r="R21" t="s">
        <v>713</v>
      </c>
      <c r="S21" s="57">
        <v>21</v>
      </c>
      <c r="U21" t="str">
        <f>IF(Data!$J21="",IFERROR(INDEX(IF(SD!$C$11="Create",Lap!$A$3:$BF$14,IF(SD!$C$11="Per Uploaded File",Lap!$A$19:$BF$30,"")),MATCH(W21,Lap!$A$3:$A$14,0),MATCH(VALUE(D21),Lap!$A$3:$BF$3,0)+IF(IFERROR(FIND("Grade 60",J21),0)&gt;0,0,IF(IFERROR(FIND("Grade 80",J21),0),1,IF(IFERROR(FIND("Grade 75",J21),0),2,"")))),""),Data!J21)</f>
        <v>5-1</v>
      </c>
      <c r="W21" t="s">
        <v>166</v>
      </c>
      <c r="X21">
        <v>10</v>
      </c>
      <c r="Y21" t="str">
        <f t="shared" si="1"/>
        <v>36</v>
      </c>
      <c r="Z21">
        <f t="shared" si="2"/>
        <v>0</v>
      </c>
      <c r="DE21" t="s">
        <v>831</v>
      </c>
      <c r="DF21" t="s">
        <v>66</v>
      </c>
      <c r="DG21" t="str">
        <f>VLOOKUP(W21,'Level Wise PSI'!$F$2:$G$12,2,FALSE)</f>
        <v>Double Lift</v>
      </c>
    </row>
    <row r="22" spans="1:111" x14ac:dyDescent="0.25">
      <c r="A22">
        <v>26</v>
      </c>
      <c r="B22" t="s">
        <v>664</v>
      </c>
      <c r="C22" s="15">
        <v>2429</v>
      </c>
      <c r="D22" s="15">
        <v>10000</v>
      </c>
      <c r="E22" t="str">
        <f>IF(B22=Level!$A$2,SD!$C$14,SD!$C$13)</f>
        <v>0-8</v>
      </c>
      <c r="F22" s="15" t="s">
        <v>763</v>
      </c>
      <c r="G22" t="s">
        <v>715</v>
      </c>
      <c r="H22" t="str">
        <f>RIGHT(VLOOKUP(B22,Level!A:C,3,FALSE),LEN(VLOOKUP(B22,Level!A:C,3,FALSE))-1)</f>
        <v>10-7</v>
      </c>
      <c r="I22" t="s">
        <v>716</v>
      </c>
      <c r="J22" t="str">
        <f>IF(AND(SD!$C$19=SD!$H$2,Grade!$G$1="Per level"),VLOOKUP(B22,Grade!$E$1:$F$200,2,FALSE),IF(AND(SD!$C$19=SD!$H$2,Grade!$G$1="Per Bar Size"),VLOOKUP(W22,Grade!$B$1:$C$12,2,0),SD!$C$19))</f>
        <v>A615 Grade 60</v>
      </c>
      <c r="K22" s="15" t="s">
        <v>66</v>
      </c>
      <c r="L22" s="24" t="str">
        <f>IFERROR(IF(A22&lt;&gt;A23,"",IF(DF22="No Lap","",IF(K23="Lap",U22,IF(K23="Coupler",_xlfn._xlws.FILTER(CCoupler,(CCName=SD!$C$8)*(CBSize=IF(A21=A22,W22&amp;W23,W22&amp;W22))*(CCMFM="Male")),"")))),"N/A")</f>
        <v>5-1</v>
      </c>
      <c r="M22" t="str">
        <f t="shared" si="0"/>
        <v/>
      </c>
      <c r="N22" t="s">
        <v>692</v>
      </c>
      <c r="O22" t="s">
        <v>693</v>
      </c>
      <c r="P22" t="s">
        <v>692</v>
      </c>
      <c r="Q22" t="str">
        <f>IF(AND(SD!$C$29=SD!$P$2,Grade!$O$1="Per level"),VLOOKUP(B22,Grade!$M$1:$N$200,2,FALSE),IF(AND(SD!$C$29=SD!$P$2,Grade!$O$1="Per Bar Size"),VLOOKUP(LEFT(N22,FIND("@",N22)-2),Grade!$J$1:$K$12,2,0),SD!$C$29))</f>
        <v>A615 Grade 60</v>
      </c>
      <c r="R22" t="s">
        <v>715</v>
      </c>
      <c r="S22" s="57">
        <v>22</v>
      </c>
      <c r="U22" t="str">
        <f>IF(Data!$J22="",IFERROR(INDEX(IF(SD!$C$11="Create",Lap!$A$3:$BF$14,IF(SD!$C$11="Per Uploaded File",Lap!$A$19:$BF$30,"")),MATCH(W22,Lap!$A$3:$A$14,0),MATCH(VALUE(D22),Lap!$A$3:$BF$3,0)+IF(IFERROR(FIND("Grade 60",J22),0)&gt;0,0,IF(IFERROR(FIND("Grade 80",J22),0),1,IF(IFERROR(FIND("Grade 75",J22),0),2,"")))),""),Data!J22)</f>
        <v>5-1</v>
      </c>
      <c r="W22" t="s">
        <v>166</v>
      </c>
      <c r="X22">
        <v>6</v>
      </c>
      <c r="Y22" t="str">
        <f t="shared" si="1"/>
        <v>30</v>
      </c>
      <c r="Z22">
        <f t="shared" si="2"/>
        <v>0</v>
      </c>
      <c r="DE22" t="s">
        <v>831</v>
      </c>
      <c r="DF22" t="s">
        <v>66</v>
      </c>
      <c r="DG22" t="str">
        <f>VLOOKUP(W22,'Level Wise PSI'!$F$2:$G$12,2,FALSE)</f>
        <v>Double Lift</v>
      </c>
    </row>
    <row r="23" spans="1:111" x14ac:dyDescent="0.25">
      <c r="A23">
        <v>26</v>
      </c>
      <c r="B23" t="s">
        <v>666</v>
      </c>
      <c r="C23" s="15">
        <v>2429</v>
      </c>
      <c r="D23" s="15">
        <v>10000</v>
      </c>
      <c r="E23" t="str">
        <f>IF(B23=Level!$A$2,SD!$C$14,SD!$C$13)</f>
        <v>0-8</v>
      </c>
      <c r="F23" s="15" t="s">
        <v>763</v>
      </c>
      <c r="G23" t="s">
        <v>715</v>
      </c>
      <c r="H23" t="str">
        <f>RIGHT(VLOOKUP(B23,Level!A:C,3,FALSE),LEN(VLOOKUP(B23,Level!A:C,3,FALSE))-1)</f>
        <v>10-7</v>
      </c>
      <c r="I23" t="s">
        <v>716</v>
      </c>
      <c r="J23" t="str">
        <f>IF(AND(SD!$C$19=SD!$H$2,Grade!$G$1="Per level"),VLOOKUP(B23,Grade!$E$1:$F$200,2,FALSE),IF(AND(SD!$C$19=SD!$H$2,Grade!$G$1="Per Bar Size"),VLOOKUP(W23,Grade!$B$1:$C$12,2,0),SD!$C$19))</f>
        <v>A615 Grade 60</v>
      </c>
      <c r="K23" s="15" t="s">
        <v>66</v>
      </c>
      <c r="L23" s="24" t="str">
        <f>IFERROR(IF(A23&lt;&gt;A24,"",IF(DF23="No Lap","",IF(K24="Lap",U23,IF(K24="Coupler",_xlfn._xlws.FILTER(CCoupler,(CCName=SD!$C$8)*(CBSize=IF(A22=A23,W23&amp;W24,W23&amp;W23))*(CCMFM="Male")),"")))),"N/A")</f>
        <v>5-1</v>
      </c>
      <c r="M23" t="str">
        <f t="shared" si="0"/>
        <v/>
      </c>
      <c r="N23" t="s">
        <v>692</v>
      </c>
      <c r="O23" t="s">
        <v>693</v>
      </c>
      <c r="P23" t="s">
        <v>692</v>
      </c>
      <c r="Q23" t="str">
        <f>IF(AND(SD!$C$29=SD!$P$2,Grade!$O$1="Per level"),VLOOKUP(B23,Grade!$M$1:$N$200,2,FALSE),IF(AND(SD!$C$29=SD!$P$2,Grade!$O$1="Per Bar Size"),VLOOKUP(LEFT(N23,FIND("@",N23)-2),Grade!$J$1:$K$12,2,0),SD!$C$29))</f>
        <v>A615 Grade 60</v>
      </c>
      <c r="R23" t="s">
        <v>715</v>
      </c>
      <c r="S23" s="57">
        <v>23</v>
      </c>
      <c r="U23" t="str">
        <f>IF(Data!$J23="",IFERROR(INDEX(IF(SD!$C$11="Create",Lap!$A$3:$BF$14,IF(SD!$C$11="Per Uploaded File",Lap!$A$19:$BF$30,"")),MATCH(W23,Lap!$A$3:$A$14,0),MATCH(VALUE(D23),Lap!$A$3:$BF$3,0)+IF(IFERROR(FIND("Grade 60",J23),0)&gt;0,0,IF(IFERROR(FIND("Grade 80",J23),0),1,IF(IFERROR(FIND("Grade 75",J23),0),2,"")))),""),Data!J23)</f>
        <v>5-1</v>
      </c>
      <c r="W23" t="s">
        <v>166</v>
      </c>
      <c r="X23">
        <v>6</v>
      </c>
      <c r="Y23" t="str">
        <f t="shared" si="1"/>
        <v>30</v>
      </c>
      <c r="Z23">
        <f t="shared" si="2"/>
        <v>0</v>
      </c>
      <c r="DE23" t="s">
        <v>831</v>
      </c>
      <c r="DF23" t="s">
        <v>66</v>
      </c>
      <c r="DG23" t="str">
        <f>VLOOKUP(W23,'Level Wise PSI'!$F$2:$G$12,2,FALSE)</f>
        <v>Double Lift</v>
      </c>
    </row>
    <row r="24" spans="1:111" x14ac:dyDescent="0.25">
      <c r="A24">
        <v>26</v>
      </c>
      <c r="B24" t="s">
        <v>668</v>
      </c>
      <c r="C24" s="15">
        <v>2429</v>
      </c>
      <c r="D24" s="15">
        <v>10000</v>
      </c>
      <c r="E24" t="str">
        <f>IF(B24=Level!$A$2,SD!$C$14,SD!$C$13)</f>
        <v>0-8</v>
      </c>
      <c r="F24" s="15" t="s">
        <v>763</v>
      </c>
      <c r="G24" t="s">
        <v>715</v>
      </c>
      <c r="H24" t="str">
        <f>RIGHT(VLOOKUP(B24,Level!A:C,3,FALSE),LEN(VLOOKUP(B24,Level!A:C,3,FALSE))-1)</f>
        <v>10-7</v>
      </c>
      <c r="I24" t="s">
        <v>716</v>
      </c>
      <c r="J24" t="str">
        <f>IF(AND(SD!$C$19=SD!$H$2,Grade!$G$1="Per level"),VLOOKUP(B24,Grade!$E$1:$F$200,2,FALSE),IF(AND(SD!$C$19=SD!$H$2,Grade!$G$1="Per Bar Size"),VLOOKUP(W24,Grade!$B$1:$C$12,2,0),SD!$C$19))</f>
        <v>A615 Grade 60</v>
      </c>
      <c r="K24" s="15" t="s">
        <v>66</v>
      </c>
      <c r="L24" s="24" t="str">
        <f>IFERROR(IF(A24&lt;&gt;A25,"",IF(DF24="No Lap","",IF(K25="Lap",U24,IF(K25="Coupler",_xlfn._xlws.FILTER(CCoupler,(CCName=SD!$C$8)*(CBSize=IF(A23=A24,W24&amp;W25,W24&amp;W24))*(CCMFM="Male")),"")))),"N/A")</f>
        <v>5-1</v>
      </c>
      <c r="M24" t="str">
        <f t="shared" si="0"/>
        <v/>
      </c>
      <c r="N24" t="s">
        <v>692</v>
      </c>
      <c r="O24" t="s">
        <v>693</v>
      </c>
      <c r="P24" t="s">
        <v>692</v>
      </c>
      <c r="Q24" t="str">
        <f>IF(AND(SD!$C$29=SD!$P$2,Grade!$O$1="Per level"),VLOOKUP(B24,Grade!$M$1:$N$200,2,FALSE),IF(AND(SD!$C$29=SD!$P$2,Grade!$O$1="Per Bar Size"),VLOOKUP(LEFT(N24,FIND("@",N24)-2),Grade!$J$1:$K$12,2,0),SD!$C$29))</f>
        <v>A615 Grade 60</v>
      </c>
      <c r="R24" t="s">
        <v>715</v>
      </c>
      <c r="S24" s="57">
        <v>24</v>
      </c>
      <c r="U24" t="str">
        <f>IF(Data!$J24="",IFERROR(INDEX(IF(SD!$C$11="Create",Lap!$A$3:$BF$14,IF(SD!$C$11="Per Uploaded File",Lap!$A$19:$BF$30,"")),MATCH(W24,Lap!$A$3:$A$14,0),MATCH(VALUE(D24),Lap!$A$3:$BF$3,0)+IF(IFERROR(FIND("Grade 60",J24),0)&gt;0,0,IF(IFERROR(FIND("Grade 80",J24),0),1,IF(IFERROR(FIND("Grade 75",J24),0),2,"")))),""),Data!J24)</f>
        <v>5-1</v>
      </c>
      <c r="W24" t="s">
        <v>166</v>
      </c>
      <c r="X24">
        <v>6</v>
      </c>
      <c r="Y24" t="str">
        <f t="shared" si="1"/>
        <v>30</v>
      </c>
      <c r="Z24">
        <f t="shared" si="2"/>
        <v>0</v>
      </c>
      <c r="DE24" t="s">
        <v>831</v>
      </c>
      <c r="DF24" t="s">
        <v>66</v>
      </c>
      <c r="DG24" t="str">
        <f>VLOOKUP(W24,'Level Wise PSI'!$F$2:$G$12,2,FALSE)</f>
        <v>Double Lift</v>
      </c>
    </row>
    <row r="25" spans="1:111" x14ac:dyDescent="0.25">
      <c r="A25">
        <v>26</v>
      </c>
      <c r="B25" t="s">
        <v>670</v>
      </c>
      <c r="C25" s="15">
        <v>2429</v>
      </c>
      <c r="D25" s="15">
        <v>10000</v>
      </c>
      <c r="E25" t="str">
        <f>IF(B25=Level!$A$2,SD!$C$14,SD!$C$13)</f>
        <v>0-8</v>
      </c>
      <c r="F25" s="15" t="s">
        <v>763</v>
      </c>
      <c r="G25" t="s">
        <v>715</v>
      </c>
      <c r="H25" t="str">
        <f>RIGHT(VLOOKUP(B25,Level!A:C,3,FALSE),LEN(VLOOKUP(B25,Level!A:C,3,FALSE))-1)</f>
        <v>10-7</v>
      </c>
      <c r="I25" t="s">
        <v>716</v>
      </c>
      <c r="J25" t="str">
        <f>IF(AND(SD!$C$19=SD!$H$2,Grade!$G$1="Per level"),VLOOKUP(B25,Grade!$E$1:$F$200,2,FALSE),IF(AND(SD!$C$19=SD!$H$2,Grade!$G$1="Per Bar Size"),VLOOKUP(W25,Grade!$B$1:$C$12,2,0),SD!$C$19))</f>
        <v>A615 Grade 60</v>
      </c>
      <c r="K25" s="15" t="s">
        <v>66</v>
      </c>
      <c r="L25" s="24" t="str">
        <f>IFERROR(IF(A25&lt;&gt;A26,"",IF(DF25="No Lap","",IF(K26="Lap",U25,IF(K26="Coupler",_xlfn._xlws.FILTER(CCoupler,(CCName=SD!$C$8)*(CBSize=IF(A24=A25,W25&amp;W26,W25&amp;W25))*(CCMFM="Male")),"")))),"N/A")</f>
        <v>5-1</v>
      </c>
      <c r="M25" t="str">
        <f t="shared" si="0"/>
        <v/>
      </c>
      <c r="N25" s="15" t="s">
        <v>692</v>
      </c>
      <c r="O25" s="15" t="s">
        <v>693</v>
      </c>
      <c r="P25" s="15" t="s">
        <v>692</v>
      </c>
      <c r="Q25" t="str">
        <f>IF(AND(SD!$C$29=SD!$P$2,Grade!$O$1="Per level"),VLOOKUP(B25,Grade!$M$1:$N$200,2,FALSE),IF(AND(SD!$C$29=SD!$P$2,Grade!$O$1="Per Bar Size"),VLOOKUP(LEFT(N25,FIND("@",N25)-2),Grade!$J$1:$K$12,2,0),SD!$C$29))</f>
        <v>A615 Grade 60</v>
      </c>
      <c r="R25" t="s">
        <v>715</v>
      </c>
      <c r="S25" s="57">
        <v>25</v>
      </c>
      <c r="U25" t="str">
        <f>IF(Data!$J25="",IFERROR(INDEX(IF(SD!$C$11="Create",Lap!$A$3:$BF$14,IF(SD!$C$11="Per Uploaded File",Lap!$A$19:$BF$30,"")),MATCH(W25,Lap!$A$3:$A$14,0),MATCH(VALUE(D25),Lap!$A$3:$BF$3,0)+IF(IFERROR(FIND("Grade 60",J25),0)&gt;0,0,IF(IFERROR(FIND("Grade 80",J25),0),1,IF(IFERROR(FIND("Grade 75",J25),0),2,"")))),""),Data!J25)</f>
        <v>5-1</v>
      </c>
      <c r="W25" t="s">
        <v>166</v>
      </c>
      <c r="X25">
        <v>6</v>
      </c>
      <c r="Y25" t="str">
        <f t="shared" si="1"/>
        <v>30</v>
      </c>
      <c r="Z25">
        <f t="shared" si="2"/>
        <v>0</v>
      </c>
      <c r="DE25" t="s">
        <v>831</v>
      </c>
      <c r="DF25" t="s">
        <v>66</v>
      </c>
      <c r="DG25" t="str">
        <f>VLOOKUP(W25,'Level Wise PSI'!$F$2:$G$12,2,FALSE)</f>
        <v>Double Lift</v>
      </c>
    </row>
    <row r="26" spans="1:111" x14ac:dyDescent="0.25">
      <c r="A26">
        <v>26</v>
      </c>
      <c r="B26" t="s">
        <v>672</v>
      </c>
      <c r="C26" s="15">
        <v>2429</v>
      </c>
      <c r="D26" s="15">
        <v>10000</v>
      </c>
      <c r="E26" t="str">
        <f>IF(B26=Level!$A$2,SD!$C$14,SD!$C$13)</f>
        <v>0-8</v>
      </c>
      <c r="F26" s="15" t="s">
        <v>763</v>
      </c>
      <c r="G26" t="s">
        <v>715</v>
      </c>
      <c r="H26" t="str">
        <f>RIGHT(VLOOKUP(B26,Level!A:C,3,FALSE),LEN(VLOOKUP(B26,Level!A:C,3,FALSE))-1)</f>
        <v>10-7</v>
      </c>
      <c r="I26" s="15" t="s">
        <v>716</v>
      </c>
      <c r="J26" t="str">
        <f>IF(AND(SD!$C$19=SD!$H$2,Grade!$G$1="Per level"),VLOOKUP(B26,Grade!$E$1:$F$200,2,FALSE),IF(AND(SD!$C$19=SD!$H$2,Grade!$G$1="Per Bar Size"),VLOOKUP(W26,Grade!$B$1:$C$12,2,0),SD!$C$19))</f>
        <v>A615 Grade 60</v>
      </c>
      <c r="K26" s="15" t="s">
        <v>66</v>
      </c>
      <c r="L26" s="24" t="str">
        <f>IFERROR(IF(A26&lt;&gt;A27,"",IF(DF26="No Lap","",IF(K27="Lap",U26,IF(K27="Coupler",_xlfn._xlws.FILTER(CCoupler,(CCName=SD!$C$8)*(CBSize=IF(A25=A26,W26&amp;W27,W26&amp;W26))*(CCMFM="Male")),"")))),"N/A")</f>
        <v>5-1</v>
      </c>
      <c r="M26" t="str">
        <f t="shared" si="0"/>
        <v/>
      </c>
      <c r="N26" t="s">
        <v>692</v>
      </c>
      <c r="O26" t="s">
        <v>693</v>
      </c>
      <c r="P26" t="s">
        <v>692</v>
      </c>
      <c r="Q26" t="str">
        <f>IF(AND(SD!$C$29=SD!$P$2,Grade!$O$1="Per level"),VLOOKUP(B26,Grade!$M$1:$N$200,2,FALSE),IF(AND(SD!$C$29=SD!$P$2,Grade!$O$1="Per Bar Size"),VLOOKUP(LEFT(N26,FIND("@",N26)-2),Grade!$J$1:$K$12,2,0),SD!$C$29))</f>
        <v>A615 Grade 60</v>
      </c>
      <c r="R26" t="s">
        <v>715</v>
      </c>
      <c r="S26" s="57">
        <v>26</v>
      </c>
      <c r="U26" t="str">
        <f>IF(Data!$J26="",IFERROR(INDEX(IF(SD!$C$11="Create",Lap!$A$3:$BF$14,IF(SD!$C$11="Per Uploaded File",Lap!$A$19:$BF$30,"")),MATCH(W26,Lap!$A$3:$A$14,0),MATCH(VALUE(D26),Lap!$A$3:$BF$3,0)+IF(IFERROR(FIND("Grade 60",J26),0)&gt;0,0,IF(IFERROR(FIND("Grade 80",J26),0),1,IF(IFERROR(FIND("Grade 75",J26),0),2,"")))),""),Data!J26)</f>
        <v>5-1</v>
      </c>
      <c r="W26" t="s">
        <v>166</v>
      </c>
      <c r="X26">
        <v>6</v>
      </c>
      <c r="Y26" t="str">
        <f t="shared" si="1"/>
        <v>30</v>
      </c>
      <c r="Z26">
        <f t="shared" si="2"/>
        <v>0</v>
      </c>
      <c r="DE26" t="s">
        <v>831</v>
      </c>
      <c r="DF26" t="s">
        <v>66</v>
      </c>
      <c r="DG26" t="str">
        <f>VLOOKUP(W26,'Level Wise PSI'!$F$2:$G$12,2,FALSE)</f>
        <v>Double Lift</v>
      </c>
    </row>
    <row r="27" spans="1:111" x14ac:dyDescent="0.25">
      <c r="A27">
        <v>26</v>
      </c>
      <c r="B27" t="s">
        <v>674</v>
      </c>
      <c r="C27" s="15">
        <v>2429</v>
      </c>
      <c r="D27" s="15">
        <v>10000</v>
      </c>
      <c r="E27" t="str">
        <f>IF(B27=Level!$A$2,SD!$C$14,SD!$C$13)</f>
        <v>0-8</v>
      </c>
      <c r="F27" s="15" t="s">
        <v>763</v>
      </c>
      <c r="G27" t="s">
        <v>715</v>
      </c>
      <c r="H27" t="str">
        <f>RIGHT(VLOOKUP(B27,Level!A:C,3,FALSE),LEN(VLOOKUP(B27,Level!A:C,3,FALSE))-1)</f>
        <v>10-7</v>
      </c>
      <c r="I27" t="s">
        <v>716</v>
      </c>
      <c r="J27" t="str">
        <f>IF(AND(SD!$C$19=SD!$H$2,Grade!$G$1="Per level"),VLOOKUP(B27,Grade!$E$1:$F$200,2,FALSE),IF(AND(SD!$C$19=SD!$H$2,Grade!$G$1="Per Bar Size"),VLOOKUP(W27,Grade!$B$1:$C$12,2,0),SD!$C$19))</f>
        <v>A615 Grade 60</v>
      </c>
      <c r="K27" s="15" t="s">
        <v>66</v>
      </c>
      <c r="L27" s="24" t="str">
        <f>IFERROR(IF(A27&lt;&gt;A28,"",IF(DF27="No Lap","",IF(K28="Lap",U27,IF(K28="Coupler",_xlfn._xlws.FILTER(CCoupler,(CCName=SD!$C$8)*(CBSize=IF(A26=A27,W27&amp;W28,W27&amp;W27))*(CCMFM="Male")),"")))),"N/A")</f>
        <v>5-1</v>
      </c>
      <c r="M27" t="str">
        <f t="shared" si="0"/>
        <v/>
      </c>
      <c r="N27" t="s">
        <v>692</v>
      </c>
      <c r="O27" t="s">
        <v>693</v>
      </c>
      <c r="P27" t="s">
        <v>692</v>
      </c>
      <c r="Q27" t="str">
        <f>IF(AND(SD!$C$29=SD!$P$2,Grade!$O$1="Per level"),VLOOKUP(B27,Grade!$M$1:$N$200,2,FALSE),IF(AND(SD!$C$29=SD!$P$2,Grade!$O$1="Per Bar Size"),VLOOKUP(LEFT(N27,FIND("@",N27)-2),Grade!$J$1:$K$12,2,0),SD!$C$29))</f>
        <v>A615 Grade 60</v>
      </c>
      <c r="R27" t="s">
        <v>715</v>
      </c>
      <c r="S27" s="57">
        <v>27</v>
      </c>
      <c r="U27" t="str">
        <f>IF(Data!$J27="",IFERROR(INDEX(IF(SD!$C$11="Create",Lap!$A$3:$BF$14,IF(SD!$C$11="Per Uploaded File",Lap!$A$19:$BF$30,"")),MATCH(W27,Lap!$A$3:$A$14,0),MATCH(VALUE(D27),Lap!$A$3:$BF$3,0)+IF(IFERROR(FIND("Grade 60",J27),0)&gt;0,0,IF(IFERROR(FIND("Grade 80",J27),0),1,IF(IFERROR(FIND("Grade 75",J27),0),2,"")))),""),Data!J27)</f>
        <v>5-1</v>
      </c>
      <c r="W27" t="s">
        <v>166</v>
      </c>
      <c r="X27">
        <v>6</v>
      </c>
      <c r="Y27" t="str">
        <f t="shared" si="1"/>
        <v>30</v>
      </c>
      <c r="Z27">
        <f t="shared" si="2"/>
        <v>0</v>
      </c>
      <c r="DE27" t="s">
        <v>831</v>
      </c>
      <c r="DF27" t="s">
        <v>66</v>
      </c>
      <c r="DG27" t="str">
        <f>VLOOKUP(W27,'Level Wise PSI'!$F$2:$G$12,2,FALSE)</f>
        <v>Double Lift</v>
      </c>
    </row>
    <row r="28" spans="1:111" x14ac:dyDescent="0.25">
      <c r="A28">
        <v>26</v>
      </c>
      <c r="B28" t="s">
        <v>676</v>
      </c>
      <c r="C28" s="15">
        <v>2429</v>
      </c>
      <c r="D28" s="15">
        <v>10000</v>
      </c>
      <c r="E28" t="str">
        <f>IF(B28=Level!$A$2,SD!$C$14,SD!$C$13)</f>
        <v>0-8</v>
      </c>
      <c r="F28" s="15" t="s">
        <v>763</v>
      </c>
      <c r="G28" t="s">
        <v>715</v>
      </c>
      <c r="H28" t="str">
        <f>RIGHT(VLOOKUP(B28,Level!A:C,3,FALSE),LEN(VLOOKUP(B28,Level!A:C,3,FALSE))-1)</f>
        <v>10-7</v>
      </c>
      <c r="I28" t="s">
        <v>716</v>
      </c>
      <c r="J28" t="str">
        <f>IF(AND(SD!$C$19=SD!$H$2,Grade!$G$1="Per level"),VLOOKUP(B28,Grade!$E$1:$F$200,2,FALSE),IF(AND(SD!$C$19=SD!$H$2,Grade!$G$1="Per Bar Size"),VLOOKUP(W28,Grade!$B$1:$C$12,2,0),SD!$C$19))</f>
        <v>A615 Grade 60</v>
      </c>
      <c r="K28" s="15" t="s">
        <v>66</v>
      </c>
      <c r="L28" s="24" t="str">
        <f>IFERROR(IF(A28&lt;&gt;A29,"",IF(DF28="No Lap","",IF(K29="Lap",U28,IF(K29="Coupler",_xlfn._xlws.FILTER(CCoupler,(CCName=SD!$C$8)*(CBSize=IF(A27=A28,W28&amp;W29,W28&amp;W28))*(CCMFM="Male")),"")))),"N/A")</f>
        <v>5-1</v>
      </c>
      <c r="M28" t="str">
        <f t="shared" si="0"/>
        <v/>
      </c>
      <c r="N28" t="s">
        <v>692</v>
      </c>
      <c r="O28" t="s">
        <v>693</v>
      </c>
      <c r="P28" t="s">
        <v>692</v>
      </c>
      <c r="Q28" t="str">
        <f>IF(AND(SD!$C$29=SD!$P$2,Grade!$O$1="Per level"),VLOOKUP(B28,Grade!$M$1:$N$200,2,FALSE),IF(AND(SD!$C$29=SD!$P$2,Grade!$O$1="Per Bar Size"),VLOOKUP(LEFT(N28,FIND("@",N28)-2),Grade!$J$1:$K$12,2,0),SD!$C$29))</f>
        <v>A615 Grade 60</v>
      </c>
      <c r="R28" t="s">
        <v>715</v>
      </c>
      <c r="S28" s="57">
        <v>28</v>
      </c>
      <c r="U28" t="str">
        <f>IF(Data!$J28="",IFERROR(INDEX(IF(SD!$C$11="Create",Lap!$A$3:$BF$14,IF(SD!$C$11="Per Uploaded File",Lap!$A$19:$BF$30,"")),MATCH(W28,Lap!$A$3:$A$14,0),MATCH(VALUE(D28),Lap!$A$3:$BF$3,0)+IF(IFERROR(FIND("Grade 60",J28),0)&gt;0,0,IF(IFERROR(FIND("Grade 80",J28),0),1,IF(IFERROR(FIND("Grade 75",J28),0),2,"")))),""),Data!J28)</f>
        <v>5-1</v>
      </c>
      <c r="W28" t="s">
        <v>166</v>
      </c>
      <c r="X28">
        <v>6</v>
      </c>
      <c r="Y28" t="str">
        <f t="shared" si="1"/>
        <v>30</v>
      </c>
      <c r="Z28">
        <f t="shared" si="2"/>
        <v>0</v>
      </c>
      <c r="DE28" t="s">
        <v>831</v>
      </c>
      <c r="DF28" t="s">
        <v>66</v>
      </c>
      <c r="DG28" t="str">
        <f>VLOOKUP(W28,'Level Wise PSI'!$F$2:$G$12,2,FALSE)</f>
        <v>Double Lift</v>
      </c>
    </row>
    <row r="29" spans="1:111" x14ac:dyDescent="0.25">
      <c r="A29">
        <v>26</v>
      </c>
      <c r="B29" t="s">
        <v>678</v>
      </c>
      <c r="C29" s="15">
        <v>2429</v>
      </c>
      <c r="D29" s="15">
        <v>10000</v>
      </c>
      <c r="E29" t="str">
        <f>IF(B29=Level!$A$2,SD!$C$14,SD!$C$13)</f>
        <v>0-8</v>
      </c>
      <c r="F29" s="15" t="s">
        <v>763</v>
      </c>
      <c r="G29" t="s">
        <v>715</v>
      </c>
      <c r="H29" t="str">
        <f>RIGHT(VLOOKUP(B29,Level!A:C,3,FALSE),LEN(VLOOKUP(B29,Level!A:C,3,FALSE))-1)</f>
        <v>10-7</v>
      </c>
      <c r="I29" t="s">
        <v>716</v>
      </c>
      <c r="J29" t="str">
        <f>IF(AND(SD!$C$19=SD!$H$2,Grade!$G$1="Per level"),VLOOKUP(B29,Grade!$E$1:$F$200,2,FALSE),IF(AND(SD!$C$19=SD!$H$2,Grade!$G$1="Per Bar Size"),VLOOKUP(W29,Grade!$B$1:$C$12,2,0),SD!$C$19))</f>
        <v>A615 Grade 60</v>
      </c>
      <c r="K29" s="15" t="s">
        <v>66</v>
      </c>
      <c r="L29" s="24" t="str">
        <f>IFERROR(IF(A29&lt;&gt;A30,"",IF(DF29="No Lap","",IF(K30="Lap",U29,IF(K30="Coupler",_xlfn._xlws.FILTER(CCoupler,(CCName=SD!$C$8)*(CBSize=IF(A28=A29,W29&amp;W30,W29&amp;W29))*(CCMFM="Male")),"")))),"N/A")</f>
        <v>5-1</v>
      </c>
      <c r="M29" t="str">
        <f t="shared" si="0"/>
        <v/>
      </c>
      <c r="N29" t="s">
        <v>692</v>
      </c>
      <c r="O29" t="s">
        <v>693</v>
      </c>
      <c r="P29" t="s">
        <v>692</v>
      </c>
      <c r="Q29" t="str">
        <f>IF(AND(SD!$C$29=SD!$P$2,Grade!$O$1="Per level"),VLOOKUP(B29,Grade!$M$1:$N$200,2,FALSE),IF(AND(SD!$C$29=SD!$P$2,Grade!$O$1="Per Bar Size"),VLOOKUP(LEFT(N29,FIND("@",N29)-2),Grade!$J$1:$K$12,2,0),SD!$C$29))</f>
        <v>A615 Grade 60</v>
      </c>
      <c r="R29" t="s">
        <v>715</v>
      </c>
      <c r="S29" s="57">
        <v>29</v>
      </c>
      <c r="U29" t="str">
        <f>IF(Data!$J29="",IFERROR(INDEX(IF(SD!$C$11="Create",Lap!$A$3:$BF$14,IF(SD!$C$11="Per Uploaded File",Lap!$A$19:$BF$30,"")),MATCH(W29,Lap!$A$3:$A$14,0),MATCH(VALUE(D29),Lap!$A$3:$BF$3,0)+IF(IFERROR(FIND("Grade 60",J29),0)&gt;0,0,IF(IFERROR(FIND("Grade 80",J29),0),1,IF(IFERROR(FIND("Grade 75",J29),0),2,"")))),""),Data!J29)</f>
        <v>5-1</v>
      </c>
      <c r="W29" t="s">
        <v>166</v>
      </c>
      <c r="X29">
        <v>6</v>
      </c>
      <c r="Y29" t="str">
        <f t="shared" si="1"/>
        <v>30</v>
      </c>
      <c r="Z29">
        <f t="shared" si="2"/>
        <v>0</v>
      </c>
      <c r="DE29" t="s">
        <v>831</v>
      </c>
      <c r="DF29" t="s">
        <v>66</v>
      </c>
      <c r="DG29" t="str">
        <f>VLOOKUP(W29,'Level Wise PSI'!$F$2:$G$12,2,FALSE)</f>
        <v>Double Lift</v>
      </c>
    </row>
    <row r="30" spans="1:111" x14ac:dyDescent="0.25">
      <c r="A30">
        <v>26</v>
      </c>
      <c r="B30" t="s">
        <v>680</v>
      </c>
      <c r="C30" s="15">
        <v>2429</v>
      </c>
      <c r="D30" s="15">
        <v>10000</v>
      </c>
      <c r="E30" t="str">
        <f>IF(B30=Level!$A$2,SD!$C$14,SD!$C$13)</f>
        <v>0-8</v>
      </c>
      <c r="F30" s="15" t="s">
        <v>763</v>
      </c>
      <c r="G30" t="s">
        <v>715</v>
      </c>
      <c r="H30" t="str">
        <f>RIGHT(VLOOKUP(B30,Level!A:C,3,FALSE),LEN(VLOOKUP(B30,Level!A:C,3,FALSE))-1)</f>
        <v>10-7</v>
      </c>
      <c r="I30" t="s">
        <v>716</v>
      </c>
      <c r="J30" t="str">
        <f>IF(AND(SD!$C$19=SD!$H$2,Grade!$G$1="Per level"),VLOOKUP(B30,Grade!$E$1:$F$200,2,FALSE),IF(AND(SD!$C$19=SD!$H$2,Grade!$G$1="Per Bar Size"),VLOOKUP(W30,Grade!$B$1:$C$12,2,0),SD!$C$19))</f>
        <v>A615 Grade 60</v>
      </c>
      <c r="K30" s="15" t="s">
        <v>66</v>
      </c>
      <c r="L30" s="24" t="str">
        <f>IFERROR(IF(A30&lt;&gt;A31,"",IF(DF30="No Lap","",IF(K31="Lap",U30,IF(K31="Coupler",_xlfn._xlws.FILTER(CCoupler,(CCName=SD!$C$8)*(CBSize=IF(A29=A30,W30&amp;W31,W30&amp;W30))*(CCMFM="Male")),"")))),"N/A")</f>
        <v>5-1</v>
      </c>
      <c r="M30" t="str">
        <f t="shared" si="0"/>
        <v/>
      </c>
      <c r="N30" t="s">
        <v>692</v>
      </c>
      <c r="O30" t="s">
        <v>693</v>
      </c>
      <c r="P30" t="s">
        <v>692</v>
      </c>
      <c r="Q30" t="str">
        <f>IF(AND(SD!$C$29=SD!$P$2,Grade!$O$1="Per level"),VLOOKUP(B30,Grade!$M$1:$N$200,2,FALSE),IF(AND(SD!$C$29=SD!$P$2,Grade!$O$1="Per Bar Size"),VLOOKUP(LEFT(N30,FIND("@",N30)-2),Grade!$J$1:$K$12,2,0),SD!$C$29))</f>
        <v>A615 Grade 60</v>
      </c>
      <c r="R30" t="s">
        <v>715</v>
      </c>
      <c r="S30" s="57">
        <v>30</v>
      </c>
      <c r="U30" t="str">
        <f>IF(Data!$J30="",IFERROR(INDEX(IF(SD!$C$11="Create",Lap!$A$3:$BF$14,IF(SD!$C$11="Per Uploaded File",Lap!$A$19:$BF$30,"")),MATCH(W30,Lap!$A$3:$A$14,0),MATCH(VALUE(D30),Lap!$A$3:$BF$3,0)+IF(IFERROR(FIND("Grade 60",J30),0)&gt;0,0,IF(IFERROR(FIND("Grade 80",J30),0),1,IF(IFERROR(FIND("Grade 75",J30),0),2,"")))),""),Data!J30)</f>
        <v>5-1</v>
      </c>
      <c r="W30" t="s">
        <v>166</v>
      </c>
      <c r="X30">
        <v>6</v>
      </c>
      <c r="Y30" t="str">
        <f t="shared" si="1"/>
        <v>30</v>
      </c>
      <c r="Z30">
        <f t="shared" si="2"/>
        <v>0</v>
      </c>
      <c r="DE30" t="s">
        <v>831</v>
      </c>
      <c r="DF30" t="s">
        <v>66</v>
      </c>
      <c r="DG30" t="str">
        <f>VLOOKUP(W30,'Level Wise PSI'!$F$2:$G$12,2,FALSE)</f>
        <v>Double Lift</v>
      </c>
    </row>
    <row r="31" spans="1:111" x14ac:dyDescent="0.25">
      <c r="A31">
        <v>26</v>
      </c>
      <c r="B31" t="s">
        <v>682</v>
      </c>
      <c r="C31" s="15">
        <v>2429</v>
      </c>
      <c r="D31" s="15">
        <v>10000</v>
      </c>
      <c r="E31" t="str">
        <f>IF(B31=Level!$A$2,SD!$C$14,SD!$C$13)</f>
        <v>0-8</v>
      </c>
      <c r="F31" s="15" t="s">
        <v>763</v>
      </c>
      <c r="G31" t="s">
        <v>715</v>
      </c>
      <c r="H31" t="str">
        <f>RIGHT(VLOOKUP(B31,Level!A:C,3,FALSE),LEN(VLOOKUP(B31,Level!A:C,3,FALSE))-1)</f>
        <v>10-7</v>
      </c>
      <c r="I31" t="s">
        <v>717</v>
      </c>
      <c r="J31" t="str">
        <f>IF(AND(SD!$C$19=SD!$H$2,Grade!$G$1="Per level"),VLOOKUP(B31,Grade!$E$1:$F$200,2,FALSE),IF(AND(SD!$C$19=SD!$H$2,Grade!$G$1="Per Bar Size"),VLOOKUP(W31,Grade!$B$1:$C$12,2,0),SD!$C$19))</f>
        <v>A615 Grade 60</v>
      </c>
      <c r="K31" s="15" t="s">
        <v>66</v>
      </c>
      <c r="L31" s="24" t="str">
        <f>IFERROR(IF(A31&lt;&gt;A32,"",IF(DF31="No Lap","",IF(K32="Lap",U31,IF(K32="Coupler",_xlfn._xlws.FILTER(CCoupler,(CCName=SD!$C$8)*(CBSize=IF(A30=A31,W31&amp;W32,W31&amp;W31))*(CCMFM="Male")),"")))),"N/A")</f>
        <v/>
      </c>
      <c r="M31" t="str">
        <f t="shared" si="0"/>
        <v/>
      </c>
      <c r="N31" t="s">
        <v>692</v>
      </c>
      <c r="O31" t="s">
        <v>693</v>
      </c>
      <c r="P31" t="s">
        <v>692</v>
      </c>
      <c r="Q31" t="str">
        <f>IF(AND(SD!$C$29=SD!$P$2,Grade!$O$1="Per level"),VLOOKUP(B31,Grade!$M$1:$N$200,2,FALSE),IF(AND(SD!$C$29=SD!$P$2,Grade!$O$1="Per Bar Size"),VLOOKUP(LEFT(N31,FIND("@",N31)-2),Grade!$J$1:$K$12,2,0),SD!$C$29))</f>
        <v>A615 Grade 60</v>
      </c>
      <c r="R31" t="s">
        <v>715</v>
      </c>
      <c r="S31" s="57">
        <v>31</v>
      </c>
      <c r="U31" t="str">
        <f>IF(Data!$J31="",IFERROR(INDEX(IF(SD!$C$11="Create",Lap!$A$3:$BF$14,IF(SD!$C$11="Per Uploaded File",Lap!$A$19:$BF$30,"")),MATCH(W31,Lap!$A$3:$A$14,0),MATCH(VALUE(D31),Lap!$A$3:$BF$3,0)+IF(IFERROR(FIND("Grade 60",J31),0)&gt;0,0,IF(IFERROR(FIND("Grade 80",J31),0),1,IF(IFERROR(FIND("Grade 75",J31),0),2,"")))),""),Data!J31)</f>
        <v>4-0</v>
      </c>
      <c r="W31" t="s">
        <v>142</v>
      </c>
      <c r="X31">
        <v>10</v>
      </c>
      <c r="Y31" t="str">
        <f t="shared" si="1"/>
        <v>30</v>
      </c>
      <c r="Z31">
        <f t="shared" si="2"/>
        <v>0</v>
      </c>
      <c r="DE31" t="s">
        <v>831</v>
      </c>
      <c r="DF31" t="s">
        <v>66</v>
      </c>
      <c r="DG31" t="str">
        <f>VLOOKUP(W31,'Level Wise PSI'!$F$2:$G$12,2,FALSE)</f>
        <v>Double Lift</v>
      </c>
    </row>
    <row r="32" spans="1:111" x14ac:dyDescent="0.25">
      <c r="A32">
        <v>27</v>
      </c>
      <c r="B32" t="s">
        <v>658</v>
      </c>
      <c r="C32" s="15">
        <v>2429</v>
      </c>
      <c r="D32" s="15">
        <v>10000</v>
      </c>
      <c r="E32" s="15" t="s">
        <v>761</v>
      </c>
      <c r="F32" s="15" t="s">
        <v>763</v>
      </c>
      <c r="G32" t="s">
        <v>699</v>
      </c>
      <c r="H32" s="15" t="s">
        <v>760</v>
      </c>
      <c r="I32" t="s">
        <v>712</v>
      </c>
      <c r="J32" t="str">
        <f>IF(AND(SD!$C$19=SD!$H$2,Grade!$G$1="Per level"),VLOOKUP(B32,Grade!$E$1:$F$200,2,FALSE),IF(AND(SD!$C$19=SD!$H$2,Grade!$G$1="Per Bar Size"),VLOOKUP(W32,Grade!$B$1:$C$12,2,0),SD!$C$19))</f>
        <v>A615 Grade 60</v>
      </c>
      <c r="K32" s="15" t="s">
        <v>66</v>
      </c>
      <c r="L32" s="24" t="str">
        <f>IFERROR(IF(A32&lt;&gt;A33,"",IF(DF32="No Lap","",IF(K33="Lap",U32,IF(K33="Coupler",_xlfn._xlws.FILTER(CCoupler,(CCName=SD!$C$8)*(CBSize=IF(A31=A32,W32&amp;W33,W32&amp;W32))*(CCMFM="Male")),"")))),"N/A")</f>
        <v>5-1</v>
      </c>
      <c r="M32" t="str">
        <f t="shared" si="0"/>
        <v/>
      </c>
      <c r="N32" t="s">
        <v>692</v>
      </c>
      <c r="O32" t="s">
        <v>693</v>
      </c>
      <c r="P32" t="s">
        <v>692</v>
      </c>
      <c r="Q32" t="str">
        <f>IF(AND(SD!$C$29=SD!$P$2,Grade!$O$1="Per level"),VLOOKUP(B32,Grade!$M$1:$N$200,2,FALSE),IF(AND(SD!$C$29=SD!$P$2,Grade!$O$1="Per Bar Size"),VLOOKUP(LEFT(N32,FIND("@",N32)-2),Grade!$J$1:$K$12,2,0),SD!$C$29))</f>
        <v>A615 Grade 60</v>
      </c>
      <c r="R32" t="s">
        <v>709</v>
      </c>
      <c r="S32" s="57">
        <v>32</v>
      </c>
      <c r="U32" t="str">
        <f>IF(Data!$J32="",IFERROR(INDEX(IF(SD!$C$11="Create",Lap!$A$3:$BF$14,IF(SD!$C$11="Per Uploaded File",Lap!$A$19:$BF$30,"")),MATCH(W32,Lap!$A$3:$A$14,0),MATCH(VALUE(D32),Lap!$A$3:$BF$3,0)+IF(IFERROR(FIND("Grade 60",J32),0)&gt;0,0,IF(IFERROR(FIND("Grade 80",J32),0),1,IF(IFERROR(FIND("Grade 75",J32),0),2,"")))),""),Data!J32)</f>
        <v>5-1</v>
      </c>
      <c r="W32" t="s">
        <v>166</v>
      </c>
      <c r="X32">
        <v>8</v>
      </c>
      <c r="Y32" t="str">
        <f t="shared" si="1"/>
        <v xml:space="preserve">24 </v>
      </c>
      <c r="Z32" t="str">
        <f t="shared" si="2"/>
        <v xml:space="preserve"> 36</v>
      </c>
      <c r="DE32" t="s">
        <v>831</v>
      </c>
      <c r="DF32" t="s">
        <v>66</v>
      </c>
      <c r="DG32" t="str">
        <f>VLOOKUP(W32,'Level Wise PSI'!$F$2:$G$12,2,FALSE)</f>
        <v>Double Lift</v>
      </c>
    </row>
    <row r="33" spans="1:111" x14ac:dyDescent="0.25">
      <c r="A33">
        <v>27</v>
      </c>
      <c r="B33" t="s">
        <v>661</v>
      </c>
      <c r="C33" s="15">
        <v>2429</v>
      </c>
      <c r="D33" s="15">
        <v>10000</v>
      </c>
      <c r="E33" t="str">
        <f>IF(B33=Level!$A$2,SD!$C$14,SD!$C$13)</f>
        <v>0-8</v>
      </c>
      <c r="F33" s="15" t="s">
        <v>763</v>
      </c>
      <c r="G33" t="s">
        <v>718</v>
      </c>
      <c r="H33" t="str">
        <f>RIGHT(VLOOKUP(B33,Level!A:C,3,FALSE),LEN(VLOOKUP(B33,Level!A:C,3,FALSE))-1)</f>
        <v>10-7</v>
      </c>
      <c r="I33" t="s">
        <v>719</v>
      </c>
      <c r="J33" t="str">
        <f>IF(AND(SD!$C$19=SD!$H$2,Grade!$G$1="Per level"),VLOOKUP(B33,Grade!$E$1:$F$200,2,FALSE),IF(AND(SD!$C$19=SD!$H$2,Grade!$G$1="Per Bar Size"),VLOOKUP(W33,Grade!$B$1:$C$12,2,0),SD!$C$19))</f>
        <v>A615 Grade 60</v>
      </c>
      <c r="K33" s="15" t="s">
        <v>66</v>
      </c>
      <c r="L33" s="24" t="str">
        <f>IFERROR(IF(A33&lt;&gt;A34,"",IF(DF33="No Lap","",IF(K34="Lap",U33,IF(K34="Coupler",_xlfn._xlws.FILTER(CCoupler,(CCName=SD!$C$8)*(CBSize=IF(A32=A33,W33&amp;W34,W33&amp;W33))*(CCMFM="Male")),"")))),"N/A")</f>
        <v>3-6</v>
      </c>
      <c r="M33" t="str">
        <f t="shared" si="0"/>
        <v/>
      </c>
      <c r="N33" t="s">
        <v>692</v>
      </c>
      <c r="O33" t="s">
        <v>693</v>
      </c>
      <c r="P33" t="s">
        <v>692</v>
      </c>
      <c r="Q33" t="str">
        <f>IF(AND(SD!$C$29=SD!$P$2,Grade!$O$1="Per level"),VLOOKUP(B33,Grade!$M$1:$N$200,2,FALSE),IF(AND(SD!$C$29=SD!$P$2,Grade!$O$1="Per Bar Size"),VLOOKUP(LEFT(N33,FIND("@",N33)-2),Grade!$J$1:$K$12,2,0),SD!$C$29))</f>
        <v>A615 Grade 60</v>
      </c>
      <c r="R33" t="s">
        <v>720</v>
      </c>
      <c r="S33" s="57">
        <v>33</v>
      </c>
      <c r="U33" t="str">
        <f>IF(Data!$J33="",IFERROR(INDEX(IF(SD!$C$11="Create",Lap!$A$3:$BF$14,IF(SD!$C$11="Per Uploaded File",Lap!$A$19:$BF$30,"")),MATCH(W33,Lap!$A$3:$A$14,0),MATCH(VALUE(D33),Lap!$A$3:$BF$3,0)+IF(IFERROR(FIND("Grade 60",J33),0)&gt;0,0,IF(IFERROR(FIND("Grade 80",J33),0),1,IF(IFERROR(FIND("Grade 75",J33),0),2,"")))),""),Data!J33)</f>
        <v>3-6</v>
      </c>
      <c r="W33" t="s">
        <v>129</v>
      </c>
      <c r="X33">
        <v>10</v>
      </c>
      <c r="Y33" t="str">
        <f t="shared" si="1"/>
        <v xml:space="preserve">18 </v>
      </c>
      <c r="Z33" t="str">
        <f t="shared" si="2"/>
        <v xml:space="preserve"> 30</v>
      </c>
      <c r="DE33" t="s">
        <v>831</v>
      </c>
      <c r="DF33" t="s">
        <v>66</v>
      </c>
      <c r="DG33" t="str">
        <f>VLOOKUP(W33,'Level Wise PSI'!$F$2:$G$12,2,FALSE)</f>
        <v>Double Lift</v>
      </c>
    </row>
    <row r="34" spans="1:111" x14ac:dyDescent="0.25">
      <c r="A34">
        <v>27</v>
      </c>
      <c r="B34" t="s">
        <v>664</v>
      </c>
      <c r="C34" s="15">
        <v>2429</v>
      </c>
      <c r="D34" s="15">
        <v>10000</v>
      </c>
      <c r="E34" t="str">
        <f>IF(B34=Level!$A$2,SD!$C$14,SD!$C$13)</f>
        <v>0-8</v>
      </c>
      <c r="F34" s="15" t="s">
        <v>763</v>
      </c>
      <c r="G34" t="s">
        <v>718</v>
      </c>
      <c r="H34" t="str">
        <f>RIGHT(VLOOKUP(B34,Level!A:C,3,FALSE),LEN(VLOOKUP(B34,Level!A:C,3,FALSE))-1)</f>
        <v>10-7</v>
      </c>
      <c r="I34" t="s">
        <v>719</v>
      </c>
      <c r="J34" t="str">
        <f>IF(AND(SD!$C$19=SD!$H$2,Grade!$G$1="Per level"),VLOOKUP(B34,Grade!$E$1:$F$200,2,FALSE),IF(AND(SD!$C$19=SD!$H$2,Grade!$G$1="Per Bar Size"),VLOOKUP(W34,Grade!$B$1:$C$12,2,0),SD!$C$19))</f>
        <v>A615 Grade 60</v>
      </c>
      <c r="K34" s="15" t="s">
        <v>66</v>
      </c>
      <c r="L34" s="24" t="str">
        <f>IFERROR(IF(A34&lt;&gt;A35,"",IF(DF34="No Lap","",IF(K35="Lap",U34,IF(K35="Coupler",_xlfn._xlws.FILTER(CCoupler,(CCName=SD!$C$8)*(CBSize=IF(A33=A34,W34&amp;W35,W34&amp;W34))*(CCMFM="Male")),"")))),"N/A")</f>
        <v>3-6</v>
      </c>
      <c r="M34" t="str">
        <f t="shared" si="0"/>
        <v/>
      </c>
      <c r="N34" t="s">
        <v>692</v>
      </c>
      <c r="O34" t="s">
        <v>693</v>
      </c>
      <c r="P34" t="s">
        <v>692</v>
      </c>
      <c r="Q34" t="str">
        <f>IF(AND(SD!$C$29=SD!$P$2,Grade!$O$1="Per level"),VLOOKUP(B34,Grade!$M$1:$N$200,2,FALSE),IF(AND(SD!$C$29=SD!$P$2,Grade!$O$1="Per Bar Size"),VLOOKUP(LEFT(N34,FIND("@",N34)-2),Grade!$J$1:$K$12,2,0),SD!$C$29))</f>
        <v>A615 Grade 60</v>
      </c>
      <c r="R34" t="s">
        <v>720</v>
      </c>
      <c r="S34" s="57">
        <v>34</v>
      </c>
      <c r="U34" t="str">
        <f>IF(Data!$J34="",IFERROR(INDEX(IF(SD!$C$11="Create",Lap!$A$3:$BF$14,IF(SD!$C$11="Per Uploaded File",Lap!$A$19:$BF$30,"")),MATCH(W34,Lap!$A$3:$A$14,0),MATCH(VALUE(D34),Lap!$A$3:$BF$3,0)+IF(IFERROR(FIND("Grade 60",J34),0)&gt;0,0,IF(IFERROR(FIND("Grade 80",J34),0),1,IF(IFERROR(FIND("Grade 75",J34),0),2,"")))),""),Data!J34)</f>
        <v>3-6</v>
      </c>
      <c r="W34" t="s">
        <v>129</v>
      </c>
      <c r="X34">
        <v>10</v>
      </c>
      <c r="Y34" t="str">
        <f t="shared" si="1"/>
        <v xml:space="preserve">18 </v>
      </c>
      <c r="Z34" t="str">
        <f t="shared" si="2"/>
        <v xml:space="preserve"> 30</v>
      </c>
      <c r="DE34" t="s">
        <v>831</v>
      </c>
      <c r="DF34" t="s">
        <v>66</v>
      </c>
      <c r="DG34" t="str">
        <f>VLOOKUP(W34,'Level Wise PSI'!$F$2:$G$12,2,FALSE)</f>
        <v>Double Lift</v>
      </c>
    </row>
    <row r="35" spans="1:111" x14ac:dyDescent="0.25">
      <c r="A35">
        <v>27</v>
      </c>
      <c r="B35" t="s">
        <v>666</v>
      </c>
      <c r="C35" s="15">
        <v>2429</v>
      </c>
      <c r="D35" s="15">
        <v>10000</v>
      </c>
      <c r="E35" t="str">
        <f>IF(B35=Level!$A$2,SD!$C$14,SD!$C$13)</f>
        <v>0-8</v>
      </c>
      <c r="F35" s="15" t="s">
        <v>763</v>
      </c>
      <c r="G35" t="s">
        <v>718</v>
      </c>
      <c r="H35" t="str">
        <f>RIGHT(VLOOKUP(B35,Level!A:C,3,FALSE),LEN(VLOOKUP(B35,Level!A:C,3,FALSE))-1)</f>
        <v>10-7</v>
      </c>
      <c r="I35" t="s">
        <v>719</v>
      </c>
      <c r="J35" t="str">
        <f>IF(AND(SD!$C$19=SD!$H$2,Grade!$G$1="Per level"),VLOOKUP(B35,Grade!$E$1:$F$200,2,FALSE),IF(AND(SD!$C$19=SD!$H$2,Grade!$G$1="Per Bar Size"),VLOOKUP(W35,Grade!$B$1:$C$12,2,0),SD!$C$19))</f>
        <v>A615 Grade 60</v>
      </c>
      <c r="K35" s="15" t="s">
        <v>66</v>
      </c>
      <c r="L35" s="24" t="str">
        <f>IFERROR(IF(A35&lt;&gt;A36,"",IF(DF35="No Lap","",IF(K36="Lap",U35,IF(K36="Coupler",_xlfn._xlws.FILTER(CCoupler,(CCName=SD!$C$8)*(CBSize=IF(A34=A35,W35&amp;W36,W35&amp;W35))*(CCMFM="Male")),"")))),"N/A")</f>
        <v>3-6</v>
      </c>
      <c r="M35" t="str">
        <f t="shared" si="0"/>
        <v/>
      </c>
      <c r="N35" t="s">
        <v>692</v>
      </c>
      <c r="O35" t="s">
        <v>693</v>
      </c>
      <c r="P35" t="s">
        <v>692</v>
      </c>
      <c r="Q35" t="str">
        <f>IF(AND(SD!$C$29=SD!$P$2,Grade!$O$1="Per level"),VLOOKUP(B35,Grade!$M$1:$N$200,2,FALSE),IF(AND(SD!$C$29=SD!$P$2,Grade!$O$1="Per Bar Size"),VLOOKUP(LEFT(N35,FIND("@",N35)-2),Grade!$J$1:$K$12,2,0),SD!$C$29))</f>
        <v>A615 Grade 60</v>
      </c>
      <c r="R35" t="s">
        <v>720</v>
      </c>
      <c r="S35" s="57">
        <v>35</v>
      </c>
      <c r="U35" t="str">
        <f>IF(Data!$J35="",IFERROR(INDEX(IF(SD!$C$11="Create",Lap!$A$3:$BF$14,IF(SD!$C$11="Per Uploaded File",Lap!$A$19:$BF$30,"")),MATCH(W35,Lap!$A$3:$A$14,0),MATCH(VALUE(D35),Lap!$A$3:$BF$3,0)+IF(IFERROR(FIND("Grade 60",J35),0)&gt;0,0,IF(IFERROR(FIND("Grade 80",J35),0),1,IF(IFERROR(FIND("Grade 75",J35),0),2,"")))),""),Data!J35)</f>
        <v>3-6</v>
      </c>
      <c r="W35" t="s">
        <v>129</v>
      </c>
      <c r="X35">
        <v>10</v>
      </c>
      <c r="Y35" t="str">
        <f t="shared" si="1"/>
        <v xml:space="preserve">18 </v>
      </c>
      <c r="Z35" t="str">
        <f t="shared" si="2"/>
        <v xml:space="preserve"> 30</v>
      </c>
      <c r="DE35" t="s">
        <v>831</v>
      </c>
      <c r="DF35" t="s">
        <v>66</v>
      </c>
      <c r="DG35" t="str">
        <f>VLOOKUP(W35,'Level Wise PSI'!$F$2:$G$12,2,FALSE)</f>
        <v>Double Lift</v>
      </c>
    </row>
    <row r="36" spans="1:111" x14ac:dyDescent="0.25">
      <c r="A36">
        <v>27</v>
      </c>
      <c r="B36" t="s">
        <v>668</v>
      </c>
      <c r="C36" s="15">
        <v>2429</v>
      </c>
      <c r="D36" s="15">
        <v>10000</v>
      </c>
      <c r="E36" t="str">
        <f>IF(B36=Level!$A$2,SD!$C$14,SD!$C$13)</f>
        <v>0-8</v>
      </c>
      <c r="F36" s="15" t="s">
        <v>763</v>
      </c>
      <c r="G36" t="s">
        <v>718</v>
      </c>
      <c r="H36" t="str">
        <f>RIGHT(VLOOKUP(B36,Level!A:C,3,FALSE),LEN(VLOOKUP(B36,Level!A:C,3,FALSE))-1)</f>
        <v>10-7</v>
      </c>
      <c r="I36" t="s">
        <v>719</v>
      </c>
      <c r="J36" t="str">
        <f>IF(AND(SD!$C$19=SD!$H$2,Grade!$G$1="Per level"),VLOOKUP(B36,Grade!$E$1:$F$200,2,FALSE),IF(AND(SD!$C$19=SD!$H$2,Grade!$G$1="Per Bar Size"),VLOOKUP(W36,Grade!$B$1:$C$12,2,0),SD!$C$19))</f>
        <v>A615 Grade 60</v>
      </c>
      <c r="K36" s="15" t="s">
        <v>66</v>
      </c>
      <c r="L36" s="24" t="str">
        <f>IFERROR(IF(A36&lt;&gt;A37,"",IF(DF36="No Lap","",IF(K37="Lap",U36,IF(K37="Coupler",_xlfn._xlws.FILTER(CCoupler,(CCName=SD!$C$8)*(CBSize=IF(A35=A36,W36&amp;W37,W36&amp;W36))*(CCMFM="Male")),"")))),"N/A")</f>
        <v>3-6</v>
      </c>
      <c r="M36" t="str">
        <f t="shared" si="0"/>
        <v/>
      </c>
      <c r="N36" s="15" t="s">
        <v>692</v>
      </c>
      <c r="O36" s="15" t="s">
        <v>693</v>
      </c>
      <c r="P36" s="15" t="s">
        <v>692</v>
      </c>
      <c r="Q36" t="str">
        <f>IF(AND(SD!$C$29=SD!$P$2,Grade!$O$1="Per level"),VLOOKUP(B36,Grade!$M$1:$N$200,2,FALSE),IF(AND(SD!$C$29=SD!$P$2,Grade!$O$1="Per Bar Size"),VLOOKUP(LEFT(N36,FIND("@",N36)-2),Grade!$J$1:$K$12,2,0),SD!$C$29))</f>
        <v>A615 Grade 60</v>
      </c>
      <c r="R36" t="s">
        <v>720</v>
      </c>
      <c r="S36" s="57">
        <v>36</v>
      </c>
      <c r="U36" t="str">
        <f>IF(Data!$J36="",IFERROR(INDEX(IF(SD!$C$11="Create",Lap!$A$3:$BF$14,IF(SD!$C$11="Per Uploaded File",Lap!$A$19:$BF$30,"")),MATCH(W36,Lap!$A$3:$A$14,0),MATCH(VALUE(D36),Lap!$A$3:$BF$3,0)+IF(IFERROR(FIND("Grade 60",J36),0)&gt;0,0,IF(IFERROR(FIND("Grade 80",J36),0),1,IF(IFERROR(FIND("Grade 75",J36),0),2,"")))),""),Data!J36)</f>
        <v>3-6</v>
      </c>
      <c r="W36" t="s">
        <v>129</v>
      </c>
      <c r="X36">
        <v>10</v>
      </c>
      <c r="Y36" t="str">
        <f t="shared" si="1"/>
        <v xml:space="preserve">18 </v>
      </c>
      <c r="Z36" t="str">
        <f t="shared" si="2"/>
        <v xml:space="preserve"> 30</v>
      </c>
      <c r="DE36" t="s">
        <v>831</v>
      </c>
      <c r="DF36" t="s">
        <v>66</v>
      </c>
      <c r="DG36" t="str">
        <f>VLOOKUP(W36,'Level Wise PSI'!$F$2:$G$12,2,FALSE)</f>
        <v>Double Lift</v>
      </c>
    </row>
    <row r="37" spans="1:111" x14ac:dyDescent="0.25">
      <c r="A37">
        <v>27</v>
      </c>
      <c r="B37" t="s">
        <v>670</v>
      </c>
      <c r="C37" s="15">
        <v>2429</v>
      </c>
      <c r="D37" s="15">
        <v>10000</v>
      </c>
      <c r="E37" t="str">
        <f>IF(B37=Level!$A$2,SD!$C$14,SD!$C$13)</f>
        <v>0-8</v>
      </c>
      <c r="F37" s="15" t="s">
        <v>763</v>
      </c>
      <c r="G37" t="s">
        <v>718</v>
      </c>
      <c r="H37" t="str">
        <f>RIGHT(VLOOKUP(B37,Level!A:C,3,FALSE),LEN(VLOOKUP(B37,Level!A:C,3,FALSE))-1)</f>
        <v>10-7</v>
      </c>
      <c r="I37" t="s">
        <v>719</v>
      </c>
      <c r="J37" t="str">
        <f>IF(AND(SD!$C$19=SD!$H$2,Grade!$G$1="Per level"),VLOOKUP(B37,Grade!$E$1:$F$200,2,FALSE),IF(AND(SD!$C$19=SD!$H$2,Grade!$G$1="Per Bar Size"),VLOOKUP(W37,Grade!$B$1:$C$12,2,0),SD!$C$19))</f>
        <v>A615 Grade 60</v>
      </c>
      <c r="K37" s="15" t="s">
        <v>66</v>
      </c>
      <c r="L37" s="24" t="str">
        <f>IFERROR(IF(A37&lt;&gt;A38,"",IF(DF37="No Lap","",IF(K38="Lap",U37,IF(K38="Coupler",_xlfn._xlws.FILTER(CCoupler,(CCName=SD!$C$8)*(CBSize=IF(A36=A37,W37&amp;W38,W37&amp;W37))*(CCMFM="Male")),"")))),"N/A")</f>
        <v>3-6</v>
      </c>
      <c r="M37" t="str">
        <f t="shared" si="0"/>
        <v/>
      </c>
      <c r="N37" s="15" t="s">
        <v>692</v>
      </c>
      <c r="O37" s="15" t="s">
        <v>693</v>
      </c>
      <c r="P37" s="15" t="s">
        <v>692</v>
      </c>
      <c r="Q37" t="str">
        <f>IF(AND(SD!$C$29=SD!$P$2,Grade!$O$1="Per level"),VLOOKUP(B37,Grade!$M$1:$N$200,2,FALSE),IF(AND(SD!$C$29=SD!$P$2,Grade!$O$1="Per Bar Size"),VLOOKUP(LEFT(N37,FIND("@",N37)-2),Grade!$J$1:$K$12,2,0),SD!$C$29))</f>
        <v>A615 Grade 60</v>
      </c>
      <c r="R37" t="s">
        <v>720</v>
      </c>
      <c r="S37" s="57">
        <v>37</v>
      </c>
      <c r="U37" t="str">
        <f>IF(Data!$J37="",IFERROR(INDEX(IF(SD!$C$11="Create",Lap!$A$3:$BF$14,IF(SD!$C$11="Per Uploaded File",Lap!$A$19:$BF$30,"")),MATCH(W37,Lap!$A$3:$A$14,0),MATCH(VALUE(D37),Lap!$A$3:$BF$3,0)+IF(IFERROR(FIND("Grade 60",J37),0)&gt;0,0,IF(IFERROR(FIND("Grade 80",J37),0),1,IF(IFERROR(FIND("Grade 75",J37),0),2,"")))),""),Data!J37)</f>
        <v>3-6</v>
      </c>
      <c r="W37" t="s">
        <v>129</v>
      </c>
      <c r="X37">
        <v>10</v>
      </c>
      <c r="Y37" t="str">
        <f t="shared" si="1"/>
        <v xml:space="preserve">18 </v>
      </c>
      <c r="Z37" t="str">
        <f t="shared" si="2"/>
        <v xml:space="preserve"> 30</v>
      </c>
      <c r="DE37" t="s">
        <v>831</v>
      </c>
      <c r="DF37" t="s">
        <v>66</v>
      </c>
      <c r="DG37" t="str">
        <f>VLOOKUP(W37,'Level Wise PSI'!$F$2:$G$12,2,FALSE)</f>
        <v>Double Lift</v>
      </c>
    </row>
    <row r="38" spans="1:111" x14ac:dyDescent="0.25">
      <c r="A38">
        <v>27</v>
      </c>
      <c r="B38" t="s">
        <v>672</v>
      </c>
      <c r="C38" s="15">
        <v>2429</v>
      </c>
      <c r="D38" s="15">
        <v>10000</v>
      </c>
      <c r="E38" t="str">
        <f>IF(B38=Level!$A$2,SD!$C$14,SD!$C$13)</f>
        <v>0-8</v>
      </c>
      <c r="F38" s="15" t="s">
        <v>763</v>
      </c>
      <c r="G38" t="s">
        <v>718</v>
      </c>
      <c r="H38" t="str">
        <f>RIGHT(VLOOKUP(B38,Level!A:C,3,FALSE),LEN(VLOOKUP(B38,Level!A:C,3,FALSE))-1)</f>
        <v>10-7</v>
      </c>
      <c r="I38" t="s">
        <v>719</v>
      </c>
      <c r="J38" t="str">
        <f>IF(AND(SD!$C$19=SD!$H$2,Grade!$G$1="Per level"),VLOOKUP(B38,Grade!$E$1:$F$200,2,FALSE),IF(AND(SD!$C$19=SD!$H$2,Grade!$G$1="Per Bar Size"),VLOOKUP(W38,Grade!$B$1:$C$12,2,0),SD!$C$19))</f>
        <v>A615 Grade 60</v>
      </c>
      <c r="K38" s="15" t="s">
        <v>66</v>
      </c>
      <c r="L38" s="24" t="str">
        <f>IFERROR(IF(A38&lt;&gt;A39,"",IF(DF38="No Lap","",IF(K39="Lap",U38,IF(K39="Coupler",_xlfn._xlws.FILTER(CCoupler,(CCName=SD!$C$8)*(CBSize=IF(A37=A38,W38&amp;W39,W38&amp;W38))*(CCMFM="Male")),"")))),"N/A")</f>
        <v>3-6</v>
      </c>
      <c r="M38" t="str">
        <f t="shared" si="0"/>
        <v/>
      </c>
      <c r="N38" t="s">
        <v>692</v>
      </c>
      <c r="O38" t="s">
        <v>693</v>
      </c>
      <c r="P38" t="s">
        <v>692</v>
      </c>
      <c r="Q38" t="str">
        <f>IF(AND(SD!$C$29=SD!$P$2,Grade!$O$1="Per level"),VLOOKUP(B38,Grade!$M$1:$N$200,2,FALSE),IF(AND(SD!$C$29=SD!$P$2,Grade!$O$1="Per Bar Size"),VLOOKUP(LEFT(N38,FIND("@",N38)-2),Grade!$J$1:$K$12,2,0),SD!$C$29))</f>
        <v>A615 Grade 60</v>
      </c>
      <c r="R38" t="s">
        <v>720</v>
      </c>
      <c r="S38" s="57">
        <v>38</v>
      </c>
      <c r="U38" t="str">
        <f>IF(Data!$J38="",IFERROR(INDEX(IF(SD!$C$11="Create",Lap!$A$3:$BF$14,IF(SD!$C$11="Per Uploaded File",Lap!$A$19:$BF$30,"")),MATCH(W38,Lap!$A$3:$A$14,0),MATCH(VALUE(D38),Lap!$A$3:$BF$3,0)+IF(IFERROR(FIND("Grade 60",J38),0)&gt;0,0,IF(IFERROR(FIND("Grade 80",J38),0),1,IF(IFERROR(FIND("Grade 75",J38),0),2,"")))),""),Data!J38)</f>
        <v>3-6</v>
      </c>
      <c r="W38" t="s">
        <v>129</v>
      </c>
      <c r="X38">
        <v>10</v>
      </c>
      <c r="Y38" t="str">
        <f t="shared" si="1"/>
        <v xml:space="preserve">18 </v>
      </c>
      <c r="Z38" t="str">
        <f t="shared" si="2"/>
        <v xml:space="preserve"> 30</v>
      </c>
      <c r="DE38" t="s">
        <v>831</v>
      </c>
      <c r="DF38" t="s">
        <v>66</v>
      </c>
      <c r="DG38" t="str">
        <f>VLOOKUP(W38,'Level Wise PSI'!$F$2:$G$12,2,FALSE)</f>
        <v>Double Lift</v>
      </c>
    </row>
    <row r="39" spans="1:111" x14ac:dyDescent="0.25">
      <c r="A39">
        <v>27</v>
      </c>
      <c r="B39" t="s">
        <v>674</v>
      </c>
      <c r="C39" s="15">
        <v>2429</v>
      </c>
      <c r="D39" s="15">
        <v>10000</v>
      </c>
      <c r="E39" t="str">
        <f>IF(B39=Level!$A$2,SD!$C$14,SD!$C$13)</f>
        <v>0-8</v>
      </c>
      <c r="F39" s="15" t="s">
        <v>763</v>
      </c>
      <c r="G39" t="s">
        <v>718</v>
      </c>
      <c r="H39" t="str">
        <f>RIGHT(VLOOKUP(B39,Level!A:C,3,FALSE),LEN(VLOOKUP(B39,Level!A:C,3,FALSE))-1)</f>
        <v>10-7</v>
      </c>
      <c r="I39" t="s">
        <v>719</v>
      </c>
      <c r="J39" t="str">
        <f>IF(AND(SD!$C$19=SD!$H$2,Grade!$G$1="Per level"),VLOOKUP(B39,Grade!$E$1:$F$200,2,FALSE),IF(AND(SD!$C$19=SD!$H$2,Grade!$G$1="Per Bar Size"),VLOOKUP(W39,Grade!$B$1:$C$12,2,0),SD!$C$19))</f>
        <v>A615 Grade 60</v>
      </c>
      <c r="K39" s="15" t="s">
        <v>66</v>
      </c>
      <c r="L39" s="24" t="str">
        <f>IFERROR(IF(A39&lt;&gt;A40,"",IF(DF39="No Lap","",IF(K40="Lap",U39,IF(K40="Coupler",_xlfn._xlws.FILTER(CCoupler,(CCName=SD!$C$8)*(CBSize=IF(A38=A39,W39&amp;W40,W39&amp;W39))*(CCMFM="Male")),"")))),"N/A")</f>
        <v>3-6</v>
      </c>
      <c r="M39" t="str">
        <f t="shared" si="0"/>
        <v/>
      </c>
      <c r="N39" t="s">
        <v>692</v>
      </c>
      <c r="O39" t="s">
        <v>693</v>
      </c>
      <c r="P39" t="s">
        <v>692</v>
      </c>
      <c r="Q39" t="str">
        <f>IF(AND(SD!$C$29=SD!$P$2,Grade!$O$1="Per level"),VLOOKUP(B39,Grade!$M$1:$N$200,2,FALSE),IF(AND(SD!$C$29=SD!$P$2,Grade!$O$1="Per Bar Size"),VLOOKUP(LEFT(N39,FIND("@",N39)-2),Grade!$J$1:$K$12,2,0),SD!$C$29))</f>
        <v>A615 Grade 60</v>
      </c>
      <c r="R39" t="s">
        <v>720</v>
      </c>
      <c r="S39" s="57">
        <v>39</v>
      </c>
      <c r="U39" t="str">
        <f>IF(Data!$J39="",IFERROR(INDEX(IF(SD!$C$11="Create",Lap!$A$3:$BF$14,IF(SD!$C$11="Per Uploaded File",Lap!$A$19:$BF$30,"")),MATCH(W39,Lap!$A$3:$A$14,0),MATCH(VALUE(D39),Lap!$A$3:$BF$3,0)+IF(IFERROR(FIND("Grade 60",J39),0)&gt;0,0,IF(IFERROR(FIND("Grade 80",J39),0),1,IF(IFERROR(FIND("Grade 75",J39),0),2,"")))),""),Data!J39)</f>
        <v>3-6</v>
      </c>
      <c r="W39" t="s">
        <v>129</v>
      </c>
      <c r="X39">
        <v>10</v>
      </c>
      <c r="Y39" t="str">
        <f t="shared" si="1"/>
        <v xml:space="preserve">18 </v>
      </c>
      <c r="Z39" t="str">
        <f t="shared" si="2"/>
        <v xml:space="preserve"> 30</v>
      </c>
      <c r="DE39" t="s">
        <v>831</v>
      </c>
      <c r="DF39" t="s">
        <v>66</v>
      </c>
      <c r="DG39" t="str">
        <f>VLOOKUP(W39,'Level Wise PSI'!$F$2:$G$12,2,FALSE)</f>
        <v>Double Lift</v>
      </c>
    </row>
    <row r="40" spans="1:111" x14ac:dyDescent="0.25">
      <c r="A40">
        <v>27</v>
      </c>
      <c r="B40" t="s">
        <v>676</v>
      </c>
      <c r="C40" s="15">
        <v>2429</v>
      </c>
      <c r="D40" s="15">
        <v>10000</v>
      </c>
      <c r="E40" t="str">
        <f>IF(B40=Level!$A$2,SD!$C$14,SD!$C$13)</f>
        <v>0-8</v>
      </c>
      <c r="F40" s="15" t="s">
        <v>763</v>
      </c>
      <c r="G40" t="s">
        <v>718</v>
      </c>
      <c r="H40" t="str">
        <f>RIGHT(VLOOKUP(B40,Level!A:C,3,FALSE),LEN(VLOOKUP(B40,Level!A:C,3,FALSE))-1)</f>
        <v>10-7</v>
      </c>
      <c r="I40" t="s">
        <v>719</v>
      </c>
      <c r="J40" t="str">
        <f>IF(AND(SD!$C$19=SD!$H$2,Grade!$G$1="Per level"),VLOOKUP(B40,Grade!$E$1:$F$200,2,FALSE),IF(AND(SD!$C$19=SD!$H$2,Grade!$G$1="Per Bar Size"),VLOOKUP(W40,Grade!$B$1:$C$12,2,0),SD!$C$19))</f>
        <v>A615 Grade 60</v>
      </c>
      <c r="K40" s="15" t="s">
        <v>66</v>
      </c>
      <c r="L40" s="24" t="str">
        <f>IFERROR(IF(A40&lt;&gt;A41,"",IF(DF40="No Lap","",IF(K41="Lap",U40,IF(K41="Coupler",_xlfn._xlws.FILTER(CCoupler,(CCName=SD!$C$8)*(CBSize=IF(A39=A40,W40&amp;W41,W40&amp;W40))*(CCMFM="Male")),"")))),"N/A")</f>
        <v>3-6</v>
      </c>
      <c r="M40" t="str">
        <f t="shared" si="0"/>
        <v/>
      </c>
      <c r="N40" t="s">
        <v>692</v>
      </c>
      <c r="O40" t="s">
        <v>693</v>
      </c>
      <c r="P40" t="s">
        <v>692</v>
      </c>
      <c r="Q40" t="str">
        <f>IF(AND(SD!$C$29=SD!$P$2,Grade!$O$1="Per level"),VLOOKUP(B40,Grade!$M$1:$N$200,2,FALSE),IF(AND(SD!$C$29=SD!$P$2,Grade!$O$1="Per Bar Size"),VLOOKUP(LEFT(N40,FIND("@",N40)-2),Grade!$J$1:$K$12,2,0),SD!$C$29))</f>
        <v>A615 Grade 60</v>
      </c>
      <c r="R40" t="s">
        <v>720</v>
      </c>
      <c r="S40" s="57">
        <v>40</v>
      </c>
      <c r="U40" t="str">
        <f>IF(Data!$J40="",IFERROR(INDEX(IF(SD!$C$11="Create",Lap!$A$3:$BF$14,IF(SD!$C$11="Per Uploaded File",Lap!$A$19:$BF$30,"")),MATCH(W40,Lap!$A$3:$A$14,0),MATCH(VALUE(D40),Lap!$A$3:$BF$3,0)+IF(IFERROR(FIND("Grade 60",J40),0)&gt;0,0,IF(IFERROR(FIND("Grade 80",J40),0),1,IF(IFERROR(FIND("Grade 75",J40),0),2,"")))),""),Data!J40)</f>
        <v>3-6</v>
      </c>
      <c r="W40" t="s">
        <v>129</v>
      </c>
      <c r="X40">
        <v>10</v>
      </c>
      <c r="Y40" t="str">
        <f t="shared" si="1"/>
        <v xml:space="preserve">18 </v>
      </c>
      <c r="Z40" t="str">
        <f t="shared" si="2"/>
        <v xml:space="preserve"> 30</v>
      </c>
      <c r="DE40" t="s">
        <v>831</v>
      </c>
      <c r="DF40" t="s">
        <v>66</v>
      </c>
      <c r="DG40" t="str">
        <f>VLOOKUP(W40,'Level Wise PSI'!$F$2:$G$12,2,FALSE)</f>
        <v>Double Lift</v>
      </c>
    </row>
    <row r="41" spans="1:111" x14ac:dyDescent="0.25">
      <c r="A41">
        <v>27</v>
      </c>
      <c r="B41" t="s">
        <v>678</v>
      </c>
      <c r="C41" s="15">
        <v>2429</v>
      </c>
      <c r="D41" s="15">
        <v>10000</v>
      </c>
      <c r="E41" t="str">
        <f>IF(B41=Level!$A$2,SD!$C$14,SD!$C$13)</f>
        <v>0-8</v>
      </c>
      <c r="F41" s="15" t="s">
        <v>763</v>
      </c>
      <c r="G41" t="s">
        <v>718</v>
      </c>
      <c r="H41" t="str">
        <f>RIGHT(VLOOKUP(B41,Level!A:C,3,FALSE),LEN(VLOOKUP(B41,Level!A:C,3,FALSE))-1)</f>
        <v>10-7</v>
      </c>
      <c r="I41" t="s">
        <v>719</v>
      </c>
      <c r="J41" t="str">
        <f>IF(AND(SD!$C$19=SD!$H$2,Grade!$G$1="Per level"),VLOOKUP(B41,Grade!$E$1:$F$200,2,FALSE),IF(AND(SD!$C$19=SD!$H$2,Grade!$G$1="Per Bar Size"),VLOOKUP(W41,Grade!$B$1:$C$12,2,0),SD!$C$19))</f>
        <v>A615 Grade 60</v>
      </c>
      <c r="K41" s="15" t="s">
        <v>66</v>
      </c>
      <c r="L41" s="24" t="str">
        <f>IFERROR(IF(A41&lt;&gt;A42,"",IF(DF41="No Lap","",IF(K42="Lap",U41,IF(K42="Coupler",_xlfn._xlws.FILTER(CCoupler,(CCName=SD!$C$8)*(CBSize=IF(A40=A41,W41&amp;W42,W41&amp;W41))*(CCMFM="Male")),"")))),"N/A")</f>
        <v>3-6</v>
      </c>
      <c r="M41" t="str">
        <f t="shared" si="0"/>
        <v/>
      </c>
      <c r="N41" t="s">
        <v>692</v>
      </c>
      <c r="O41" t="s">
        <v>693</v>
      </c>
      <c r="P41" t="s">
        <v>692</v>
      </c>
      <c r="Q41" t="str">
        <f>IF(AND(SD!$C$29=SD!$P$2,Grade!$O$1="Per level"),VLOOKUP(B41,Grade!$M$1:$N$200,2,FALSE),IF(AND(SD!$C$29=SD!$P$2,Grade!$O$1="Per Bar Size"),VLOOKUP(LEFT(N41,FIND("@",N41)-2),Grade!$J$1:$K$12,2,0),SD!$C$29))</f>
        <v>A615 Grade 60</v>
      </c>
      <c r="R41" t="s">
        <v>720</v>
      </c>
      <c r="S41" s="57">
        <v>41</v>
      </c>
      <c r="U41" t="str">
        <f>IF(Data!$J41="",IFERROR(INDEX(IF(SD!$C$11="Create",Lap!$A$3:$BF$14,IF(SD!$C$11="Per Uploaded File",Lap!$A$19:$BF$30,"")),MATCH(W41,Lap!$A$3:$A$14,0),MATCH(VALUE(D41),Lap!$A$3:$BF$3,0)+IF(IFERROR(FIND("Grade 60",J41),0)&gt;0,0,IF(IFERROR(FIND("Grade 80",J41),0),1,IF(IFERROR(FIND("Grade 75",J41),0),2,"")))),""),Data!J41)</f>
        <v>3-6</v>
      </c>
      <c r="W41" t="s">
        <v>129</v>
      </c>
      <c r="X41">
        <v>10</v>
      </c>
      <c r="Y41" t="str">
        <f t="shared" si="1"/>
        <v xml:space="preserve">18 </v>
      </c>
      <c r="Z41" t="str">
        <f t="shared" si="2"/>
        <v xml:space="preserve"> 30</v>
      </c>
      <c r="DE41" t="s">
        <v>831</v>
      </c>
      <c r="DF41" t="s">
        <v>66</v>
      </c>
      <c r="DG41" t="str">
        <f>VLOOKUP(W41,'Level Wise PSI'!$F$2:$G$12,2,FALSE)</f>
        <v>Double Lift</v>
      </c>
    </row>
    <row r="42" spans="1:111" x14ac:dyDescent="0.25">
      <c r="A42">
        <v>27</v>
      </c>
      <c r="B42" t="s">
        <v>680</v>
      </c>
      <c r="C42" s="15">
        <v>2429</v>
      </c>
      <c r="D42" s="15">
        <v>10000</v>
      </c>
      <c r="E42" t="str">
        <f>IF(B42=Level!$A$2,SD!$C$14,SD!$C$13)</f>
        <v>0-8</v>
      </c>
      <c r="F42" s="15" t="s">
        <v>763</v>
      </c>
      <c r="G42" t="s">
        <v>718</v>
      </c>
      <c r="H42" t="str">
        <f>RIGHT(VLOOKUP(B42,Level!A:C,3,FALSE),LEN(VLOOKUP(B42,Level!A:C,3,FALSE))-1)</f>
        <v>10-7</v>
      </c>
      <c r="I42" t="s">
        <v>719</v>
      </c>
      <c r="J42" t="str">
        <f>IF(AND(SD!$C$19=SD!$H$2,Grade!$G$1="Per level"),VLOOKUP(B42,Grade!$E$1:$F$200,2,FALSE),IF(AND(SD!$C$19=SD!$H$2,Grade!$G$1="Per Bar Size"),VLOOKUP(W42,Grade!$B$1:$C$12,2,0),SD!$C$19))</f>
        <v>A615 Grade 60</v>
      </c>
      <c r="K42" s="15" t="s">
        <v>66</v>
      </c>
      <c r="L42" s="24" t="str">
        <f>IFERROR(IF(A42&lt;&gt;A43,"",IF(DF42="No Lap","",IF(K43="Lap",U42,IF(K43="Coupler",_xlfn._xlws.FILTER(CCoupler,(CCName=SD!$C$8)*(CBSize=IF(A41=A42,W42&amp;W43,W42&amp;W42))*(CCMFM="Male")),"")))),"N/A")</f>
        <v>3-6</v>
      </c>
      <c r="M42" t="str">
        <f t="shared" si="0"/>
        <v/>
      </c>
      <c r="N42" t="s">
        <v>692</v>
      </c>
      <c r="O42" t="s">
        <v>693</v>
      </c>
      <c r="P42" t="s">
        <v>692</v>
      </c>
      <c r="Q42" t="str">
        <f>IF(AND(SD!$C$29=SD!$P$2,Grade!$O$1="Per level"),VLOOKUP(B42,Grade!$M$1:$N$200,2,FALSE),IF(AND(SD!$C$29=SD!$P$2,Grade!$O$1="Per Bar Size"),VLOOKUP(LEFT(N42,FIND("@",N42)-2),Grade!$J$1:$K$12,2,0),SD!$C$29))</f>
        <v>A615 Grade 60</v>
      </c>
      <c r="R42" t="s">
        <v>720</v>
      </c>
      <c r="S42" s="57">
        <v>42</v>
      </c>
      <c r="U42" t="str">
        <f>IF(Data!$J42="",IFERROR(INDEX(IF(SD!$C$11="Create",Lap!$A$3:$BF$14,IF(SD!$C$11="Per Uploaded File",Lap!$A$19:$BF$30,"")),MATCH(W42,Lap!$A$3:$A$14,0),MATCH(VALUE(D42),Lap!$A$3:$BF$3,0)+IF(IFERROR(FIND("Grade 60",J42),0)&gt;0,0,IF(IFERROR(FIND("Grade 80",J42),0),1,IF(IFERROR(FIND("Grade 75",J42),0),2,"")))),""),Data!J42)</f>
        <v>3-6</v>
      </c>
      <c r="W42" t="s">
        <v>129</v>
      </c>
      <c r="X42">
        <v>10</v>
      </c>
      <c r="Y42" t="str">
        <f t="shared" si="1"/>
        <v xml:space="preserve">18 </v>
      </c>
      <c r="Z42" t="str">
        <f t="shared" si="2"/>
        <v xml:space="preserve"> 30</v>
      </c>
      <c r="DE42" t="s">
        <v>831</v>
      </c>
      <c r="DF42" t="s">
        <v>66</v>
      </c>
      <c r="DG42" t="str">
        <f>VLOOKUP(W42,'Level Wise PSI'!$F$2:$G$12,2,FALSE)</f>
        <v>Double Lift</v>
      </c>
    </row>
    <row r="43" spans="1:111" x14ac:dyDescent="0.25">
      <c r="A43">
        <v>27</v>
      </c>
      <c r="B43" t="s">
        <v>682</v>
      </c>
      <c r="C43" s="15">
        <v>2429</v>
      </c>
      <c r="D43" s="15">
        <v>10000</v>
      </c>
      <c r="E43" t="str">
        <f>IF(B43=Level!$A$2,SD!$C$14,SD!$C$13)</f>
        <v>0-8</v>
      </c>
      <c r="F43" s="15" t="s">
        <v>763</v>
      </c>
      <c r="G43" t="s">
        <v>718</v>
      </c>
      <c r="H43" t="str">
        <f>RIGHT(VLOOKUP(B43,Level!A:C,3,FALSE),LEN(VLOOKUP(B43,Level!A:C,3,FALSE))-1)</f>
        <v>10-7</v>
      </c>
      <c r="I43" t="s">
        <v>719</v>
      </c>
      <c r="J43" t="str">
        <f>IF(AND(SD!$C$19=SD!$H$2,Grade!$G$1="Per level"),VLOOKUP(B43,Grade!$E$1:$F$200,2,FALSE),IF(AND(SD!$C$19=SD!$H$2,Grade!$G$1="Per Bar Size"),VLOOKUP(W43,Grade!$B$1:$C$12,2,0),SD!$C$19))</f>
        <v>A615 Grade 60</v>
      </c>
      <c r="K43" s="15" t="s">
        <v>66</v>
      </c>
      <c r="L43" s="24" t="str">
        <f>IFERROR(IF(A43&lt;&gt;A44,"",IF(DF43="No Lap","",IF(K44="Lap",U43,IF(K44="Coupler",_xlfn._xlws.FILTER(CCoupler,(CCName=SD!$C$8)*(CBSize=IF(A42=A43,W43&amp;W44,W43&amp;W43))*(CCMFM="Male")),"")))),"N/A")</f>
        <v/>
      </c>
      <c r="M43" t="str">
        <f t="shared" si="0"/>
        <v/>
      </c>
      <c r="N43" t="s">
        <v>692</v>
      </c>
      <c r="O43" t="s">
        <v>693</v>
      </c>
      <c r="P43" t="s">
        <v>692</v>
      </c>
      <c r="Q43" t="str">
        <f>IF(AND(SD!$C$29=SD!$P$2,Grade!$O$1="Per level"),VLOOKUP(B43,Grade!$M$1:$N$200,2,FALSE),IF(AND(SD!$C$29=SD!$P$2,Grade!$O$1="Per Bar Size"),VLOOKUP(LEFT(N43,FIND("@",N43)-2),Grade!$J$1:$K$12,2,0),SD!$C$29))</f>
        <v>A615 Grade 60</v>
      </c>
      <c r="R43" t="s">
        <v>720</v>
      </c>
      <c r="S43" s="57">
        <v>43</v>
      </c>
      <c r="U43" t="str">
        <f>IF(Data!$J43="",IFERROR(INDEX(IF(SD!$C$11="Create",Lap!$A$3:$BF$14,IF(SD!$C$11="Per Uploaded File",Lap!$A$19:$BF$30,"")),MATCH(W43,Lap!$A$3:$A$14,0),MATCH(VALUE(D43),Lap!$A$3:$BF$3,0)+IF(IFERROR(FIND("Grade 60",J43),0)&gt;0,0,IF(IFERROR(FIND("Grade 80",J43),0),1,IF(IFERROR(FIND("Grade 75",J43),0),2,"")))),""),Data!J43)</f>
        <v>3-6</v>
      </c>
      <c r="W43" t="s">
        <v>129</v>
      </c>
      <c r="X43">
        <v>10</v>
      </c>
      <c r="Y43" t="str">
        <f t="shared" si="1"/>
        <v xml:space="preserve">18 </v>
      </c>
      <c r="Z43" t="str">
        <f t="shared" si="2"/>
        <v xml:space="preserve"> 30</v>
      </c>
      <c r="DE43" t="s">
        <v>831</v>
      </c>
      <c r="DF43" t="s">
        <v>66</v>
      </c>
      <c r="DG43" t="str">
        <f>VLOOKUP(W43,'Level Wise PSI'!$F$2:$G$12,2,FALSE)</f>
        <v>Double Lift</v>
      </c>
    </row>
    <row r="44" spans="1:111" x14ac:dyDescent="0.25">
      <c r="A44">
        <v>28</v>
      </c>
      <c r="B44" t="s">
        <v>658</v>
      </c>
      <c r="C44" s="15">
        <v>2429</v>
      </c>
      <c r="D44" s="15">
        <v>10000</v>
      </c>
      <c r="E44" s="15" t="s">
        <v>761</v>
      </c>
      <c r="F44" s="15" t="s">
        <v>763</v>
      </c>
      <c r="G44" t="s">
        <v>706</v>
      </c>
      <c r="H44" s="15" t="s">
        <v>760</v>
      </c>
      <c r="I44" t="s">
        <v>696</v>
      </c>
      <c r="J44" t="str">
        <f>IF(AND(SD!$C$19=SD!$H$2,Grade!$G$1="Per level"),VLOOKUP(B44,Grade!$E$1:$F$200,2,FALSE),IF(AND(SD!$C$19=SD!$H$2,Grade!$G$1="Per Bar Size"),VLOOKUP(W44,Grade!$B$1:$C$12,2,0),SD!$C$19))</f>
        <v>A615 Grade 60</v>
      </c>
      <c r="K44" s="15" t="s">
        <v>66</v>
      </c>
      <c r="L44" s="24" t="str">
        <f>IFERROR(IF(A44&lt;&gt;A45,"",IF(DF44="No Lap","",IF(K45="Lap",U44,IF(K45="Coupler",_xlfn._xlws.FILTER(CCoupler,(CCName=SD!$C$8)*(CBSize=IF(A43=A44,W44&amp;W45,W44&amp;W44))*(CCMFM="Male")),"")))),"N/A")</f>
        <v/>
      </c>
      <c r="M44" t="str">
        <f t="shared" si="0"/>
        <v/>
      </c>
      <c r="N44" t="s">
        <v>692</v>
      </c>
      <c r="O44" t="s">
        <v>693</v>
      </c>
      <c r="P44" t="s">
        <v>692</v>
      </c>
      <c r="Q44" t="str">
        <f>IF(AND(SD!$C$29=SD!$P$2,Grade!$O$1="Per level"),VLOOKUP(B44,Grade!$M$1:$N$200,2,FALSE),IF(AND(SD!$C$29=SD!$P$2,Grade!$O$1="Per Bar Size"),VLOOKUP(LEFT(N44,FIND("@",N44)-2),Grade!$J$1:$K$12,2,0),SD!$C$29))</f>
        <v>A615 Grade 60</v>
      </c>
      <c r="R44" t="s">
        <v>698</v>
      </c>
      <c r="S44" s="57">
        <v>44</v>
      </c>
      <c r="U44" t="str">
        <f>IF(Data!$J44="",IFERROR(INDEX(IF(SD!$C$11="Create",Lap!$A$3:$BF$14,IF(SD!$C$11="Per Uploaded File",Lap!$A$19:$BF$30,"")),MATCH(W44,Lap!$A$3:$A$14,0),MATCH(VALUE(D44),Lap!$A$3:$BF$3,0)+IF(IFERROR(FIND("Grade 60",J44),0)&gt;0,0,IF(IFERROR(FIND("Grade 80",J44),0),1,IF(IFERROR(FIND("Grade 75",J44),0),2,"")))),""),Data!J44)</f>
        <v>3-6</v>
      </c>
      <c r="W44" t="s">
        <v>129</v>
      </c>
      <c r="X44">
        <v>6</v>
      </c>
      <c r="Y44" t="str">
        <f t="shared" si="1"/>
        <v xml:space="preserve">14 </v>
      </c>
      <c r="Z44" t="str">
        <f t="shared" si="2"/>
        <v xml:space="preserve"> 24</v>
      </c>
      <c r="DE44" t="s">
        <v>706</v>
      </c>
      <c r="DF44" t="s">
        <v>66</v>
      </c>
      <c r="DG44" t="str">
        <f>VLOOKUP(W44,'Level Wise PSI'!$F$2:$G$12,2,FALSE)</f>
        <v>Double Lift</v>
      </c>
    </row>
    <row r="45" spans="1:111" x14ac:dyDescent="0.25">
      <c r="A45">
        <v>29</v>
      </c>
      <c r="B45" t="s">
        <v>658</v>
      </c>
      <c r="C45" s="15">
        <v>2429</v>
      </c>
      <c r="D45" s="15">
        <v>10000</v>
      </c>
      <c r="E45" s="15" t="s">
        <v>751</v>
      </c>
      <c r="F45" s="15" t="s">
        <v>763</v>
      </c>
      <c r="G45" t="s">
        <v>699</v>
      </c>
      <c r="H45" s="15" t="s">
        <v>760</v>
      </c>
      <c r="I45" t="s">
        <v>712</v>
      </c>
      <c r="J45" t="str">
        <f>IF(AND(SD!$C$19=SD!$H$2,Grade!$G$1="Per level"),VLOOKUP(B45,Grade!$E$1:$F$200,2,FALSE),IF(AND(SD!$C$19=SD!$H$2,Grade!$G$1="Per Bar Size"),VLOOKUP(W45,Grade!$B$1:$C$12,2,0),SD!$C$19))</f>
        <v>A615 Grade 60</v>
      </c>
      <c r="K45" s="15" t="s">
        <v>66</v>
      </c>
      <c r="L45" s="24" t="str">
        <f>IFERROR(IF(A45&lt;&gt;A46,"",IF(DF45="No Lap","",IF(K46="Lap",U45,IF(K46="Coupler",_xlfn._xlws.FILTER(CCoupler,(CCName=SD!$C$8)*(CBSize=IF(A44=A45,W45&amp;W46,W45&amp;W45))*(CCMFM="Male")),"")))),"N/A")</f>
        <v>5-1</v>
      </c>
      <c r="M45" t="str">
        <f t="shared" si="0"/>
        <v>10 - #10</v>
      </c>
      <c r="N45" t="s">
        <v>692</v>
      </c>
      <c r="O45" t="s">
        <v>693</v>
      </c>
      <c r="P45" t="s">
        <v>692</v>
      </c>
      <c r="Q45" t="str">
        <f>IF(AND(SD!$C$29=SD!$P$2,Grade!$O$1="Per level"),VLOOKUP(B45,Grade!$M$1:$N$200,2,FALSE),IF(AND(SD!$C$29=SD!$P$2,Grade!$O$1="Per Bar Size"),VLOOKUP(LEFT(N45,FIND("@",N45)-2),Grade!$J$1:$K$12,2,0),SD!$C$29))</f>
        <v>A615 Grade 60</v>
      </c>
      <c r="R45" t="s">
        <v>709</v>
      </c>
      <c r="S45" s="57">
        <v>45</v>
      </c>
      <c r="U45" t="str">
        <f>IF(Data!$J45="",IFERROR(INDEX(IF(SD!$C$11="Create",Lap!$A$3:$BF$14,IF(SD!$C$11="Per Uploaded File",Lap!$A$19:$BF$30,"")),MATCH(W45,Lap!$A$3:$A$14,0),MATCH(VALUE(D45),Lap!$A$3:$BF$3,0)+IF(IFERROR(FIND("Grade 60",J45),0)&gt;0,0,IF(IFERROR(FIND("Grade 80",J45),0),1,IF(IFERROR(FIND("Grade 75",J45),0),2,"")))),""),Data!J45)</f>
        <v>5-1</v>
      </c>
      <c r="W45" t="s">
        <v>166</v>
      </c>
      <c r="X45">
        <v>8</v>
      </c>
      <c r="Y45" t="str">
        <f t="shared" si="1"/>
        <v xml:space="preserve">24 </v>
      </c>
      <c r="Z45" t="str">
        <f t="shared" si="2"/>
        <v xml:space="preserve"> 36</v>
      </c>
      <c r="DE45" t="s">
        <v>831</v>
      </c>
      <c r="DF45" t="s">
        <v>66</v>
      </c>
      <c r="DG45" t="str">
        <f>VLOOKUP(W45,'Level Wise PSI'!$F$2:$G$12,2,FALSE)</f>
        <v>Double Lift</v>
      </c>
    </row>
    <row r="46" spans="1:111" x14ac:dyDescent="0.25">
      <c r="A46">
        <v>29</v>
      </c>
      <c r="B46" t="s">
        <v>661</v>
      </c>
      <c r="C46" s="15">
        <v>2429</v>
      </c>
      <c r="D46" s="15">
        <v>10000</v>
      </c>
      <c r="E46" t="str">
        <f>IF(B46=Level!$A$2,SD!$C$14,SD!$C$13)</f>
        <v>0-8</v>
      </c>
      <c r="F46" s="15" t="s">
        <v>763</v>
      </c>
      <c r="G46" t="s">
        <v>713</v>
      </c>
      <c r="H46" t="str">
        <f>RIGHT(VLOOKUP(B46,Level!A:C,3,FALSE),LEN(VLOOKUP(B46,Level!A:C,3,FALSE))-1)</f>
        <v>10-7</v>
      </c>
      <c r="I46" t="s">
        <v>714</v>
      </c>
      <c r="J46" t="str">
        <f>IF(AND(SD!$C$19=SD!$H$2,Grade!$G$1="Per level"),VLOOKUP(B46,Grade!$E$1:$F$200,2,FALSE),IF(AND(SD!$C$19=SD!$H$2,Grade!$G$1="Per Bar Size"),VLOOKUP(W46,Grade!$B$1:$C$12,2,0),SD!$C$19))</f>
        <v>A615 Grade 60</v>
      </c>
      <c r="K46" s="15" t="s">
        <v>66</v>
      </c>
      <c r="L46" s="24" t="str">
        <f>IFERROR(IF(A46&lt;&gt;A47,"",IF(DF46="No Lap","",IF(K47="Lap",U46,IF(K47="Coupler",_xlfn._xlws.FILTER(CCoupler,(CCName=SD!$C$8)*(CBSize=IF(A45=A46,W46&amp;W47,W46&amp;W46))*(CCMFM="Male")),"")))),"N/A")</f>
        <v>5-1</v>
      </c>
      <c r="M46" t="str">
        <f t="shared" si="0"/>
        <v/>
      </c>
      <c r="N46" t="s">
        <v>692</v>
      </c>
      <c r="O46" t="s">
        <v>693</v>
      </c>
      <c r="P46" t="s">
        <v>692</v>
      </c>
      <c r="Q46" t="str">
        <f>IF(AND(SD!$C$29=SD!$P$2,Grade!$O$1="Per level"),VLOOKUP(B46,Grade!$M$1:$N$200,2,FALSE),IF(AND(SD!$C$29=SD!$P$2,Grade!$O$1="Per Bar Size"),VLOOKUP(LEFT(N46,FIND("@",N46)-2),Grade!$J$1:$K$12,2,0),SD!$C$29))</f>
        <v>A615 Grade 60</v>
      </c>
      <c r="R46" t="s">
        <v>713</v>
      </c>
      <c r="S46" s="57">
        <v>46</v>
      </c>
      <c r="U46" t="str">
        <f>IF(Data!$J46="",IFERROR(INDEX(IF(SD!$C$11="Create",Lap!$A$3:$BF$14,IF(SD!$C$11="Per Uploaded File",Lap!$A$19:$BF$30,"")),MATCH(W46,Lap!$A$3:$A$14,0),MATCH(VALUE(D46),Lap!$A$3:$BF$3,0)+IF(IFERROR(FIND("Grade 60",J46),0)&gt;0,0,IF(IFERROR(FIND("Grade 80",J46),0),1,IF(IFERROR(FIND("Grade 75",J46),0),2,"")))),""),Data!J46)</f>
        <v>5-1</v>
      </c>
      <c r="W46" t="s">
        <v>166</v>
      </c>
      <c r="X46">
        <v>10</v>
      </c>
      <c r="Y46" t="str">
        <f t="shared" si="1"/>
        <v>36</v>
      </c>
      <c r="Z46">
        <f t="shared" si="2"/>
        <v>0</v>
      </c>
      <c r="DE46" t="s">
        <v>831</v>
      </c>
      <c r="DF46" t="s">
        <v>66</v>
      </c>
      <c r="DG46" t="str">
        <f>VLOOKUP(W46,'Level Wise PSI'!$F$2:$G$12,2,FALSE)</f>
        <v>Double Lift</v>
      </c>
    </row>
    <row r="47" spans="1:111" x14ac:dyDescent="0.25">
      <c r="A47">
        <v>29</v>
      </c>
      <c r="B47" t="s">
        <v>664</v>
      </c>
      <c r="C47" s="15">
        <v>2429</v>
      </c>
      <c r="D47" s="15">
        <v>10000</v>
      </c>
      <c r="E47" t="str">
        <f>IF(B47=Level!$A$2,SD!$C$14,SD!$C$13)</f>
        <v>0-8</v>
      </c>
      <c r="F47" s="15" t="s">
        <v>763</v>
      </c>
      <c r="G47" t="s">
        <v>715</v>
      </c>
      <c r="H47" t="str">
        <f>RIGHT(VLOOKUP(B47,Level!A:C,3,FALSE),LEN(VLOOKUP(B47,Level!A:C,3,FALSE))-1)</f>
        <v>10-7</v>
      </c>
      <c r="I47" t="s">
        <v>716</v>
      </c>
      <c r="J47" t="str">
        <f>IF(AND(SD!$C$19=SD!$H$2,Grade!$G$1="Per level"),VLOOKUP(B47,Grade!$E$1:$F$200,2,FALSE),IF(AND(SD!$C$19=SD!$H$2,Grade!$G$1="Per Bar Size"),VLOOKUP(W47,Grade!$B$1:$C$12,2,0),SD!$C$19))</f>
        <v>A615 Grade 60</v>
      </c>
      <c r="K47" s="15" t="s">
        <v>66</v>
      </c>
      <c r="L47" s="24" t="str">
        <f>IFERROR(IF(A47&lt;&gt;A48,"",IF(DF47="No Lap","",IF(K48="Lap",U47,IF(K48="Coupler",_xlfn._xlws.FILTER(CCoupler,(CCName=SD!$C$8)*(CBSize=IF(A46=A47,W47&amp;W48,W47&amp;W47))*(CCMFM="Male")),"")))),"N/A")</f>
        <v>5-1</v>
      </c>
      <c r="M47" t="str">
        <f t="shared" si="0"/>
        <v/>
      </c>
      <c r="N47" t="s">
        <v>692</v>
      </c>
      <c r="O47" t="s">
        <v>693</v>
      </c>
      <c r="P47" t="s">
        <v>692</v>
      </c>
      <c r="Q47" t="str">
        <f>IF(AND(SD!$C$29=SD!$P$2,Grade!$O$1="Per level"),VLOOKUP(B47,Grade!$M$1:$N$200,2,FALSE),IF(AND(SD!$C$29=SD!$P$2,Grade!$O$1="Per Bar Size"),VLOOKUP(LEFT(N47,FIND("@",N47)-2),Grade!$J$1:$K$12,2,0),SD!$C$29))</f>
        <v>A615 Grade 60</v>
      </c>
      <c r="R47" t="s">
        <v>715</v>
      </c>
      <c r="S47" s="57">
        <v>47</v>
      </c>
      <c r="U47" t="str">
        <f>IF(Data!$J47="",IFERROR(INDEX(IF(SD!$C$11="Create",Lap!$A$3:$BF$14,IF(SD!$C$11="Per Uploaded File",Lap!$A$19:$BF$30,"")),MATCH(W47,Lap!$A$3:$A$14,0),MATCH(VALUE(D47),Lap!$A$3:$BF$3,0)+IF(IFERROR(FIND("Grade 60",J47),0)&gt;0,0,IF(IFERROR(FIND("Grade 80",J47),0),1,IF(IFERROR(FIND("Grade 75",J47),0),2,"")))),""),Data!J47)</f>
        <v>5-1</v>
      </c>
      <c r="W47" t="s">
        <v>166</v>
      </c>
      <c r="X47">
        <v>6</v>
      </c>
      <c r="Y47" t="str">
        <f t="shared" si="1"/>
        <v>30</v>
      </c>
      <c r="Z47">
        <f t="shared" si="2"/>
        <v>0</v>
      </c>
      <c r="DE47" t="s">
        <v>831</v>
      </c>
      <c r="DF47" t="s">
        <v>66</v>
      </c>
      <c r="DG47" t="str">
        <f>VLOOKUP(W47,'Level Wise PSI'!$F$2:$G$12,2,FALSE)</f>
        <v>Double Lift</v>
      </c>
    </row>
    <row r="48" spans="1:111" x14ac:dyDescent="0.25">
      <c r="A48">
        <v>29</v>
      </c>
      <c r="B48" t="s">
        <v>666</v>
      </c>
      <c r="C48" s="15">
        <v>2429</v>
      </c>
      <c r="D48" s="15">
        <v>10000</v>
      </c>
      <c r="E48" t="str">
        <f>IF(B48=Level!$A$2,SD!$C$14,SD!$C$13)</f>
        <v>0-8</v>
      </c>
      <c r="F48" s="15" t="s">
        <v>763</v>
      </c>
      <c r="G48" t="s">
        <v>715</v>
      </c>
      <c r="H48" t="str">
        <f>RIGHT(VLOOKUP(B48,Level!A:C,3,FALSE),LEN(VLOOKUP(B48,Level!A:C,3,FALSE))-1)</f>
        <v>10-7</v>
      </c>
      <c r="I48" t="s">
        <v>716</v>
      </c>
      <c r="J48" t="str">
        <f>IF(AND(SD!$C$19=SD!$H$2,Grade!$G$1="Per level"),VLOOKUP(B48,Grade!$E$1:$F$200,2,FALSE),IF(AND(SD!$C$19=SD!$H$2,Grade!$G$1="Per Bar Size"),VLOOKUP(W48,Grade!$B$1:$C$12,2,0),SD!$C$19))</f>
        <v>A615 Grade 60</v>
      </c>
      <c r="K48" s="15" t="s">
        <v>66</v>
      </c>
      <c r="L48" s="24" t="str">
        <f>IFERROR(IF(A48&lt;&gt;A49,"",IF(DF48="No Lap","",IF(K49="Lap",U48,IF(K49="Coupler",_xlfn._xlws.FILTER(CCoupler,(CCName=SD!$C$8)*(CBSize=IF(A47=A48,W48&amp;W49,W48&amp;W48))*(CCMFM="Male")),"")))),"N/A")</f>
        <v>5-1</v>
      </c>
      <c r="M48" t="str">
        <f t="shared" si="0"/>
        <v/>
      </c>
      <c r="N48" t="s">
        <v>692</v>
      </c>
      <c r="O48" t="s">
        <v>693</v>
      </c>
      <c r="P48" t="s">
        <v>692</v>
      </c>
      <c r="Q48" t="str">
        <f>IF(AND(SD!$C$29=SD!$P$2,Grade!$O$1="Per level"),VLOOKUP(B48,Grade!$M$1:$N$200,2,FALSE),IF(AND(SD!$C$29=SD!$P$2,Grade!$O$1="Per Bar Size"),VLOOKUP(LEFT(N48,FIND("@",N48)-2),Grade!$J$1:$K$12,2,0),SD!$C$29))</f>
        <v>A615 Grade 60</v>
      </c>
      <c r="R48" t="s">
        <v>715</v>
      </c>
      <c r="S48" s="57">
        <v>48</v>
      </c>
      <c r="U48" t="str">
        <f>IF(Data!$J48="",IFERROR(INDEX(IF(SD!$C$11="Create",Lap!$A$3:$BF$14,IF(SD!$C$11="Per Uploaded File",Lap!$A$19:$BF$30,"")),MATCH(W48,Lap!$A$3:$A$14,0),MATCH(VALUE(D48),Lap!$A$3:$BF$3,0)+IF(IFERROR(FIND("Grade 60",J48),0)&gt;0,0,IF(IFERROR(FIND("Grade 80",J48),0),1,IF(IFERROR(FIND("Grade 75",J48),0),2,"")))),""),Data!J48)</f>
        <v>5-1</v>
      </c>
      <c r="W48" t="s">
        <v>166</v>
      </c>
      <c r="X48">
        <v>6</v>
      </c>
      <c r="Y48" t="str">
        <f t="shared" si="1"/>
        <v>30</v>
      </c>
      <c r="Z48">
        <f t="shared" si="2"/>
        <v>0</v>
      </c>
      <c r="DE48" t="s">
        <v>831</v>
      </c>
      <c r="DF48" t="s">
        <v>66</v>
      </c>
      <c r="DG48" t="str">
        <f>VLOOKUP(W48,'Level Wise PSI'!$F$2:$G$12,2,FALSE)</f>
        <v>Double Lift</v>
      </c>
    </row>
    <row r="49" spans="1:111" x14ac:dyDescent="0.25">
      <c r="A49">
        <v>29</v>
      </c>
      <c r="B49" t="s">
        <v>668</v>
      </c>
      <c r="C49" s="15">
        <v>2429</v>
      </c>
      <c r="D49" s="15">
        <v>10000</v>
      </c>
      <c r="E49" t="str">
        <f>IF(B49=Level!$A$2,SD!$C$14,SD!$C$13)</f>
        <v>0-8</v>
      </c>
      <c r="F49" s="15" t="s">
        <v>763</v>
      </c>
      <c r="G49" t="s">
        <v>715</v>
      </c>
      <c r="H49" t="str">
        <f>RIGHT(VLOOKUP(B49,Level!A:C,3,FALSE),LEN(VLOOKUP(B49,Level!A:C,3,FALSE))-1)</f>
        <v>10-7</v>
      </c>
      <c r="I49" t="s">
        <v>716</v>
      </c>
      <c r="J49" t="str">
        <f>IF(AND(SD!$C$19=SD!$H$2,Grade!$G$1="Per level"),VLOOKUP(B49,Grade!$E$1:$F$200,2,FALSE),IF(AND(SD!$C$19=SD!$H$2,Grade!$G$1="Per Bar Size"),VLOOKUP(W49,Grade!$B$1:$C$12,2,0),SD!$C$19))</f>
        <v>A615 Grade 60</v>
      </c>
      <c r="K49" s="15" t="s">
        <v>66</v>
      </c>
      <c r="L49" s="24" t="str">
        <f>IFERROR(IF(A49&lt;&gt;A50,"",IF(DF49="No Lap","",IF(K50="Lap",U49,IF(K50="Coupler",_xlfn._xlws.FILTER(CCoupler,(CCName=SD!$C$8)*(CBSize=IF(A48=A49,W49&amp;W50,W49&amp;W49))*(CCMFM="Male")),"")))),"N/A")</f>
        <v>5-1</v>
      </c>
      <c r="M49" t="str">
        <f t="shared" si="0"/>
        <v/>
      </c>
      <c r="N49" t="s">
        <v>692</v>
      </c>
      <c r="O49" t="s">
        <v>693</v>
      </c>
      <c r="P49" t="s">
        <v>692</v>
      </c>
      <c r="Q49" t="str">
        <f>IF(AND(SD!$C$29=SD!$P$2,Grade!$O$1="Per level"),VLOOKUP(B49,Grade!$M$1:$N$200,2,FALSE),IF(AND(SD!$C$29=SD!$P$2,Grade!$O$1="Per Bar Size"),VLOOKUP(LEFT(N49,FIND("@",N49)-2),Grade!$J$1:$K$12,2,0),SD!$C$29))</f>
        <v>A615 Grade 60</v>
      </c>
      <c r="R49" t="s">
        <v>715</v>
      </c>
      <c r="S49" s="57">
        <v>49</v>
      </c>
      <c r="U49" t="str">
        <f>IF(Data!$J49="",IFERROR(INDEX(IF(SD!$C$11="Create",Lap!$A$3:$BF$14,IF(SD!$C$11="Per Uploaded File",Lap!$A$19:$BF$30,"")),MATCH(W49,Lap!$A$3:$A$14,0),MATCH(VALUE(D49),Lap!$A$3:$BF$3,0)+IF(IFERROR(FIND("Grade 60",J49),0)&gt;0,0,IF(IFERROR(FIND("Grade 80",J49),0),1,IF(IFERROR(FIND("Grade 75",J49),0),2,"")))),""),Data!J49)</f>
        <v>5-1</v>
      </c>
      <c r="W49" t="s">
        <v>166</v>
      </c>
      <c r="X49">
        <v>6</v>
      </c>
      <c r="Y49" t="str">
        <f t="shared" si="1"/>
        <v>30</v>
      </c>
      <c r="Z49">
        <f t="shared" si="2"/>
        <v>0</v>
      </c>
      <c r="DE49" t="s">
        <v>831</v>
      </c>
      <c r="DF49" t="s">
        <v>66</v>
      </c>
      <c r="DG49" t="str">
        <f>VLOOKUP(W49,'Level Wise PSI'!$F$2:$G$12,2,FALSE)</f>
        <v>Double Lift</v>
      </c>
    </row>
    <row r="50" spans="1:111" x14ac:dyDescent="0.25">
      <c r="A50">
        <v>29</v>
      </c>
      <c r="B50" t="s">
        <v>670</v>
      </c>
      <c r="C50" s="15">
        <v>2429</v>
      </c>
      <c r="D50" s="15">
        <v>10000</v>
      </c>
      <c r="E50" t="str">
        <f>IF(B50=Level!$A$2,SD!$C$14,SD!$C$13)</f>
        <v>0-8</v>
      </c>
      <c r="F50" s="15" t="s">
        <v>763</v>
      </c>
      <c r="G50" t="s">
        <v>715</v>
      </c>
      <c r="H50" t="str">
        <f>RIGHT(VLOOKUP(B50,Level!A:C,3,FALSE),LEN(VLOOKUP(B50,Level!A:C,3,FALSE))-1)</f>
        <v>10-7</v>
      </c>
      <c r="I50" t="s">
        <v>716</v>
      </c>
      <c r="J50" t="str">
        <f>IF(AND(SD!$C$19=SD!$H$2,Grade!$G$1="Per level"),VLOOKUP(B50,Grade!$E$1:$F$200,2,FALSE),IF(AND(SD!$C$19=SD!$H$2,Grade!$G$1="Per Bar Size"),VLOOKUP(W50,Grade!$B$1:$C$12,2,0),SD!$C$19))</f>
        <v>A615 Grade 60</v>
      </c>
      <c r="K50" s="15" t="s">
        <v>66</v>
      </c>
      <c r="L50" s="24" t="str">
        <f>IFERROR(IF(A50&lt;&gt;A51,"",IF(DF50="No Lap","",IF(K51="Lap",U50,IF(K51="Coupler",_xlfn._xlws.FILTER(CCoupler,(CCName=SD!$C$8)*(CBSize=IF(A49=A50,W50&amp;W51,W50&amp;W50))*(CCMFM="Male")),"")))),"N/A")</f>
        <v>5-1</v>
      </c>
      <c r="M50" t="str">
        <f t="shared" si="0"/>
        <v/>
      </c>
      <c r="N50" t="s">
        <v>692</v>
      </c>
      <c r="O50" t="s">
        <v>693</v>
      </c>
      <c r="P50" t="s">
        <v>692</v>
      </c>
      <c r="Q50" t="str">
        <f>IF(AND(SD!$C$29=SD!$P$2,Grade!$O$1="Per level"),VLOOKUP(B50,Grade!$M$1:$N$200,2,FALSE),IF(AND(SD!$C$29=SD!$P$2,Grade!$O$1="Per Bar Size"),VLOOKUP(LEFT(N50,FIND("@",N50)-2),Grade!$J$1:$K$12,2,0),SD!$C$29))</f>
        <v>A615 Grade 60</v>
      </c>
      <c r="R50" t="s">
        <v>715</v>
      </c>
      <c r="S50" s="57">
        <v>50</v>
      </c>
      <c r="U50" t="str">
        <f>IF(Data!$J50="",IFERROR(INDEX(IF(SD!$C$11="Create",Lap!$A$3:$BF$14,IF(SD!$C$11="Per Uploaded File",Lap!$A$19:$BF$30,"")),MATCH(W50,Lap!$A$3:$A$14,0),MATCH(VALUE(D50),Lap!$A$3:$BF$3,0)+IF(IFERROR(FIND("Grade 60",J50),0)&gt;0,0,IF(IFERROR(FIND("Grade 80",J50),0),1,IF(IFERROR(FIND("Grade 75",J50),0),2,"")))),""),Data!J50)</f>
        <v>5-1</v>
      </c>
      <c r="W50" t="s">
        <v>166</v>
      </c>
      <c r="X50">
        <v>6</v>
      </c>
      <c r="Y50" t="str">
        <f t="shared" si="1"/>
        <v>30</v>
      </c>
      <c r="Z50">
        <f t="shared" si="2"/>
        <v>0</v>
      </c>
      <c r="DE50" t="s">
        <v>831</v>
      </c>
      <c r="DF50" t="s">
        <v>66</v>
      </c>
      <c r="DG50" t="str">
        <f>VLOOKUP(W50,'Level Wise PSI'!$F$2:$G$12,2,FALSE)</f>
        <v>Double Lift</v>
      </c>
    </row>
    <row r="51" spans="1:111" x14ac:dyDescent="0.25">
      <c r="A51">
        <v>29</v>
      </c>
      <c r="B51" t="s">
        <v>672</v>
      </c>
      <c r="C51" s="15">
        <v>2429</v>
      </c>
      <c r="D51" s="15">
        <v>10000</v>
      </c>
      <c r="E51" t="str">
        <f>IF(B51=Level!$A$2,SD!$C$14,SD!$C$13)</f>
        <v>0-8</v>
      </c>
      <c r="F51" s="15" t="s">
        <v>763</v>
      </c>
      <c r="G51" t="s">
        <v>715</v>
      </c>
      <c r="H51" t="str">
        <f>RIGHT(VLOOKUP(B51,Level!A:C,3,FALSE),LEN(VLOOKUP(B51,Level!A:C,3,FALSE))-1)</f>
        <v>10-7</v>
      </c>
      <c r="I51" t="s">
        <v>716</v>
      </c>
      <c r="J51" t="str">
        <f>IF(AND(SD!$C$19=SD!$H$2,Grade!$G$1="Per level"),VLOOKUP(B51,Grade!$E$1:$F$200,2,FALSE),IF(AND(SD!$C$19=SD!$H$2,Grade!$G$1="Per Bar Size"),VLOOKUP(W51,Grade!$B$1:$C$12,2,0),SD!$C$19))</f>
        <v>A615 Grade 60</v>
      </c>
      <c r="K51" s="15" t="s">
        <v>66</v>
      </c>
      <c r="L51" s="24" t="str">
        <f>IFERROR(IF(A51&lt;&gt;A52,"",IF(DF51="No Lap","",IF(K52="Lap",U51,IF(K52="Coupler",_xlfn._xlws.FILTER(CCoupler,(CCName=SD!$C$8)*(CBSize=IF(A50=A51,W51&amp;W52,W51&amp;W51))*(CCMFM="Male")),"")))),"N/A")</f>
        <v>5-1</v>
      </c>
      <c r="M51" t="str">
        <f t="shared" si="0"/>
        <v/>
      </c>
      <c r="N51" t="s">
        <v>692</v>
      </c>
      <c r="O51" t="s">
        <v>693</v>
      </c>
      <c r="P51" t="s">
        <v>692</v>
      </c>
      <c r="Q51" t="str">
        <f>IF(AND(SD!$C$29=SD!$P$2,Grade!$O$1="Per level"),VLOOKUP(B51,Grade!$M$1:$N$200,2,FALSE),IF(AND(SD!$C$29=SD!$P$2,Grade!$O$1="Per Bar Size"),VLOOKUP(LEFT(N51,FIND("@",N51)-2),Grade!$J$1:$K$12,2,0),SD!$C$29))</f>
        <v>A615 Grade 60</v>
      </c>
      <c r="R51" t="s">
        <v>715</v>
      </c>
      <c r="S51" s="57">
        <v>51</v>
      </c>
      <c r="U51" t="str">
        <f>IF(Data!$J51="",IFERROR(INDEX(IF(SD!$C$11="Create",Lap!$A$3:$BF$14,IF(SD!$C$11="Per Uploaded File",Lap!$A$19:$BF$30,"")),MATCH(W51,Lap!$A$3:$A$14,0),MATCH(VALUE(D51),Lap!$A$3:$BF$3,0)+IF(IFERROR(FIND("Grade 60",J51),0)&gt;0,0,IF(IFERROR(FIND("Grade 80",J51),0),1,IF(IFERROR(FIND("Grade 75",J51),0),2,"")))),""),Data!J51)</f>
        <v>5-1</v>
      </c>
      <c r="W51" t="s">
        <v>166</v>
      </c>
      <c r="X51">
        <v>6</v>
      </c>
      <c r="Y51" t="str">
        <f t="shared" si="1"/>
        <v>30</v>
      </c>
      <c r="Z51">
        <f t="shared" si="2"/>
        <v>0</v>
      </c>
      <c r="DE51" t="s">
        <v>831</v>
      </c>
      <c r="DF51" t="s">
        <v>66</v>
      </c>
      <c r="DG51" t="str">
        <f>VLOOKUP(W51,'Level Wise PSI'!$F$2:$G$12,2,FALSE)</f>
        <v>Double Lift</v>
      </c>
    </row>
    <row r="52" spans="1:111" x14ac:dyDescent="0.25">
      <c r="A52">
        <v>29</v>
      </c>
      <c r="B52" t="s">
        <v>674</v>
      </c>
      <c r="C52" s="15">
        <v>2429</v>
      </c>
      <c r="D52" s="15">
        <v>10000</v>
      </c>
      <c r="E52" t="str">
        <f>IF(B52=Level!$A$2,SD!$C$14,SD!$C$13)</f>
        <v>0-8</v>
      </c>
      <c r="F52" s="15" t="s">
        <v>763</v>
      </c>
      <c r="G52" t="s">
        <v>715</v>
      </c>
      <c r="H52" t="str">
        <f>RIGHT(VLOOKUP(B52,Level!A:C,3,FALSE),LEN(VLOOKUP(B52,Level!A:C,3,FALSE))-1)</f>
        <v>10-7</v>
      </c>
      <c r="I52" t="s">
        <v>716</v>
      </c>
      <c r="J52" t="str">
        <f>IF(AND(SD!$C$19=SD!$H$2,Grade!$G$1="Per level"),VLOOKUP(B52,Grade!$E$1:$F$200,2,FALSE),IF(AND(SD!$C$19=SD!$H$2,Grade!$G$1="Per Bar Size"),VLOOKUP(W52,Grade!$B$1:$C$12,2,0),SD!$C$19))</f>
        <v>A615 Grade 60</v>
      </c>
      <c r="K52" s="15" t="s">
        <v>66</v>
      </c>
      <c r="L52" s="24" t="str">
        <f>IFERROR(IF(A52&lt;&gt;A53,"",IF(DF52="No Lap","",IF(K53="Lap",U52,IF(K53="Coupler",_xlfn._xlws.FILTER(CCoupler,(CCName=SD!$C$8)*(CBSize=IF(A51=A52,W52&amp;W53,W52&amp;W52))*(CCMFM="Male")),"")))),"N/A")</f>
        <v>5-1</v>
      </c>
      <c r="M52" t="str">
        <f t="shared" si="0"/>
        <v/>
      </c>
      <c r="N52" s="15" t="s">
        <v>692</v>
      </c>
      <c r="O52" s="15" t="s">
        <v>693</v>
      </c>
      <c r="P52" s="15" t="s">
        <v>692</v>
      </c>
      <c r="Q52" t="str">
        <f>IF(AND(SD!$C$29=SD!$P$2,Grade!$O$1="Per level"),VLOOKUP(B52,Grade!$M$1:$N$200,2,FALSE),IF(AND(SD!$C$29=SD!$P$2,Grade!$O$1="Per Bar Size"),VLOOKUP(LEFT(N52,FIND("@",N52)-2),Grade!$J$1:$K$12,2,0),SD!$C$29))</f>
        <v>A615 Grade 60</v>
      </c>
      <c r="R52" t="s">
        <v>715</v>
      </c>
      <c r="S52" s="57">
        <v>52</v>
      </c>
      <c r="U52" t="str">
        <f>IF(Data!$J52="",IFERROR(INDEX(IF(SD!$C$11="Create",Lap!$A$3:$BF$14,IF(SD!$C$11="Per Uploaded File",Lap!$A$19:$BF$30,"")),MATCH(W52,Lap!$A$3:$A$14,0),MATCH(VALUE(D52),Lap!$A$3:$BF$3,0)+IF(IFERROR(FIND("Grade 60",J52),0)&gt;0,0,IF(IFERROR(FIND("Grade 80",J52),0),1,IF(IFERROR(FIND("Grade 75",J52),0),2,"")))),""),Data!J52)</f>
        <v>5-1</v>
      </c>
      <c r="W52" t="s">
        <v>166</v>
      </c>
      <c r="X52">
        <v>6</v>
      </c>
      <c r="Y52" t="str">
        <f t="shared" si="1"/>
        <v>30</v>
      </c>
      <c r="Z52">
        <f t="shared" si="2"/>
        <v>0</v>
      </c>
      <c r="DE52" t="s">
        <v>831</v>
      </c>
      <c r="DF52" t="s">
        <v>66</v>
      </c>
      <c r="DG52" t="str">
        <f>VLOOKUP(W52,'Level Wise PSI'!$F$2:$G$12,2,FALSE)</f>
        <v>Double Lift</v>
      </c>
    </row>
    <row r="53" spans="1:111" x14ac:dyDescent="0.25">
      <c r="A53">
        <v>29</v>
      </c>
      <c r="B53" t="s">
        <v>676</v>
      </c>
      <c r="C53" s="15">
        <v>2429</v>
      </c>
      <c r="D53" s="15">
        <v>10000</v>
      </c>
      <c r="E53" t="str">
        <f>IF(B53=Level!$A$2,SD!$C$14,SD!$C$13)</f>
        <v>0-8</v>
      </c>
      <c r="F53" s="15" t="s">
        <v>763</v>
      </c>
      <c r="G53" t="s">
        <v>715</v>
      </c>
      <c r="H53" t="str">
        <f>RIGHT(VLOOKUP(B53,Level!A:C,3,FALSE),LEN(VLOOKUP(B53,Level!A:C,3,FALSE))-1)</f>
        <v>10-7</v>
      </c>
      <c r="I53" t="s">
        <v>716</v>
      </c>
      <c r="J53" t="str">
        <f>IF(AND(SD!$C$19=SD!$H$2,Grade!$G$1="Per level"),VLOOKUP(B53,Grade!$E$1:$F$200,2,FALSE),IF(AND(SD!$C$19=SD!$H$2,Grade!$G$1="Per Bar Size"),VLOOKUP(W53,Grade!$B$1:$C$12,2,0),SD!$C$19))</f>
        <v>A615 Grade 60</v>
      </c>
      <c r="K53" s="15" t="s">
        <v>66</v>
      </c>
      <c r="L53" s="24" t="str">
        <f>IFERROR(IF(A53&lt;&gt;A54,"",IF(DF53="No Lap","",IF(K54="Lap",U53,IF(K54="Coupler",_xlfn._xlws.FILTER(CCoupler,(CCName=SD!$C$8)*(CBSize=IF(A52=A53,W53&amp;W54,W53&amp;W53))*(CCMFM="Male")),"")))),"N/A")</f>
        <v>5-1</v>
      </c>
      <c r="M53" t="str">
        <f t="shared" si="0"/>
        <v/>
      </c>
      <c r="N53" t="s">
        <v>692</v>
      </c>
      <c r="O53" t="s">
        <v>693</v>
      </c>
      <c r="P53" t="s">
        <v>692</v>
      </c>
      <c r="Q53" t="str">
        <f>IF(AND(SD!$C$29=SD!$P$2,Grade!$O$1="Per level"),VLOOKUP(B53,Grade!$M$1:$N$200,2,FALSE),IF(AND(SD!$C$29=SD!$P$2,Grade!$O$1="Per Bar Size"),VLOOKUP(LEFT(N53,FIND("@",N53)-2),Grade!$J$1:$K$12,2,0),SD!$C$29))</f>
        <v>A615 Grade 60</v>
      </c>
      <c r="R53" t="s">
        <v>715</v>
      </c>
      <c r="S53" s="57">
        <v>53</v>
      </c>
      <c r="U53" t="str">
        <f>IF(Data!$J53="",IFERROR(INDEX(IF(SD!$C$11="Create",Lap!$A$3:$BF$14,IF(SD!$C$11="Per Uploaded File",Lap!$A$19:$BF$30,"")),MATCH(W53,Lap!$A$3:$A$14,0),MATCH(VALUE(D53),Lap!$A$3:$BF$3,0)+IF(IFERROR(FIND("Grade 60",J53),0)&gt;0,0,IF(IFERROR(FIND("Grade 80",J53),0),1,IF(IFERROR(FIND("Grade 75",J53),0),2,"")))),""),Data!J53)</f>
        <v>5-1</v>
      </c>
      <c r="W53" t="s">
        <v>166</v>
      </c>
      <c r="X53">
        <v>6</v>
      </c>
      <c r="Y53" t="str">
        <f t="shared" si="1"/>
        <v>30</v>
      </c>
      <c r="Z53">
        <f t="shared" si="2"/>
        <v>0</v>
      </c>
      <c r="DE53" t="s">
        <v>831</v>
      </c>
      <c r="DF53" t="s">
        <v>66</v>
      </c>
      <c r="DG53" t="str">
        <f>VLOOKUP(W53,'Level Wise PSI'!$F$2:$G$12,2,FALSE)</f>
        <v>Double Lift</v>
      </c>
    </row>
    <row r="54" spans="1:111" x14ac:dyDescent="0.25">
      <c r="A54">
        <v>29</v>
      </c>
      <c r="B54" t="s">
        <v>678</v>
      </c>
      <c r="C54" s="15">
        <v>2429</v>
      </c>
      <c r="D54" s="15">
        <v>10000</v>
      </c>
      <c r="E54" t="str">
        <f>IF(B54=Level!$A$2,SD!$C$14,SD!$C$13)</f>
        <v>0-8</v>
      </c>
      <c r="F54" s="15" t="s">
        <v>763</v>
      </c>
      <c r="G54" t="s">
        <v>715</v>
      </c>
      <c r="H54" t="str">
        <f>RIGHT(VLOOKUP(B54,Level!A:C,3,FALSE),LEN(VLOOKUP(B54,Level!A:C,3,FALSE))-1)</f>
        <v>10-7</v>
      </c>
      <c r="I54" t="s">
        <v>716</v>
      </c>
      <c r="J54" t="str">
        <f>IF(AND(SD!$C$19=SD!$H$2,Grade!$G$1="Per level"),VLOOKUP(B54,Grade!$E$1:$F$200,2,FALSE),IF(AND(SD!$C$19=SD!$H$2,Grade!$G$1="Per Bar Size"),VLOOKUP(W54,Grade!$B$1:$C$12,2,0),SD!$C$19))</f>
        <v>A615 Grade 60</v>
      </c>
      <c r="K54" s="15" t="s">
        <v>66</v>
      </c>
      <c r="L54" s="24" t="str">
        <f>IFERROR(IF(A54&lt;&gt;A55,"",IF(DF54="No Lap","",IF(K55="Lap",U54,IF(K55="Coupler",_xlfn._xlws.FILTER(CCoupler,(CCName=SD!$C$8)*(CBSize=IF(A53=A54,W54&amp;W55,W54&amp;W54))*(CCMFM="Male")),"")))),"N/A")</f>
        <v>5-1</v>
      </c>
      <c r="M54" t="str">
        <f t="shared" si="0"/>
        <v/>
      </c>
      <c r="N54" t="s">
        <v>692</v>
      </c>
      <c r="O54" t="s">
        <v>693</v>
      </c>
      <c r="P54" t="s">
        <v>692</v>
      </c>
      <c r="Q54" t="str">
        <f>IF(AND(SD!$C$29=SD!$P$2,Grade!$O$1="Per level"),VLOOKUP(B54,Grade!$M$1:$N$200,2,FALSE),IF(AND(SD!$C$29=SD!$P$2,Grade!$O$1="Per Bar Size"),VLOOKUP(LEFT(N54,FIND("@",N54)-2),Grade!$J$1:$K$12,2,0),SD!$C$29))</f>
        <v>A615 Grade 60</v>
      </c>
      <c r="R54" t="s">
        <v>715</v>
      </c>
      <c r="S54" s="57">
        <v>54</v>
      </c>
      <c r="U54" t="str">
        <f>IF(Data!$J54="",IFERROR(INDEX(IF(SD!$C$11="Create",Lap!$A$3:$BF$14,IF(SD!$C$11="Per Uploaded File",Lap!$A$19:$BF$30,"")),MATCH(W54,Lap!$A$3:$A$14,0),MATCH(VALUE(D54),Lap!$A$3:$BF$3,0)+IF(IFERROR(FIND("Grade 60",J54),0)&gt;0,0,IF(IFERROR(FIND("Grade 80",J54),0),1,IF(IFERROR(FIND("Grade 75",J54),0),2,"")))),""),Data!J54)</f>
        <v>5-1</v>
      </c>
      <c r="W54" t="s">
        <v>166</v>
      </c>
      <c r="X54">
        <v>6</v>
      </c>
      <c r="Y54" t="str">
        <f t="shared" si="1"/>
        <v>30</v>
      </c>
      <c r="Z54">
        <f t="shared" si="2"/>
        <v>0</v>
      </c>
      <c r="DE54" t="s">
        <v>831</v>
      </c>
      <c r="DF54" t="s">
        <v>66</v>
      </c>
      <c r="DG54" t="str">
        <f>VLOOKUP(W54,'Level Wise PSI'!$F$2:$G$12,2,FALSE)</f>
        <v>Double Lift</v>
      </c>
    </row>
    <row r="55" spans="1:111" x14ac:dyDescent="0.25">
      <c r="A55">
        <v>29</v>
      </c>
      <c r="B55" t="s">
        <v>680</v>
      </c>
      <c r="C55" s="15">
        <v>2429</v>
      </c>
      <c r="D55" s="15">
        <v>10000</v>
      </c>
      <c r="E55" t="str">
        <f>IF(B55=Level!$A$2,SD!$C$14,SD!$C$13)</f>
        <v>0-8</v>
      </c>
      <c r="F55" s="15" t="s">
        <v>763</v>
      </c>
      <c r="G55" t="s">
        <v>715</v>
      </c>
      <c r="H55" t="str">
        <f>RIGHT(VLOOKUP(B55,Level!A:C,3,FALSE),LEN(VLOOKUP(B55,Level!A:C,3,FALSE))-1)</f>
        <v>10-7</v>
      </c>
      <c r="I55" t="s">
        <v>716</v>
      </c>
      <c r="J55" t="str">
        <f>IF(AND(SD!$C$19=SD!$H$2,Grade!$G$1="Per level"),VLOOKUP(B55,Grade!$E$1:$F$200,2,FALSE),IF(AND(SD!$C$19=SD!$H$2,Grade!$G$1="Per Bar Size"),VLOOKUP(W55,Grade!$B$1:$C$12,2,0),SD!$C$19))</f>
        <v>A615 Grade 60</v>
      </c>
      <c r="K55" s="15" t="s">
        <v>66</v>
      </c>
      <c r="L55" s="24" t="str">
        <f>IFERROR(IF(A55&lt;&gt;A56,"",IF(DF55="No Lap","",IF(K56="Lap",U55,IF(K56="Coupler",_xlfn._xlws.FILTER(CCoupler,(CCName=SD!$C$8)*(CBSize=IF(A54=A55,W55&amp;W56,W55&amp;W55))*(CCMFM="Male")),"")))),"N/A")</f>
        <v>5-1</v>
      </c>
      <c r="M55" t="str">
        <f t="shared" si="0"/>
        <v/>
      </c>
      <c r="N55" t="s">
        <v>692</v>
      </c>
      <c r="O55" t="s">
        <v>693</v>
      </c>
      <c r="P55" t="s">
        <v>692</v>
      </c>
      <c r="Q55" t="str">
        <f>IF(AND(SD!$C$29=SD!$P$2,Grade!$O$1="Per level"),VLOOKUP(B55,Grade!$M$1:$N$200,2,FALSE),IF(AND(SD!$C$29=SD!$P$2,Grade!$O$1="Per Bar Size"),VLOOKUP(LEFT(N55,FIND("@",N55)-2),Grade!$J$1:$K$12,2,0),SD!$C$29))</f>
        <v>A615 Grade 60</v>
      </c>
      <c r="R55" t="s">
        <v>715</v>
      </c>
      <c r="S55" s="57">
        <v>55</v>
      </c>
      <c r="U55" t="str">
        <f>IF(Data!$J55="",IFERROR(INDEX(IF(SD!$C$11="Create",Lap!$A$3:$BF$14,IF(SD!$C$11="Per Uploaded File",Lap!$A$19:$BF$30,"")),MATCH(W55,Lap!$A$3:$A$14,0),MATCH(VALUE(D55),Lap!$A$3:$BF$3,0)+IF(IFERROR(FIND("Grade 60",J55),0)&gt;0,0,IF(IFERROR(FIND("Grade 80",J55),0),1,IF(IFERROR(FIND("Grade 75",J55),0),2,"")))),""),Data!J55)</f>
        <v>5-1</v>
      </c>
      <c r="W55" t="s">
        <v>166</v>
      </c>
      <c r="X55">
        <v>6</v>
      </c>
      <c r="Y55" t="str">
        <f t="shared" si="1"/>
        <v>30</v>
      </c>
      <c r="Z55">
        <f t="shared" si="2"/>
        <v>0</v>
      </c>
      <c r="DE55" t="s">
        <v>831</v>
      </c>
      <c r="DF55" t="s">
        <v>66</v>
      </c>
      <c r="DG55" t="str">
        <f>VLOOKUP(W55,'Level Wise PSI'!$F$2:$G$12,2,FALSE)</f>
        <v>Double Lift</v>
      </c>
    </row>
    <row r="56" spans="1:111" x14ac:dyDescent="0.25">
      <c r="A56">
        <v>29</v>
      </c>
      <c r="B56" t="s">
        <v>682</v>
      </c>
      <c r="C56" s="15">
        <v>2429</v>
      </c>
      <c r="D56" s="15">
        <v>10000</v>
      </c>
      <c r="E56" t="str">
        <f>IF(B56=Level!$A$2,SD!$C$14,SD!$C$13)</f>
        <v>0-8</v>
      </c>
      <c r="F56" s="15" t="s">
        <v>763</v>
      </c>
      <c r="G56" t="s">
        <v>715</v>
      </c>
      <c r="H56" t="str">
        <f>RIGHT(VLOOKUP(B56,Level!A:C,3,FALSE),LEN(VLOOKUP(B56,Level!A:C,3,FALSE))-1)</f>
        <v>10-7</v>
      </c>
      <c r="I56" t="s">
        <v>717</v>
      </c>
      <c r="J56" t="str">
        <f>IF(AND(SD!$C$19=SD!$H$2,Grade!$G$1="Per level"),VLOOKUP(B56,Grade!$E$1:$F$200,2,FALSE),IF(AND(SD!$C$19=SD!$H$2,Grade!$G$1="Per Bar Size"),VLOOKUP(W56,Grade!$B$1:$C$12,2,0),SD!$C$19))</f>
        <v>A615 Grade 60</v>
      </c>
      <c r="K56" t="s">
        <v>66</v>
      </c>
      <c r="L56" s="24" t="str">
        <f>IFERROR(IF(A56&lt;&gt;A57,"",IF(DF56="No Lap","",IF(K57="Lap",U56,IF(K57="Coupler",_xlfn._xlws.FILTER(CCoupler,(CCName=SD!$C$8)*(CBSize=IF(A55=A56,W56&amp;W57,W56&amp;W56))*(CCMFM="Male")),"")))),"N/A")</f>
        <v/>
      </c>
      <c r="M56" t="str">
        <f t="shared" si="0"/>
        <v/>
      </c>
      <c r="N56" t="s">
        <v>692</v>
      </c>
      <c r="O56" t="s">
        <v>693</v>
      </c>
      <c r="P56" t="s">
        <v>692</v>
      </c>
      <c r="Q56" t="str">
        <f>IF(AND(SD!$C$29=SD!$P$2,Grade!$O$1="Per level"),VLOOKUP(B56,Grade!$M$1:$N$200,2,FALSE),IF(AND(SD!$C$29=SD!$P$2,Grade!$O$1="Per Bar Size"),VLOOKUP(LEFT(N56,FIND("@",N56)-2),Grade!$J$1:$K$12,2,0),SD!$C$29))</f>
        <v>A615 Grade 60</v>
      </c>
      <c r="R56" t="s">
        <v>715</v>
      </c>
      <c r="S56" s="57">
        <v>56</v>
      </c>
      <c r="U56" t="str">
        <f>IF(Data!$J56="",IFERROR(INDEX(IF(SD!$C$11="Create",Lap!$A$3:$BF$14,IF(SD!$C$11="Per Uploaded File",Lap!$A$19:$BF$30,"")),MATCH(W56,Lap!$A$3:$A$14,0),MATCH(VALUE(D56),Lap!$A$3:$BF$3,0)+IF(IFERROR(FIND("Grade 60",J56),0)&gt;0,0,IF(IFERROR(FIND("Grade 80",J56),0),1,IF(IFERROR(FIND("Grade 75",J56),0),2,"")))),""),Data!J56)</f>
        <v>4-0</v>
      </c>
      <c r="W56" t="s">
        <v>142</v>
      </c>
      <c r="X56">
        <v>10</v>
      </c>
      <c r="Y56" t="str">
        <f t="shared" si="1"/>
        <v>30</v>
      </c>
      <c r="Z56">
        <f t="shared" si="2"/>
        <v>0</v>
      </c>
      <c r="DE56" t="s">
        <v>831</v>
      </c>
      <c r="DF56" t="s">
        <v>66</v>
      </c>
      <c r="DG56" t="str">
        <f>VLOOKUP(W56,'Level Wise PSI'!$F$2:$G$12,2,FALSE)</f>
        <v>Double Lift</v>
      </c>
    </row>
    <row r="57" spans="1:111" x14ac:dyDescent="0.25">
      <c r="A57">
        <v>3</v>
      </c>
      <c r="B57" t="s">
        <v>658</v>
      </c>
      <c r="C57" s="15">
        <v>2429</v>
      </c>
      <c r="D57" s="15">
        <v>10000</v>
      </c>
      <c r="E57" t="str">
        <f>IF(B57=Level!$A$2,SD!$C$14,SD!$C$13)</f>
        <v>3-0</v>
      </c>
      <c r="F57" s="15" t="s">
        <v>763</v>
      </c>
      <c r="G57" t="s">
        <v>695</v>
      </c>
      <c r="H57" s="15" t="s">
        <v>759</v>
      </c>
      <c r="I57" t="s">
        <v>696</v>
      </c>
      <c r="J57" t="str">
        <f>IF(AND(SD!$C$19=SD!$H$2,Grade!$G$1="Per level"),VLOOKUP(B57,Grade!$E$1:$F$200,2,FALSE),IF(AND(SD!$C$19=SD!$H$2,Grade!$G$1="Per Bar Size"),VLOOKUP(W57,Grade!$B$1:$C$12,2,0),SD!$C$19))</f>
        <v>A615 Grade 60</v>
      </c>
      <c r="K57" t="s">
        <v>66</v>
      </c>
      <c r="L57" s="24" t="str">
        <f>IFERROR(IF(A57&lt;&gt;A58,"",IF(DF57="No Lap","",IF(K58="Lap",U57,IF(K58="Coupler",_xlfn._xlws.FILTER(CCoupler,(CCName=SD!$C$8)*(CBSize=IF(A56=A57,W57&amp;W58,W57&amp;W57))*(CCMFM="Male")),"")))),"N/A")</f>
        <v/>
      </c>
      <c r="M57" t="str">
        <f t="shared" si="0"/>
        <v/>
      </c>
      <c r="N57" t="s">
        <v>692</v>
      </c>
      <c r="O57" t="s">
        <v>697</v>
      </c>
      <c r="P57" t="s">
        <v>692</v>
      </c>
      <c r="Q57" t="str">
        <f>IF(AND(SD!$C$29=SD!$P$2,Grade!$O$1="Per level"),VLOOKUP(B57,Grade!$M$1:$N$200,2,FALSE),IF(AND(SD!$C$29=SD!$P$2,Grade!$O$1="Per Bar Size"),VLOOKUP(LEFT(N57,FIND("@",N57)-2),Grade!$J$1:$K$12,2,0),SD!$C$29))</f>
        <v>A615 Grade 60</v>
      </c>
      <c r="R57" t="s">
        <v>698</v>
      </c>
      <c r="S57" s="57">
        <v>57</v>
      </c>
      <c r="U57" t="str">
        <f>IF(Data!$J57="",IFERROR(INDEX(IF(SD!$C$11="Create",Lap!$A$3:$BF$14,IF(SD!$C$11="Per Uploaded File",Lap!$A$19:$BF$30,"")),MATCH(W57,Lap!$A$3:$A$14,0),MATCH(VALUE(D57),Lap!$A$3:$BF$3,0)+IF(IFERROR(FIND("Grade 60",J57),0)&gt;0,0,IF(IFERROR(FIND("Grade 80",J57),0),1,IF(IFERROR(FIND("Grade 75",J57),0),2,"")))),""),Data!J57)</f>
        <v>3-6</v>
      </c>
      <c r="W57" t="s">
        <v>129</v>
      </c>
      <c r="X57">
        <v>6</v>
      </c>
      <c r="Y57" t="str">
        <f t="shared" si="1"/>
        <v xml:space="preserve">8 </v>
      </c>
      <c r="Z57" t="str">
        <f t="shared" si="2"/>
        <v xml:space="preserve"> 36</v>
      </c>
      <c r="DE57" t="s">
        <v>695</v>
      </c>
      <c r="DF57" t="s">
        <v>66</v>
      </c>
      <c r="DG57" t="str">
        <f>VLOOKUP(W57,'Level Wise PSI'!$F$2:$G$12,2,FALSE)</f>
        <v>Double Lift</v>
      </c>
    </row>
    <row r="58" spans="1:111" x14ac:dyDescent="0.25">
      <c r="A58">
        <v>30</v>
      </c>
      <c r="B58" t="s">
        <v>658</v>
      </c>
      <c r="C58" s="15">
        <v>2429</v>
      </c>
      <c r="D58" s="15">
        <v>10000</v>
      </c>
      <c r="E58" s="15" t="s">
        <v>742</v>
      </c>
      <c r="F58" s="15" t="s">
        <v>763</v>
      </c>
      <c r="G58" t="s">
        <v>699</v>
      </c>
      <c r="H58" s="15" t="s">
        <v>760</v>
      </c>
      <c r="I58" t="s">
        <v>712</v>
      </c>
      <c r="J58" t="str">
        <f>IF(AND(SD!$C$19=SD!$H$2,Grade!$G$1="Per level"),VLOOKUP(B58,Grade!$E$1:$F$200,2,FALSE),IF(AND(SD!$C$19=SD!$H$2,Grade!$G$1="Per Bar Size"),VLOOKUP(W58,Grade!$B$1:$C$12,2,0),SD!$C$19))</f>
        <v>A615 Grade 60</v>
      </c>
      <c r="K58" t="s">
        <v>66</v>
      </c>
      <c r="L58" s="24" t="str">
        <f>IFERROR(IF(A58&lt;&gt;A59,"",IF(DF58="No Lap","",IF(K59="Lap",U58,IF(K59="Coupler",_xlfn._xlws.FILTER(CCoupler,(CCName=SD!$C$8)*(CBSize=IF(A57=A58,W58&amp;W59,W58&amp;W58))*(CCMFM="Male")),"")))),"N/A")</f>
        <v>5-1</v>
      </c>
      <c r="M58" t="str">
        <f t="shared" si="0"/>
        <v/>
      </c>
      <c r="N58" t="s">
        <v>692</v>
      </c>
      <c r="O58" t="s">
        <v>693</v>
      </c>
      <c r="P58" t="s">
        <v>692</v>
      </c>
      <c r="Q58" t="str">
        <f>IF(AND(SD!$C$29=SD!$P$2,Grade!$O$1="Per level"),VLOOKUP(B58,Grade!$M$1:$N$200,2,FALSE),IF(AND(SD!$C$29=SD!$P$2,Grade!$O$1="Per Bar Size"),VLOOKUP(LEFT(N58,FIND("@",N58)-2),Grade!$J$1:$K$12,2,0),SD!$C$29))</f>
        <v>A615 Grade 60</v>
      </c>
      <c r="R58" t="s">
        <v>709</v>
      </c>
      <c r="S58" s="57">
        <v>58</v>
      </c>
      <c r="U58" t="str">
        <f>IF(Data!$J58="",IFERROR(INDEX(IF(SD!$C$11="Create",Lap!$A$3:$BF$14,IF(SD!$C$11="Per Uploaded File",Lap!$A$19:$BF$30,"")),MATCH(W58,Lap!$A$3:$A$14,0),MATCH(VALUE(D58),Lap!$A$3:$BF$3,0)+IF(IFERROR(FIND("Grade 60",J58),0)&gt;0,0,IF(IFERROR(FIND("Grade 80",J58),0),1,IF(IFERROR(FIND("Grade 75",J58),0),2,"")))),""),Data!J58)</f>
        <v>5-1</v>
      </c>
      <c r="W58" t="s">
        <v>166</v>
      </c>
      <c r="X58">
        <v>8</v>
      </c>
      <c r="Y58" t="str">
        <f t="shared" si="1"/>
        <v xml:space="preserve">24 </v>
      </c>
      <c r="Z58" t="str">
        <f t="shared" si="2"/>
        <v xml:space="preserve"> 36</v>
      </c>
      <c r="DE58" t="s">
        <v>831</v>
      </c>
      <c r="DF58" t="s">
        <v>66</v>
      </c>
      <c r="DG58" t="str">
        <f>VLOOKUP(W58,'Level Wise PSI'!$F$2:$G$12,2,FALSE)</f>
        <v>Double Lift</v>
      </c>
    </row>
    <row r="59" spans="1:111" x14ac:dyDescent="0.25">
      <c r="A59">
        <v>30</v>
      </c>
      <c r="B59" t="s">
        <v>661</v>
      </c>
      <c r="C59" s="15">
        <v>2429</v>
      </c>
      <c r="D59" s="15">
        <v>10000</v>
      </c>
      <c r="E59" t="str">
        <f>IF(B59=Level!$A$2,SD!$C$14,SD!$C$13)</f>
        <v>0-8</v>
      </c>
      <c r="F59" s="15" t="s">
        <v>763</v>
      </c>
      <c r="G59" t="s">
        <v>721</v>
      </c>
      <c r="H59" t="str">
        <f>RIGHT(VLOOKUP(B59,Level!A:C,3,FALSE),LEN(VLOOKUP(B59,Level!A:C,3,FALSE))-1)</f>
        <v>10-7</v>
      </c>
      <c r="I59" t="s">
        <v>712</v>
      </c>
      <c r="J59" t="str">
        <f>IF(AND(SD!$C$19=SD!$H$2,Grade!$G$1="Per level"),VLOOKUP(B59,Grade!$E$1:$F$200,2,FALSE),IF(AND(SD!$C$19=SD!$H$2,Grade!$G$1="Per Bar Size"),VLOOKUP(W59,Grade!$B$1:$C$12,2,0),SD!$C$19))</f>
        <v>A615 Grade 60</v>
      </c>
      <c r="K59" t="s">
        <v>66</v>
      </c>
      <c r="L59" s="24" t="str">
        <f>IFERROR(IF(A59&lt;&gt;A60,"",IF(DF59="No Lap","",IF(K60="Lap",U59,IF(K60="Coupler",_xlfn._xlws.FILTER(CCoupler,(CCName=SD!$C$8)*(CBSize=IF(A58=A59,W59&amp;W60,W59&amp;W59))*(CCMFM="Male")),"")))),"N/A")</f>
        <v>5-1</v>
      </c>
      <c r="M59" t="str">
        <f t="shared" si="0"/>
        <v/>
      </c>
      <c r="N59" t="s">
        <v>692</v>
      </c>
      <c r="O59" t="s">
        <v>693</v>
      </c>
      <c r="P59" t="s">
        <v>692</v>
      </c>
      <c r="Q59" t="str">
        <f>IF(AND(SD!$C$29=SD!$P$2,Grade!$O$1="Per level"),VLOOKUP(B59,Grade!$M$1:$N$200,2,FALSE),IF(AND(SD!$C$29=SD!$P$2,Grade!$O$1="Per Bar Size"),VLOOKUP(LEFT(N59,FIND("@",N59)-2),Grade!$J$1:$K$12,2,0),SD!$C$29))</f>
        <v>A615 Grade 60</v>
      </c>
      <c r="R59" t="s">
        <v>709</v>
      </c>
      <c r="S59" s="57">
        <v>59</v>
      </c>
      <c r="U59" t="str">
        <f>IF(Data!$J59="",IFERROR(INDEX(IF(SD!$C$11="Create",Lap!$A$3:$BF$14,IF(SD!$C$11="Per Uploaded File",Lap!$A$19:$BF$30,"")),MATCH(W59,Lap!$A$3:$A$14,0),MATCH(VALUE(D59),Lap!$A$3:$BF$3,0)+IF(IFERROR(FIND("Grade 60",J59),0)&gt;0,0,IF(IFERROR(FIND("Grade 80",J59),0),1,IF(IFERROR(FIND("Grade 75",J59),0),2,"")))),""),Data!J59)</f>
        <v>5-1</v>
      </c>
      <c r="W59" t="s">
        <v>166</v>
      </c>
      <c r="X59">
        <v>8</v>
      </c>
      <c r="Y59" t="str">
        <f t="shared" si="1"/>
        <v xml:space="preserve">20 </v>
      </c>
      <c r="Z59" t="str">
        <f t="shared" si="2"/>
        <v xml:space="preserve"> 36</v>
      </c>
      <c r="DE59" t="s">
        <v>831</v>
      </c>
      <c r="DF59" t="s">
        <v>66</v>
      </c>
      <c r="DG59" t="str">
        <f>VLOOKUP(W59,'Level Wise PSI'!$F$2:$G$12,2,FALSE)</f>
        <v>Double Lift</v>
      </c>
    </row>
    <row r="60" spans="1:111" x14ac:dyDescent="0.25">
      <c r="A60">
        <v>30</v>
      </c>
      <c r="B60" t="s">
        <v>664</v>
      </c>
      <c r="C60" s="15">
        <v>2429</v>
      </c>
      <c r="D60" s="15">
        <v>10000</v>
      </c>
      <c r="E60" t="str">
        <f>IF(B60=Level!$A$2,SD!$C$14,SD!$C$13)</f>
        <v>0-8</v>
      </c>
      <c r="F60" s="15" t="s">
        <v>763</v>
      </c>
      <c r="G60" t="s">
        <v>721</v>
      </c>
      <c r="H60" t="str">
        <f>RIGHT(VLOOKUP(B60,Level!A:C,3,FALSE),LEN(VLOOKUP(B60,Level!A:C,3,FALSE))-1)</f>
        <v>10-7</v>
      </c>
      <c r="I60" t="s">
        <v>712</v>
      </c>
      <c r="J60" t="str">
        <f>IF(AND(SD!$C$19=SD!$H$2,Grade!$G$1="Per level"),VLOOKUP(B60,Grade!$E$1:$F$200,2,FALSE),IF(AND(SD!$C$19=SD!$H$2,Grade!$G$1="Per Bar Size"),VLOOKUP(W60,Grade!$B$1:$C$12,2,0),SD!$C$19))</f>
        <v>A615 Grade 60</v>
      </c>
      <c r="K60" t="s">
        <v>66</v>
      </c>
      <c r="L60" s="24" t="str">
        <f>IFERROR(IF(A60&lt;&gt;A61,"",IF(DF60="No Lap","",IF(K61="Lap",U60,IF(K61="Coupler",_xlfn._xlws.FILTER(CCoupler,(CCName=SD!$C$8)*(CBSize=IF(A59=A60,W60&amp;W61,W60&amp;W60))*(CCMFM="Male")),"")))),"N/A")</f>
        <v>5-1</v>
      </c>
      <c r="M60" t="str">
        <f t="shared" si="0"/>
        <v/>
      </c>
      <c r="N60" t="s">
        <v>692</v>
      </c>
      <c r="O60" t="s">
        <v>693</v>
      </c>
      <c r="P60" t="s">
        <v>692</v>
      </c>
      <c r="Q60" t="str">
        <f>IF(AND(SD!$C$29=SD!$P$2,Grade!$O$1="Per level"),VLOOKUP(B60,Grade!$M$1:$N$200,2,FALSE),IF(AND(SD!$C$29=SD!$P$2,Grade!$O$1="Per Bar Size"),VLOOKUP(LEFT(N60,FIND("@",N60)-2),Grade!$J$1:$K$12,2,0),SD!$C$29))</f>
        <v>A615 Grade 60</v>
      </c>
      <c r="R60" t="s">
        <v>709</v>
      </c>
      <c r="S60" s="57">
        <v>60</v>
      </c>
      <c r="U60" t="str">
        <f>IF(Data!$J60="",IFERROR(INDEX(IF(SD!$C$11="Create",Lap!$A$3:$BF$14,IF(SD!$C$11="Per Uploaded File",Lap!$A$19:$BF$30,"")),MATCH(W60,Lap!$A$3:$A$14,0),MATCH(VALUE(D60),Lap!$A$3:$BF$3,0)+IF(IFERROR(FIND("Grade 60",J60),0)&gt;0,0,IF(IFERROR(FIND("Grade 80",J60),0),1,IF(IFERROR(FIND("Grade 75",J60),0),2,"")))),""),Data!J60)</f>
        <v>5-1</v>
      </c>
      <c r="W60" t="s">
        <v>166</v>
      </c>
      <c r="X60">
        <v>8</v>
      </c>
      <c r="Y60" t="str">
        <f t="shared" si="1"/>
        <v xml:space="preserve">20 </v>
      </c>
      <c r="Z60" t="str">
        <f t="shared" si="2"/>
        <v xml:space="preserve"> 36</v>
      </c>
      <c r="DE60" t="s">
        <v>831</v>
      </c>
      <c r="DF60" t="s">
        <v>66</v>
      </c>
      <c r="DG60" t="str">
        <f>VLOOKUP(W60,'Level Wise PSI'!$F$2:$G$12,2,FALSE)</f>
        <v>Double Lift</v>
      </c>
    </row>
    <row r="61" spans="1:111" x14ac:dyDescent="0.25">
      <c r="A61">
        <v>30</v>
      </c>
      <c r="B61" t="s">
        <v>666</v>
      </c>
      <c r="C61" s="15">
        <v>2429</v>
      </c>
      <c r="D61" s="15">
        <v>10000</v>
      </c>
      <c r="E61" t="str">
        <f>IF(B61=Level!$A$2,SD!$C$14,SD!$C$13)</f>
        <v>0-8</v>
      </c>
      <c r="F61" s="15" t="s">
        <v>763</v>
      </c>
      <c r="G61" t="s">
        <v>721</v>
      </c>
      <c r="H61" t="str">
        <f>RIGHT(VLOOKUP(B61,Level!A:C,3,FALSE),LEN(VLOOKUP(B61,Level!A:C,3,FALSE))-1)</f>
        <v>10-7</v>
      </c>
      <c r="I61" t="s">
        <v>712</v>
      </c>
      <c r="J61" t="str">
        <f>IF(AND(SD!$C$19=SD!$H$2,Grade!$G$1="Per level"),VLOOKUP(B61,Grade!$E$1:$F$200,2,FALSE),IF(AND(SD!$C$19=SD!$H$2,Grade!$G$1="Per Bar Size"),VLOOKUP(W61,Grade!$B$1:$C$12,2,0),SD!$C$19))</f>
        <v>A615 Grade 60</v>
      </c>
      <c r="K61" t="s">
        <v>66</v>
      </c>
      <c r="L61" s="24" t="str">
        <f>IFERROR(IF(A61&lt;&gt;A62,"",IF(DF61="No Lap","",IF(K62="Lap",U61,IF(K62="Coupler",_xlfn._xlws.FILTER(CCoupler,(CCName=SD!$C$8)*(CBSize=IF(A60=A61,W61&amp;W62,W61&amp;W61))*(CCMFM="Male")),"")))),"N/A")</f>
        <v>5-1</v>
      </c>
      <c r="M61" t="str">
        <f t="shared" si="0"/>
        <v/>
      </c>
      <c r="N61" t="s">
        <v>692</v>
      </c>
      <c r="O61" t="s">
        <v>693</v>
      </c>
      <c r="P61" t="s">
        <v>692</v>
      </c>
      <c r="Q61" t="str">
        <f>IF(AND(SD!$C$29=SD!$P$2,Grade!$O$1="Per level"),VLOOKUP(B61,Grade!$M$1:$N$200,2,FALSE),IF(AND(SD!$C$29=SD!$P$2,Grade!$O$1="Per Bar Size"),VLOOKUP(LEFT(N61,FIND("@",N61)-2),Grade!$J$1:$K$12,2,0),SD!$C$29))</f>
        <v>A615 Grade 60</v>
      </c>
      <c r="R61" t="s">
        <v>709</v>
      </c>
      <c r="S61" s="57">
        <v>61</v>
      </c>
      <c r="U61" t="str">
        <f>IF(Data!$J61="",IFERROR(INDEX(IF(SD!$C$11="Create",Lap!$A$3:$BF$14,IF(SD!$C$11="Per Uploaded File",Lap!$A$19:$BF$30,"")),MATCH(W61,Lap!$A$3:$A$14,0),MATCH(VALUE(D61),Lap!$A$3:$BF$3,0)+IF(IFERROR(FIND("Grade 60",J61),0)&gt;0,0,IF(IFERROR(FIND("Grade 80",J61),0),1,IF(IFERROR(FIND("Grade 75",J61),0),2,"")))),""),Data!J61)</f>
        <v>5-1</v>
      </c>
      <c r="W61" t="s">
        <v>166</v>
      </c>
      <c r="X61">
        <v>8</v>
      </c>
      <c r="Y61" t="str">
        <f t="shared" si="1"/>
        <v xml:space="preserve">20 </v>
      </c>
      <c r="Z61" t="str">
        <f t="shared" si="2"/>
        <v xml:space="preserve"> 36</v>
      </c>
      <c r="DE61" t="s">
        <v>831</v>
      </c>
      <c r="DF61" t="s">
        <v>66</v>
      </c>
      <c r="DG61" t="str">
        <f>VLOOKUP(W61,'Level Wise PSI'!$F$2:$G$12,2,FALSE)</f>
        <v>Double Lift</v>
      </c>
    </row>
    <row r="62" spans="1:111" x14ac:dyDescent="0.25">
      <c r="A62">
        <v>30</v>
      </c>
      <c r="B62" t="s">
        <v>668</v>
      </c>
      <c r="C62" s="15">
        <v>2429</v>
      </c>
      <c r="D62" s="15">
        <v>10000</v>
      </c>
      <c r="E62" t="str">
        <f>IF(B62=Level!$A$2,SD!$C$14,SD!$C$13)</f>
        <v>0-8</v>
      </c>
      <c r="F62" s="15" t="s">
        <v>763</v>
      </c>
      <c r="G62" t="s">
        <v>721</v>
      </c>
      <c r="H62" t="str">
        <f>RIGHT(VLOOKUP(B62,Level!A:C,3,FALSE),LEN(VLOOKUP(B62,Level!A:C,3,FALSE))-1)</f>
        <v>10-7</v>
      </c>
      <c r="I62" t="s">
        <v>712</v>
      </c>
      <c r="J62" t="str">
        <f>IF(AND(SD!$C$19=SD!$H$2,Grade!$G$1="Per level"),VLOOKUP(B62,Grade!$E$1:$F$200,2,FALSE),IF(AND(SD!$C$19=SD!$H$2,Grade!$G$1="Per Bar Size"),VLOOKUP(W62,Grade!$B$1:$C$12,2,0),SD!$C$19))</f>
        <v>A615 Grade 60</v>
      </c>
      <c r="K62" t="s">
        <v>66</v>
      </c>
      <c r="L62" s="24" t="str">
        <f>IFERROR(IF(A62&lt;&gt;A63,"",IF(DF62="No Lap","",IF(K63="Lap",U62,IF(K63="Coupler",_xlfn._xlws.FILTER(CCoupler,(CCName=SD!$C$8)*(CBSize=IF(A61=A62,W62&amp;W63,W62&amp;W62))*(CCMFM="Male")),"")))),"N/A")</f>
        <v>5-1</v>
      </c>
      <c r="M62" t="str">
        <f t="shared" si="0"/>
        <v/>
      </c>
      <c r="N62" t="s">
        <v>692</v>
      </c>
      <c r="O62" t="s">
        <v>693</v>
      </c>
      <c r="P62" t="s">
        <v>692</v>
      </c>
      <c r="Q62" t="str">
        <f>IF(AND(SD!$C$29=SD!$P$2,Grade!$O$1="Per level"),VLOOKUP(B62,Grade!$M$1:$N$200,2,FALSE),IF(AND(SD!$C$29=SD!$P$2,Grade!$O$1="Per Bar Size"),VLOOKUP(LEFT(N62,FIND("@",N62)-2),Grade!$J$1:$K$12,2,0),SD!$C$29))</f>
        <v>A615 Grade 60</v>
      </c>
      <c r="R62" t="s">
        <v>709</v>
      </c>
      <c r="S62" s="57">
        <v>62</v>
      </c>
      <c r="U62" t="str">
        <f>IF(Data!$J62="",IFERROR(INDEX(IF(SD!$C$11="Create",Lap!$A$3:$BF$14,IF(SD!$C$11="Per Uploaded File",Lap!$A$19:$BF$30,"")),MATCH(W62,Lap!$A$3:$A$14,0),MATCH(VALUE(D62),Lap!$A$3:$BF$3,0)+IF(IFERROR(FIND("Grade 60",J62),0)&gt;0,0,IF(IFERROR(FIND("Grade 80",J62),0),1,IF(IFERROR(FIND("Grade 75",J62),0),2,"")))),""),Data!J62)</f>
        <v>5-1</v>
      </c>
      <c r="W62" t="s">
        <v>166</v>
      </c>
      <c r="X62">
        <v>8</v>
      </c>
      <c r="Y62" t="str">
        <f t="shared" si="1"/>
        <v xml:space="preserve">20 </v>
      </c>
      <c r="Z62" t="str">
        <f t="shared" si="2"/>
        <v xml:space="preserve"> 36</v>
      </c>
      <c r="DE62" t="s">
        <v>831</v>
      </c>
      <c r="DF62" t="s">
        <v>66</v>
      </c>
      <c r="DG62" t="str">
        <f>VLOOKUP(W62,'Level Wise PSI'!$F$2:$G$12,2,FALSE)</f>
        <v>Double Lift</v>
      </c>
    </row>
    <row r="63" spans="1:111" x14ac:dyDescent="0.25">
      <c r="A63">
        <v>30</v>
      </c>
      <c r="B63" t="s">
        <v>670</v>
      </c>
      <c r="C63" s="15">
        <v>2429</v>
      </c>
      <c r="D63" s="15">
        <v>10000</v>
      </c>
      <c r="E63" t="str">
        <f>IF(B63=Level!$A$2,SD!$C$14,SD!$C$13)</f>
        <v>0-8</v>
      </c>
      <c r="F63" s="15" t="s">
        <v>763</v>
      </c>
      <c r="G63" t="s">
        <v>721</v>
      </c>
      <c r="H63" t="str">
        <f>RIGHT(VLOOKUP(B63,Level!A:C,3,FALSE),LEN(VLOOKUP(B63,Level!A:C,3,FALSE))-1)</f>
        <v>10-7</v>
      </c>
      <c r="I63" t="s">
        <v>712</v>
      </c>
      <c r="J63" t="str">
        <f>IF(AND(SD!$C$19=SD!$H$2,Grade!$G$1="Per level"),VLOOKUP(B63,Grade!$E$1:$F$200,2,FALSE),IF(AND(SD!$C$19=SD!$H$2,Grade!$G$1="Per Bar Size"),VLOOKUP(W63,Grade!$B$1:$C$12,2,0),SD!$C$19))</f>
        <v>A615 Grade 60</v>
      </c>
      <c r="K63" t="s">
        <v>66</v>
      </c>
      <c r="L63" s="24" t="str">
        <f>IFERROR(IF(A63&lt;&gt;A64,"",IF(DF63="No Lap","",IF(K64="Lap",U63,IF(K64="Coupler",_xlfn._xlws.FILTER(CCoupler,(CCName=SD!$C$8)*(CBSize=IF(A62=A63,W63&amp;W64,W63&amp;W63))*(CCMFM="Male")),"")))),"N/A")</f>
        <v>5-1</v>
      </c>
      <c r="M63" t="str">
        <f t="shared" si="0"/>
        <v/>
      </c>
      <c r="N63" t="s">
        <v>692</v>
      </c>
      <c r="O63" t="s">
        <v>693</v>
      </c>
      <c r="P63" t="s">
        <v>692</v>
      </c>
      <c r="Q63" t="str">
        <f>IF(AND(SD!$C$29=SD!$P$2,Grade!$O$1="Per level"),VLOOKUP(B63,Grade!$M$1:$N$200,2,FALSE),IF(AND(SD!$C$29=SD!$P$2,Grade!$O$1="Per Bar Size"),VLOOKUP(LEFT(N63,FIND("@",N63)-2),Grade!$J$1:$K$12,2,0),SD!$C$29))</f>
        <v>A615 Grade 60</v>
      </c>
      <c r="R63" t="s">
        <v>709</v>
      </c>
      <c r="S63" s="57">
        <v>63</v>
      </c>
      <c r="U63" t="str">
        <f>IF(Data!$J63="",IFERROR(INDEX(IF(SD!$C$11="Create",Lap!$A$3:$BF$14,IF(SD!$C$11="Per Uploaded File",Lap!$A$19:$BF$30,"")),MATCH(W63,Lap!$A$3:$A$14,0),MATCH(VALUE(D63),Lap!$A$3:$BF$3,0)+IF(IFERROR(FIND("Grade 60",J63),0)&gt;0,0,IF(IFERROR(FIND("Grade 80",J63),0),1,IF(IFERROR(FIND("Grade 75",J63),0),2,"")))),""),Data!J63)</f>
        <v>5-1</v>
      </c>
      <c r="W63" t="s">
        <v>166</v>
      </c>
      <c r="X63">
        <v>8</v>
      </c>
      <c r="Y63" t="str">
        <f t="shared" si="1"/>
        <v xml:space="preserve">20 </v>
      </c>
      <c r="Z63" t="str">
        <f t="shared" si="2"/>
        <v xml:space="preserve"> 36</v>
      </c>
      <c r="DE63" t="s">
        <v>831</v>
      </c>
      <c r="DF63" t="s">
        <v>66</v>
      </c>
      <c r="DG63" t="str">
        <f>VLOOKUP(W63,'Level Wise PSI'!$F$2:$G$12,2,FALSE)</f>
        <v>Double Lift</v>
      </c>
    </row>
    <row r="64" spans="1:111" x14ac:dyDescent="0.25">
      <c r="A64">
        <v>30</v>
      </c>
      <c r="B64" t="s">
        <v>672</v>
      </c>
      <c r="C64" s="15">
        <v>2429</v>
      </c>
      <c r="D64" s="15">
        <v>10000</v>
      </c>
      <c r="E64" t="str">
        <f>IF(B64=Level!$A$2,SD!$C$14,SD!$C$13)</f>
        <v>0-8</v>
      </c>
      <c r="F64" s="15" t="s">
        <v>763</v>
      </c>
      <c r="G64" t="s">
        <v>721</v>
      </c>
      <c r="H64" t="str">
        <f>RIGHT(VLOOKUP(B64,Level!A:C,3,FALSE),LEN(VLOOKUP(B64,Level!A:C,3,FALSE))-1)</f>
        <v>10-7</v>
      </c>
      <c r="I64" t="s">
        <v>712</v>
      </c>
      <c r="J64" t="str">
        <f>IF(AND(SD!$C$19=SD!$H$2,Grade!$G$1="Per level"),VLOOKUP(B64,Grade!$E$1:$F$200,2,FALSE),IF(AND(SD!$C$19=SD!$H$2,Grade!$G$1="Per Bar Size"),VLOOKUP(W64,Grade!$B$1:$C$12,2,0),SD!$C$19))</f>
        <v>A615 Grade 60</v>
      </c>
      <c r="K64" t="s">
        <v>66</v>
      </c>
      <c r="L64" s="24" t="str">
        <f>IFERROR(IF(A64&lt;&gt;A65,"",IF(DF64="No Lap","",IF(K65="Lap",U64,IF(K65="Coupler",_xlfn._xlws.FILTER(CCoupler,(CCName=SD!$C$8)*(CBSize=IF(A63=A64,W64&amp;W65,W64&amp;W64))*(CCMFM="Male")),"")))),"N/A")</f>
        <v>5-1</v>
      </c>
      <c r="M64" t="str">
        <f t="shared" si="0"/>
        <v/>
      </c>
      <c r="N64" t="s">
        <v>692</v>
      </c>
      <c r="O64" t="s">
        <v>693</v>
      </c>
      <c r="P64" t="s">
        <v>692</v>
      </c>
      <c r="Q64" t="str">
        <f>IF(AND(SD!$C$29=SD!$P$2,Grade!$O$1="Per level"),VLOOKUP(B64,Grade!$M$1:$N$200,2,FALSE),IF(AND(SD!$C$29=SD!$P$2,Grade!$O$1="Per Bar Size"),VLOOKUP(LEFT(N64,FIND("@",N64)-2),Grade!$J$1:$K$12,2,0),SD!$C$29))</f>
        <v>A615 Grade 60</v>
      </c>
      <c r="R64" t="s">
        <v>709</v>
      </c>
      <c r="S64" s="57">
        <v>64</v>
      </c>
      <c r="U64" t="str">
        <f>IF(Data!$J64="",IFERROR(INDEX(IF(SD!$C$11="Create",Lap!$A$3:$BF$14,IF(SD!$C$11="Per Uploaded File",Lap!$A$19:$BF$30,"")),MATCH(W64,Lap!$A$3:$A$14,0),MATCH(VALUE(D64),Lap!$A$3:$BF$3,0)+IF(IFERROR(FIND("Grade 60",J64),0)&gt;0,0,IF(IFERROR(FIND("Grade 80",J64),0),1,IF(IFERROR(FIND("Grade 75",J64),0),2,"")))),""),Data!J64)</f>
        <v>5-1</v>
      </c>
      <c r="W64" t="s">
        <v>166</v>
      </c>
      <c r="X64">
        <v>8</v>
      </c>
      <c r="Y64" t="str">
        <f t="shared" si="1"/>
        <v xml:space="preserve">20 </v>
      </c>
      <c r="Z64" t="str">
        <f t="shared" si="2"/>
        <v xml:space="preserve"> 36</v>
      </c>
      <c r="DE64" t="s">
        <v>831</v>
      </c>
      <c r="DF64" t="s">
        <v>66</v>
      </c>
      <c r="DG64" t="str">
        <f>VLOOKUP(W64,'Level Wise PSI'!$F$2:$G$12,2,FALSE)</f>
        <v>Double Lift</v>
      </c>
    </row>
    <row r="65" spans="1:111" x14ac:dyDescent="0.25">
      <c r="A65">
        <v>30</v>
      </c>
      <c r="B65" t="s">
        <v>674</v>
      </c>
      <c r="C65" s="15">
        <v>2429</v>
      </c>
      <c r="D65" s="15">
        <v>10000</v>
      </c>
      <c r="E65" t="str">
        <f>IF(B65=Level!$A$2,SD!$C$14,SD!$C$13)</f>
        <v>0-8</v>
      </c>
      <c r="F65" s="15" t="s">
        <v>763</v>
      </c>
      <c r="G65" t="s">
        <v>721</v>
      </c>
      <c r="H65" t="str">
        <f>RIGHT(VLOOKUP(B65,Level!A:C,3,FALSE),LEN(VLOOKUP(B65,Level!A:C,3,FALSE))-1)</f>
        <v>10-7</v>
      </c>
      <c r="I65" t="s">
        <v>712</v>
      </c>
      <c r="J65" t="str">
        <f>IF(AND(SD!$C$19=SD!$H$2,Grade!$G$1="Per level"),VLOOKUP(B65,Grade!$E$1:$F$200,2,FALSE),IF(AND(SD!$C$19=SD!$H$2,Grade!$G$1="Per Bar Size"),VLOOKUP(W65,Grade!$B$1:$C$12,2,0),SD!$C$19))</f>
        <v>A615 Grade 60</v>
      </c>
      <c r="K65" t="s">
        <v>66</v>
      </c>
      <c r="L65" s="24" t="str">
        <f>IFERROR(IF(A65&lt;&gt;A66,"",IF(DF65="No Lap","",IF(K66="Lap",U65,IF(K66="Coupler",_xlfn._xlws.FILTER(CCoupler,(CCName=SD!$C$8)*(CBSize=IF(A64=A65,W65&amp;W66,W65&amp;W65))*(CCMFM="Male")),"")))),"N/A")</f>
        <v>5-1</v>
      </c>
      <c r="M65" t="str">
        <f t="shared" si="0"/>
        <v/>
      </c>
      <c r="N65" t="s">
        <v>692</v>
      </c>
      <c r="O65" t="s">
        <v>693</v>
      </c>
      <c r="P65" t="s">
        <v>692</v>
      </c>
      <c r="Q65" t="str">
        <f>IF(AND(SD!$C$29=SD!$P$2,Grade!$O$1="Per level"),VLOOKUP(B65,Grade!$M$1:$N$200,2,FALSE),IF(AND(SD!$C$29=SD!$P$2,Grade!$O$1="Per Bar Size"),VLOOKUP(LEFT(N65,FIND("@",N65)-2),Grade!$J$1:$K$12,2,0),SD!$C$29))</f>
        <v>A615 Grade 60</v>
      </c>
      <c r="R65" t="s">
        <v>709</v>
      </c>
      <c r="S65" s="57">
        <v>65</v>
      </c>
      <c r="U65" t="str">
        <f>IF(Data!$J65="",IFERROR(INDEX(IF(SD!$C$11="Create",Lap!$A$3:$BF$14,IF(SD!$C$11="Per Uploaded File",Lap!$A$19:$BF$30,"")),MATCH(W65,Lap!$A$3:$A$14,0),MATCH(VALUE(D65),Lap!$A$3:$BF$3,0)+IF(IFERROR(FIND("Grade 60",J65),0)&gt;0,0,IF(IFERROR(FIND("Grade 80",J65),0),1,IF(IFERROR(FIND("Grade 75",J65),0),2,"")))),""),Data!J65)</f>
        <v>5-1</v>
      </c>
      <c r="W65" t="s">
        <v>166</v>
      </c>
      <c r="X65">
        <v>8</v>
      </c>
      <c r="Y65" t="str">
        <f t="shared" si="1"/>
        <v xml:space="preserve">20 </v>
      </c>
      <c r="Z65" t="str">
        <f t="shared" si="2"/>
        <v xml:space="preserve"> 36</v>
      </c>
      <c r="DE65" t="s">
        <v>831</v>
      </c>
      <c r="DF65" t="s">
        <v>66</v>
      </c>
      <c r="DG65" t="str">
        <f>VLOOKUP(W65,'Level Wise PSI'!$F$2:$G$12,2,FALSE)</f>
        <v>Double Lift</v>
      </c>
    </row>
    <row r="66" spans="1:111" x14ac:dyDescent="0.25">
      <c r="A66">
        <v>30</v>
      </c>
      <c r="B66" t="s">
        <v>676</v>
      </c>
      <c r="C66" s="15">
        <v>2429</v>
      </c>
      <c r="D66" s="15">
        <v>10000</v>
      </c>
      <c r="E66" t="str">
        <f>IF(B66=Level!$A$2,SD!$C$14,SD!$C$13)</f>
        <v>0-8</v>
      </c>
      <c r="F66" s="15" t="s">
        <v>763</v>
      </c>
      <c r="G66" t="s">
        <v>721</v>
      </c>
      <c r="H66" t="str">
        <f>RIGHT(VLOOKUP(B66,Level!A:C,3,FALSE),LEN(VLOOKUP(B66,Level!A:C,3,FALSE))-1)</f>
        <v>10-7</v>
      </c>
      <c r="I66" t="s">
        <v>712</v>
      </c>
      <c r="J66" t="str">
        <f>IF(AND(SD!$C$19=SD!$H$2,Grade!$G$1="Per level"),VLOOKUP(B66,Grade!$E$1:$F$200,2,FALSE),IF(AND(SD!$C$19=SD!$H$2,Grade!$G$1="Per Bar Size"),VLOOKUP(W66,Grade!$B$1:$C$12,2,0),SD!$C$19))</f>
        <v>A615 Grade 60</v>
      </c>
      <c r="K66" t="s">
        <v>66</v>
      </c>
      <c r="L66" s="24" t="str">
        <f>IFERROR(IF(A66&lt;&gt;A67,"",IF(DF66="No Lap","",IF(K67="Lap",U66,IF(K67="Coupler",_xlfn._xlws.FILTER(CCoupler,(CCName=SD!$C$8)*(CBSize=IF(A65=A66,W66&amp;W67,W66&amp;W66))*(CCMFM="Male")),"")))),"N/A")</f>
        <v>5-1</v>
      </c>
      <c r="M66" t="str">
        <f t="shared" ref="M66:M129" si="3">IF(A66=A67,IF(AND(IF(A66=A67,ABS(Y66-Y67),"0")&gt;6,IF(A66=A67,ABS(Z66-Z67),"0")&gt;6),I67,IF(OR(IF(A66=A67,ABS(Y66-Y67),"0")&gt;6,IF(A66=A67,ABS(Z66-Z67),"0")&gt;6),CONCATENATE(ROUNDUP(X67/2,0)," - ",W67),"")),"")</f>
        <v/>
      </c>
      <c r="N66" t="s">
        <v>692</v>
      </c>
      <c r="O66" t="s">
        <v>693</v>
      </c>
      <c r="P66" t="s">
        <v>692</v>
      </c>
      <c r="Q66" t="str">
        <f>IF(AND(SD!$C$29=SD!$P$2,Grade!$O$1="Per level"),VLOOKUP(B66,Grade!$M$1:$N$200,2,FALSE),IF(AND(SD!$C$29=SD!$P$2,Grade!$O$1="Per Bar Size"),VLOOKUP(LEFT(N66,FIND("@",N66)-2),Grade!$J$1:$K$12,2,0),SD!$C$29))</f>
        <v>A615 Grade 60</v>
      </c>
      <c r="R66" t="s">
        <v>709</v>
      </c>
      <c r="S66" s="57">
        <v>66</v>
      </c>
      <c r="U66" t="str">
        <f>IF(Data!$J66="",IFERROR(INDEX(IF(SD!$C$11="Create",Lap!$A$3:$BF$14,IF(SD!$C$11="Per Uploaded File",Lap!$A$19:$BF$30,"")),MATCH(W66,Lap!$A$3:$A$14,0),MATCH(VALUE(D66),Lap!$A$3:$BF$3,0)+IF(IFERROR(FIND("Grade 60",J66),0)&gt;0,0,IF(IFERROR(FIND("Grade 80",J66),0),1,IF(IFERROR(FIND("Grade 75",J66),0),2,"")))),""),Data!J66)</f>
        <v>5-1</v>
      </c>
      <c r="W66" t="s">
        <v>166</v>
      </c>
      <c r="X66">
        <v>8</v>
      </c>
      <c r="Y66" t="str">
        <f t="shared" ref="Y66:Y129" si="4">IFERROR(LEFT(G66,FIND(" dia",G66)-2),LEFT(G66,FIND("x",G66)-1))</f>
        <v xml:space="preserve">20 </v>
      </c>
      <c r="Z66" t="str">
        <f t="shared" ref="Z66:Z129" si="5">IFERROR(IF(FIND("dia",G66)&gt;0,0,ERROR.TYPE(#VALUE!)),RIGHT(G66,LEN(G66)-FIND("x",G66)))</f>
        <v xml:space="preserve"> 36</v>
      </c>
      <c r="DE66" t="s">
        <v>831</v>
      </c>
      <c r="DF66" t="s">
        <v>66</v>
      </c>
      <c r="DG66" t="str">
        <f>VLOOKUP(W66,'Level Wise PSI'!$F$2:$G$12,2,FALSE)</f>
        <v>Double Lift</v>
      </c>
    </row>
    <row r="67" spans="1:111" x14ac:dyDescent="0.25">
      <c r="A67">
        <v>30</v>
      </c>
      <c r="B67" t="s">
        <v>678</v>
      </c>
      <c r="C67" s="15">
        <v>2429</v>
      </c>
      <c r="D67" s="15">
        <v>10000</v>
      </c>
      <c r="E67" t="str">
        <f>IF(B67=Level!$A$2,SD!$C$14,SD!$C$13)</f>
        <v>0-8</v>
      </c>
      <c r="F67" s="15" t="s">
        <v>763</v>
      </c>
      <c r="G67" t="s">
        <v>721</v>
      </c>
      <c r="H67" t="str">
        <f>RIGHT(VLOOKUP(B67,Level!A:C,3,FALSE),LEN(VLOOKUP(B67,Level!A:C,3,FALSE))-1)</f>
        <v>10-7</v>
      </c>
      <c r="I67" t="s">
        <v>712</v>
      </c>
      <c r="J67" t="str">
        <f>IF(AND(SD!$C$19=SD!$H$2,Grade!$G$1="Per level"),VLOOKUP(B67,Grade!$E$1:$F$200,2,FALSE),IF(AND(SD!$C$19=SD!$H$2,Grade!$G$1="Per Bar Size"),VLOOKUP(W67,Grade!$B$1:$C$12,2,0),SD!$C$19))</f>
        <v>A615 Grade 60</v>
      </c>
      <c r="K67" t="s">
        <v>66</v>
      </c>
      <c r="L67" s="24" t="str">
        <f>IFERROR(IF(A67&lt;&gt;A68,"",IF(DF67="No Lap","",IF(K68="Lap",U67,IF(K68="Coupler",_xlfn._xlws.FILTER(CCoupler,(CCName=SD!$C$8)*(CBSize=IF(A66=A67,W67&amp;W68,W67&amp;W67))*(CCMFM="Male")),"")))),"N/A")</f>
        <v>5-1</v>
      </c>
      <c r="M67" t="str">
        <f t="shared" si="3"/>
        <v/>
      </c>
      <c r="N67" t="s">
        <v>692</v>
      </c>
      <c r="O67" t="s">
        <v>693</v>
      </c>
      <c r="P67" t="s">
        <v>692</v>
      </c>
      <c r="Q67" t="str">
        <f>IF(AND(SD!$C$29=SD!$P$2,Grade!$O$1="Per level"),VLOOKUP(B67,Grade!$M$1:$N$200,2,FALSE),IF(AND(SD!$C$29=SD!$P$2,Grade!$O$1="Per Bar Size"),VLOOKUP(LEFT(N67,FIND("@",N67)-2),Grade!$J$1:$K$12,2,0),SD!$C$29))</f>
        <v>A615 Grade 60</v>
      </c>
      <c r="R67" t="s">
        <v>709</v>
      </c>
      <c r="S67" s="57">
        <v>67</v>
      </c>
      <c r="U67" t="str">
        <f>IF(Data!$J67="",IFERROR(INDEX(IF(SD!$C$11="Create",Lap!$A$3:$BF$14,IF(SD!$C$11="Per Uploaded File",Lap!$A$19:$BF$30,"")),MATCH(W67,Lap!$A$3:$A$14,0),MATCH(VALUE(D67),Lap!$A$3:$BF$3,0)+IF(IFERROR(FIND("Grade 60",J67),0)&gt;0,0,IF(IFERROR(FIND("Grade 80",J67),0),1,IF(IFERROR(FIND("Grade 75",J67),0),2,"")))),""),Data!J67)</f>
        <v>5-1</v>
      </c>
      <c r="W67" t="s">
        <v>166</v>
      </c>
      <c r="X67">
        <v>8</v>
      </c>
      <c r="Y67" t="str">
        <f t="shared" si="4"/>
        <v xml:space="preserve">20 </v>
      </c>
      <c r="Z67" t="str">
        <f t="shared" si="5"/>
        <v xml:space="preserve"> 36</v>
      </c>
      <c r="DE67" t="s">
        <v>831</v>
      </c>
      <c r="DF67" t="s">
        <v>66</v>
      </c>
      <c r="DG67" t="str">
        <f>VLOOKUP(W67,'Level Wise PSI'!$F$2:$G$12,2,FALSE)</f>
        <v>Double Lift</v>
      </c>
    </row>
    <row r="68" spans="1:111" x14ac:dyDescent="0.25">
      <c r="A68">
        <v>30</v>
      </c>
      <c r="B68" t="s">
        <v>680</v>
      </c>
      <c r="C68" s="15">
        <v>2429</v>
      </c>
      <c r="D68" s="15">
        <v>10000</v>
      </c>
      <c r="E68" t="str">
        <f>IF(B68=Level!$A$2,SD!$C$14,SD!$C$13)</f>
        <v>0-8</v>
      </c>
      <c r="F68" s="15" t="s">
        <v>763</v>
      </c>
      <c r="G68" t="s">
        <v>721</v>
      </c>
      <c r="H68" t="str">
        <f>RIGHT(VLOOKUP(B68,Level!A:C,3,FALSE),LEN(VLOOKUP(B68,Level!A:C,3,FALSE))-1)</f>
        <v>10-7</v>
      </c>
      <c r="I68" t="s">
        <v>712</v>
      </c>
      <c r="J68" t="str">
        <f>IF(AND(SD!$C$19=SD!$H$2,Grade!$G$1="Per level"),VLOOKUP(B68,Grade!$E$1:$F$200,2,FALSE),IF(AND(SD!$C$19=SD!$H$2,Grade!$G$1="Per Bar Size"),VLOOKUP(W68,Grade!$B$1:$C$12,2,0),SD!$C$19))</f>
        <v>A615 Grade 60</v>
      </c>
      <c r="K68" t="s">
        <v>66</v>
      </c>
      <c r="L68" s="24" t="str">
        <f>IFERROR(IF(A68&lt;&gt;A69,"",IF(DF68="No Lap","",IF(K69="Lap",U68,IF(K69="Coupler",_xlfn._xlws.FILTER(CCoupler,(CCName=SD!$C$8)*(CBSize=IF(A67=A68,W68&amp;W69,W68&amp;W68))*(CCMFM="Male")),"")))),"N/A")</f>
        <v>5-1</v>
      </c>
      <c r="M68" t="str">
        <f t="shared" si="3"/>
        <v/>
      </c>
      <c r="N68" t="s">
        <v>692</v>
      </c>
      <c r="O68" t="s">
        <v>693</v>
      </c>
      <c r="P68" t="s">
        <v>692</v>
      </c>
      <c r="Q68" t="str">
        <f>IF(AND(SD!$C$29=SD!$P$2,Grade!$O$1="Per level"),VLOOKUP(B68,Grade!$M$1:$N$200,2,FALSE),IF(AND(SD!$C$29=SD!$P$2,Grade!$O$1="Per Bar Size"),VLOOKUP(LEFT(N68,FIND("@",N68)-2),Grade!$J$1:$K$12,2,0),SD!$C$29))</f>
        <v>A615 Grade 60</v>
      </c>
      <c r="R68" t="s">
        <v>709</v>
      </c>
      <c r="S68" s="57">
        <v>68</v>
      </c>
      <c r="U68" t="str">
        <f>IF(Data!$J68="",IFERROR(INDEX(IF(SD!$C$11="Create",Lap!$A$3:$BF$14,IF(SD!$C$11="Per Uploaded File",Lap!$A$19:$BF$30,"")),MATCH(W68,Lap!$A$3:$A$14,0),MATCH(VALUE(D68),Lap!$A$3:$BF$3,0)+IF(IFERROR(FIND("Grade 60",J68),0)&gt;0,0,IF(IFERROR(FIND("Grade 80",J68),0),1,IF(IFERROR(FIND("Grade 75",J68),0),2,"")))),""),Data!J68)</f>
        <v>5-1</v>
      </c>
      <c r="W68" t="s">
        <v>166</v>
      </c>
      <c r="X68">
        <v>8</v>
      </c>
      <c r="Y68" t="str">
        <f t="shared" si="4"/>
        <v xml:space="preserve">20 </v>
      </c>
      <c r="Z68" t="str">
        <f t="shared" si="5"/>
        <v xml:space="preserve"> 36</v>
      </c>
      <c r="DE68" t="s">
        <v>831</v>
      </c>
      <c r="DF68" t="s">
        <v>66</v>
      </c>
      <c r="DG68" t="str">
        <f>VLOOKUP(W68,'Level Wise PSI'!$F$2:$G$12,2,FALSE)</f>
        <v>Double Lift</v>
      </c>
    </row>
    <row r="69" spans="1:111" x14ac:dyDescent="0.25">
      <c r="A69">
        <v>30</v>
      </c>
      <c r="B69" t="s">
        <v>682</v>
      </c>
      <c r="C69" s="15">
        <v>2429</v>
      </c>
      <c r="D69" s="15">
        <v>10000</v>
      </c>
      <c r="E69" t="str">
        <f>IF(B69=Level!$A$2,SD!$C$14,SD!$C$13)</f>
        <v>0-8</v>
      </c>
      <c r="F69" s="15" t="s">
        <v>763</v>
      </c>
      <c r="G69" t="s">
        <v>721</v>
      </c>
      <c r="H69" t="str">
        <f>RIGHT(VLOOKUP(B69,Level!A:C,3,FALSE),LEN(VLOOKUP(B69,Level!A:C,3,FALSE))-1)</f>
        <v>10-7</v>
      </c>
      <c r="I69" t="s">
        <v>700</v>
      </c>
      <c r="J69" t="str">
        <f>IF(AND(SD!$C$19=SD!$H$2,Grade!$G$1="Per level"),VLOOKUP(B69,Grade!$E$1:$F$200,2,FALSE),IF(AND(SD!$C$19=SD!$H$2,Grade!$G$1="Per Bar Size"),VLOOKUP(W69,Grade!$B$1:$C$12,2,0),SD!$C$19))</f>
        <v>A615 Grade 60</v>
      </c>
      <c r="K69" t="s">
        <v>66</v>
      </c>
      <c r="L69" s="24" t="str">
        <f>IFERROR(IF(A69&lt;&gt;A70,"",IF(DF69="No Lap","",IF(K70="Lap",U69,IF(K70="Coupler",_xlfn._xlws.FILTER(CCoupler,(CCName=SD!$C$8)*(CBSize=IF(A68=A69,W69&amp;W70,W69&amp;W69))*(CCMFM="Male")),"")))),"N/A")</f>
        <v/>
      </c>
      <c r="M69" t="str">
        <f t="shared" si="3"/>
        <v/>
      </c>
      <c r="N69" t="s">
        <v>692</v>
      </c>
      <c r="O69" t="s">
        <v>693</v>
      </c>
      <c r="P69" t="s">
        <v>692</v>
      </c>
      <c r="Q69" t="str">
        <f>IF(AND(SD!$C$29=SD!$P$2,Grade!$O$1="Per level"),VLOOKUP(B69,Grade!$M$1:$N$200,2,FALSE),IF(AND(SD!$C$29=SD!$P$2,Grade!$O$1="Per Bar Size"),VLOOKUP(LEFT(N69,FIND("@",N69)-2),Grade!$J$1:$K$12,2,0),SD!$C$29))</f>
        <v>A615 Grade 60</v>
      </c>
      <c r="R69" t="s">
        <v>701</v>
      </c>
      <c r="S69" s="57">
        <v>69</v>
      </c>
      <c r="U69" t="str">
        <f>IF(Data!$J69="",IFERROR(INDEX(IF(SD!$C$11="Create",Lap!$A$3:$BF$14,IF(SD!$C$11="Per Uploaded File",Lap!$A$19:$BF$30,"")),MATCH(W69,Lap!$A$3:$A$14,0),MATCH(VALUE(D69),Lap!$A$3:$BF$3,0)+IF(IFERROR(FIND("Grade 60",J69),0)&gt;0,0,IF(IFERROR(FIND("Grade 80",J69),0),1,IF(IFERROR(FIND("Grade 75",J69),0),2,"")))),""),Data!J69)</f>
        <v>4-6</v>
      </c>
      <c r="W69" t="s">
        <v>154</v>
      </c>
      <c r="X69">
        <v>12</v>
      </c>
      <c r="Y69" t="str">
        <f t="shared" si="4"/>
        <v xml:space="preserve">20 </v>
      </c>
      <c r="Z69" t="str">
        <f t="shared" si="5"/>
        <v xml:space="preserve"> 36</v>
      </c>
      <c r="DE69" t="s">
        <v>831</v>
      </c>
      <c r="DF69" t="s">
        <v>66</v>
      </c>
      <c r="DG69" t="str">
        <f>VLOOKUP(W69,'Level Wise PSI'!$F$2:$G$12,2,FALSE)</f>
        <v>Double Lift</v>
      </c>
    </row>
    <row r="70" spans="1:111" x14ac:dyDescent="0.25">
      <c r="A70">
        <v>31</v>
      </c>
      <c r="B70" t="s">
        <v>658</v>
      </c>
      <c r="C70" s="15">
        <v>2429</v>
      </c>
      <c r="D70" s="15">
        <v>10000</v>
      </c>
      <c r="E70" s="15" t="s">
        <v>748</v>
      </c>
      <c r="F70" s="15" t="s">
        <v>763</v>
      </c>
      <c r="G70" t="s">
        <v>722</v>
      </c>
      <c r="H70" s="15" t="s">
        <v>760</v>
      </c>
      <c r="I70" t="s">
        <v>716</v>
      </c>
      <c r="J70" t="str">
        <f>IF(AND(SD!$C$19=SD!$H$2,Grade!$G$1="Per level"),VLOOKUP(B70,Grade!$E$1:$F$200,2,FALSE),IF(AND(SD!$C$19=SD!$H$2,Grade!$G$1="Per Bar Size"),VLOOKUP(W70,Grade!$B$1:$C$12,2,0),SD!$C$19))</f>
        <v>A615 Grade 60</v>
      </c>
      <c r="K70" t="s">
        <v>66</v>
      </c>
      <c r="L70" s="24" t="str">
        <f>IFERROR(IF(A70&lt;&gt;A71,"",IF(DF70="No Lap","",IF(K71="Lap",U70,IF(K71="Coupler",_xlfn._xlws.FILTER(CCoupler,(CCName=SD!$C$8)*(CBSize=IF(A69=A70,W70&amp;W71,W70&amp;W70))*(CCMFM="Male")),"")))),"N/A")</f>
        <v>5-1</v>
      </c>
      <c r="M70" t="str">
        <f t="shared" si="3"/>
        <v>6 - #10</v>
      </c>
      <c r="N70" t="s">
        <v>692</v>
      </c>
      <c r="O70" t="s">
        <v>693</v>
      </c>
      <c r="P70" t="s">
        <v>692</v>
      </c>
      <c r="Q70" t="str">
        <f>IF(AND(SD!$C$29=SD!$P$2,Grade!$O$1="Per level"),VLOOKUP(B70,Grade!$M$1:$N$200,2,FALSE),IF(AND(SD!$C$29=SD!$P$2,Grade!$O$1="Per Bar Size"),VLOOKUP(LEFT(N70,FIND("@",N70)-2),Grade!$J$1:$K$12,2,0),SD!$C$29))</f>
        <v>A615 Grade 60</v>
      </c>
      <c r="R70" t="s">
        <v>698</v>
      </c>
      <c r="S70" s="57">
        <v>70</v>
      </c>
      <c r="U70" t="str">
        <f>IF(Data!$J70="",IFERROR(INDEX(IF(SD!$C$11="Create",Lap!$A$3:$BF$14,IF(SD!$C$11="Per Uploaded File",Lap!$A$19:$BF$30,"")),MATCH(W70,Lap!$A$3:$A$14,0),MATCH(VALUE(D70),Lap!$A$3:$BF$3,0)+IF(IFERROR(FIND("Grade 60",J70),0)&gt;0,0,IF(IFERROR(FIND("Grade 80",J70),0),1,IF(IFERROR(FIND("Grade 75",J70),0),2,"")))),""),Data!J70)</f>
        <v>5-1</v>
      </c>
      <c r="W70" t="s">
        <v>166</v>
      </c>
      <c r="X70">
        <v>6</v>
      </c>
      <c r="Y70" t="str">
        <f t="shared" si="4"/>
        <v xml:space="preserve">24 </v>
      </c>
      <c r="Z70" t="str">
        <f t="shared" si="5"/>
        <v xml:space="preserve"> 30</v>
      </c>
      <c r="DE70" t="s">
        <v>831</v>
      </c>
      <c r="DF70" t="s">
        <v>66</v>
      </c>
      <c r="DG70" t="str">
        <f>VLOOKUP(W70,'Level Wise PSI'!$F$2:$G$12,2,FALSE)</f>
        <v>Double Lift</v>
      </c>
    </row>
    <row r="71" spans="1:111" x14ac:dyDescent="0.25">
      <c r="A71">
        <v>31</v>
      </c>
      <c r="B71" t="s">
        <v>661</v>
      </c>
      <c r="C71" s="15">
        <v>2429</v>
      </c>
      <c r="D71" s="15">
        <v>10000</v>
      </c>
      <c r="E71" t="str">
        <f>IF(B71=Level!$A$2,SD!$C$14,SD!$C$13)</f>
        <v>0-8</v>
      </c>
      <c r="F71" s="15" t="s">
        <v>763</v>
      </c>
      <c r="G71" t="s">
        <v>723</v>
      </c>
      <c r="H71" t="str">
        <f>RIGHT(VLOOKUP(B71,Level!A:C,3,FALSE),LEN(VLOOKUP(B71,Level!A:C,3,FALSE))-1)</f>
        <v>10-7</v>
      </c>
      <c r="I71" t="s">
        <v>724</v>
      </c>
      <c r="J71" t="str">
        <f>IF(AND(SD!$C$19=SD!$H$2,Grade!$G$1="Per level"),VLOOKUP(B71,Grade!$E$1:$F$200,2,FALSE),IF(AND(SD!$C$19=SD!$H$2,Grade!$G$1="Per Bar Size"),VLOOKUP(W71,Grade!$B$1:$C$12,2,0),SD!$C$19))</f>
        <v>A615 Grade 60</v>
      </c>
      <c r="K71" t="s">
        <v>66</v>
      </c>
      <c r="L71" s="24" t="str">
        <f>IFERROR(IF(A71&lt;&gt;A72,"",IF(DF71="No Lap","",IF(K72="Lap",U71,IF(K72="Coupler",_xlfn._xlws.FILTER(CCoupler,(CCName=SD!$C$8)*(CBSize=IF(A70=A71,W71&amp;W72,W71&amp;W71))*(CCMFM="Male")),"")))),"N/A")</f>
        <v>5-1</v>
      </c>
      <c r="M71" t="str">
        <f t="shared" si="3"/>
        <v/>
      </c>
      <c r="N71" t="s">
        <v>692</v>
      </c>
      <c r="O71" t="s">
        <v>693</v>
      </c>
      <c r="P71" t="s">
        <v>692</v>
      </c>
      <c r="Q71" t="str">
        <f>IF(AND(SD!$C$29=SD!$P$2,Grade!$O$1="Per level"),VLOOKUP(B71,Grade!$M$1:$N$200,2,FALSE),IF(AND(SD!$C$29=SD!$P$2,Grade!$O$1="Per Bar Size"),VLOOKUP(LEFT(N71,FIND("@",N71)-2),Grade!$J$1:$K$12,2,0),SD!$C$29))</f>
        <v>A615 Grade 60</v>
      </c>
      <c r="R71" t="s">
        <v>701</v>
      </c>
      <c r="S71" s="57">
        <v>71</v>
      </c>
      <c r="U71" t="str">
        <f>IF(Data!$J71="",IFERROR(INDEX(IF(SD!$C$11="Create",Lap!$A$3:$BF$14,IF(SD!$C$11="Per Uploaded File",Lap!$A$19:$BF$30,"")),MATCH(W71,Lap!$A$3:$A$14,0),MATCH(VALUE(D71),Lap!$A$3:$BF$3,0)+IF(IFERROR(FIND("Grade 60",J71),0)&gt;0,0,IF(IFERROR(FIND("Grade 80",J71),0),1,IF(IFERROR(FIND("Grade 75",J71),0),2,"")))),""),Data!J71)</f>
        <v>5-1</v>
      </c>
      <c r="W71" t="s">
        <v>166</v>
      </c>
      <c r="X71">
        <v>12</v>
      </c>
      <c r="Y71" t="str">
        <f t="shared" si="4"/>
        <v xml:space="preserve">18 </v>
      </c>
      <c r="Z71" t="str">
        <f t="shared" si="5"/>
        <v xml:space="preserve"> 72</v>
      </c>
      <c r="DE71" t="s">
        <v>831</v>
      </c>
      <c r="DF71" t="s">
        <v>66</v>
      </c>
      <c r="DG71" t="str">
        <f>VLOOKUP(W71,'Level Wise PSI'!$F$2:$G$12,2,FALSE)</f>
        <v>Double Lift</v>
      </c>
    </row>
    <row r="72" spans="1:111" x14ac:dyDescent="0.25">
      <c r="A72">
        <v>31</v>
      </c>
      <c r="B72" t="s">
        <v>664</v>
      </c>
      <c r="C72" s="15">
        <v>2429</v>
      </c>
      <c r="D72" s="15">
        <v>10000</v>
      </c>
      <c r="E72" t="str">
        <f>IF(B72=Level!$A$2,SD!$C$14,SD!$C$13)</f>
        <v>0-8</v>
      </c>
      <c r="F72" s="15" t="s">
        <v>763</v>
      </c>
      <c r="G72" t="s">
        <v>723</v>
      </c>
      <c r="H72" t="str">
        <f>RIGHT(VLOOKUP(B72,Level!A:C,3,FALSE),LEN(VLOOKUP(B72,Level!A:C,3,FALSE))-1)</f>
        <v>10-7</v>
      </c>
      <c r="I72" t="s">
        <v>724</v>
      </c>
      <c r="J72" t="str">
        <f>IF(AND(SD!$C$19=SD!$H$2,Grade!$G$1="Per level"),VLOOKUP(B72,Grade!$E$1:$F$200,2,FALSE),IF(AND(SD!$C$19=SD!$H$2,Grade!$G$1="Per Bar Size"),VLOOKUP(W72,Grade!$B$1:$C$12,2,0),SD!$C$19))</f>
        <v>A615 Grade 60</v>
      </c>
      <c r="K72" t="s">
        <v>66</v>
      </c>
      <c r="L72" s="24" t="str">
        <f>IFERROR(IF(A72&lt;&gt;A73,"",IF(DF72="No Lap","",IF(K73="Lap",U72,IF(K73="Coupler",_xlfn._xlws.FILTER(CCoupler,(CCName=SD!$C$8)*(CBSize=IF(A71=A72,W72&amp;W73,W72&amp;W72))*(CCMFM="Male")),"")))),"N/A")</f>
        <v>5-1</v>
      </c>
      <c r="M72" t="str">
        <f t="shared" si="3"/>
        <v/>
      </c>
      <c r="N72" t="s">
        <v>692</v>
      </c>
      <c r="O72" t="s">
        <v>693</v>
      </c>
      <c r="P72" t="s">
        <v>692</v>
      </c>
      <c r="Q72" t="str">
        <f>IF(AND(SD!$C$29=SD!$P$2,Grade!$O$1="Per level"),VLOOKUP(B72,Grade!$M$1:$N$200,2,FALSE),IF(AND(SD!$C$29=SD!$P$2,Grade!$O$1="Per Bar Size"),VLOOKUP(LEFT(N72,FIND("@",N72)-2),Grade!$J$1:$K$12,2,0),SD!$C$29))</f>
        <v>A615 Grade 60</v>
      </c>
      <c r="R72" t="s">
        <v>701</v>
      </c>
      <c r="S72" s="57">
        <v>72</v>
      </c>
      <c r="U72" t="str">
        <f>IF(Data!$J72="",IFERROR(INDEX(IF(SD!$C$11="Create",Lap!$A$3:$BF$14,IF(SD!$C$11="Per Uploaded File",Lap!$A$19:$BF$30,"")),MATCH(W72,Lap!$A$3:$A$14,0),MATCH(VALUE(D72),Lap!$A$3:$BF$3,0)+IF(IFERROR(FIND("Grade 60",J72),0)&gt;0,0,IF(IFERROR(FIND("Grade 80",J72),0),1,IF(IFERROR(FIND("Grade 75",J72),0),2,"")))),""),Data!J72)</f>
        <v>5-1</v>
      </c>
      <c r="W72" t="s">
        <v>166</v>
      </c>
      <c r="X72">
        <v>12</v>
      </c>
      <c r="Y72" t="str">
        <f t="shared" si="4"/>
        <v xml:space="preserve">18 </v>
      </c>
      <c r="Z72" t="str">
        <f t="shared" si="5"/>
        <v xml:space="preserve"> 72</v>
      </c>
      <c r="DE72" t="s">
        <v>831</v>
      </c>
      <c r="DF72" t="s">
        <v>66</v>
      </c>
      <c r="DG72" t="str">
        <f>VLOOKUP(W72,'Level Wise PSI'!$F$2:$G$12,2,FALSE)</f>
        <v>Double Lift</v>
      </c>
    </row>
    <row r="73" spans="1:111" x14ac:dyDescent="0.25">
      <c r="A73">
        <v>31</v>
      </c>
      <c r="B73" t="s">
        <v>666</v>
      </c>
      <c r="C73" s="15">
        <v>2429</v>
      </c>
      <c r="D73" s="15">
        <v>10000</v>
      </c>
      <c r="E73" t="str">
        <f>IF(B73=Level!$A$2,SD!$C$14,SD!$C$13)</f>
        <v>0-8</v>
      </c>
      <c r="F73" s="15" t="s">
        <v>763</v>
      </c>
      <c r="G73" t="s">
        <v>723</v>
      </c>
      <c r="H73" t="str">
        <f>RIGHT(VLOOKUP(B73,Level!A:C,3,FALSE),LEN(VLOOKUP(B73,Level!A:C,3,FALSE))-1)</f>
        <v>10-7</v>
      </c>
      <c r="I73" t="s">
        <v>724</v>
      </c>
      <c r="J73" t="str">
        <f>IF(AND(SD!$C$19=SD!$H$2,Grade!$G$1="Per level"),VLOOKUP(B73,Grade!$E$1:$F$200,2,FALSE),IF(AND(SD!$C$19=SD!$H$2,Grade!$G$1="Per Bar Size"),VLOOKUP(W73,Grade!$B$1:$C$12,2,0),SD!$C$19))</f>
        <v>A615 Grade 60</v>
      </c>
      <c r="K73" t="s">
        <v>66</v>
      </c>
      <c r="L73" s="24" t="str">
        <f>IFERROR(IF(A73&lt;&gt;A74,"",IF(DF73="No Lap","",IF(K74="Lap",U73,IF(K74="Coupler",_xlfn._xlws.FILTER(CCoupler,(CCName=SD!$C$8)*(CBSize=IF(A72=A73,W73&amp;W74,W73&amp;W73))*(CCMFM="Male")),"")))),"N/A")</f>
        <v>5-1</v>
      </c>
      <c r="M73" t="str">
        <f t="shared" si="3"/>
        <v/>
      </c>
      <c r="N73" t="s">
        <v>692</v>
      </c>
      <c r="O73" t="s">
        <v>693</v>
      </c>
      <c r="P73" t="s">
        <v>692</v>
      </c>
      <c r="Q73" t="str">
        <f>IF(AND(SD!$C$29=SD!$P$2,Grade!$O$1="Per level"),VLOOKUP(B73,Grade!$M$1:$N$200,2,FALSE),IF(AND(SD!$C$29=SD!$P$2,Grade!$O$1="Per Bar Size"),VLOOKUP(LEFT(N73,FIND("@",N73)-2),Grade!$J$1:$K$12,2,0),SD!$C$29))</f>
        <v>A615 Grade 60</v>
      </c>
      <c r="R73" t="s">
        <v>701</v>
      </c>
      <c r="S73" s="57">
        <v>73</v>
      </c>
      <c r="U73" t="str">
        <f>IF(Data!$J73="",IFERROR(INDEX(IF(SD!$C$11="Create",Lap!$A$3:$BF$14,IF(SD!$C$11="Per Uploaded File",Lap!$A$19:$BF$30,"")),MATCH(W73,Lap!$A$3:$A$14,0),MATCH(VALUE(D73),Lap!$A$3:$BF$3,0)+IF(IFERROR(FIND("Grade 60",J73),0)&gt;0,0,IF(IFERROR(FIND("Grade 80",J73),0),1,IF(IFERROR(FIND("Grade 75",J73),0),2,"")))),""),Data!J73)</f>
        <v>5-1</v>
      </c>
      <c r="W73" t="s">
        <v>166</v>
      </c>
      <c r="X73">
        <v>12</v>
      </c>
      <c r="Y73" t="str">
        <f t="shared" si="4"/>
        <v xml:space="preserve">18 </v>
      </c>
      <c r="Z73" t="str">
        <f t="shared" si="5"/>
        <v xml:space="preserve"> 72</v>
      </c>
      <c r="DE73" t="s">
        <v>831</v>
      </c>
      <c r="DF73" t="s">
        <v>66</v>
      </c>
      <c r="DG73" t="str">
        <f>VLOOKUP(W73,'Level Wise PSI'!$F$2:$G$12,2,FALSE)</f>
        <v>Double Lift</v>
      </c>
    </row>
    <row r="74" spans="1:111" x14ac:dyDescent="0.25">
      <c r="A74">
        <v>31</v>
      </c>
      <c r="B74" t="s">
        <v>668</v>
      </c>
      <c r="C74" s="15">
        <v>2429</v>
      </c>
      <c r="D74" s="15">
        <v>10000</v>
      </c>
      <c r="E74" t="str">
        <f>IF(B74=Level!$A$2,SD!$C$14,SD!$C$13)</f>
        <v>0-8</v>
      </c>
      <c r="F74" s="15" t="s">
        <v>763</v>
      </c>
      <c r="G74" t="s">
        <v>723</v>
      </c>
      <c r="H74" t="str">
        <f>RIGHT(VLOOKUP(B74,Level!A:C,3,FALSE),LEN(VLOOKUP(B74,Level!A:C,3,FALSE))-1)</f>
        <v>10-7</v>
      </c>
      <c r="I74" t="s">
        <v>724</v>
      </c>
      <c r="J74" t="str">
        <f>IF(AND(SD!$C$19=SD!$H$2,Grade!$G$1="Per level"),VLOOKUP(B74,Grade!$E$1:$F$200,2,FALSE),IF(AND(SD!$C$19=SD!$H$2,Grade!$G$1="Per Bar Size"),VLOOKUP(W74,Grade!$B$1:$C$12,2,0),SD!$C$19))</f>
        <v>A615 Grade 60</v>
      </c>
      <c r="K74" t="s">
        <v>66</v>
      </c>
      <c r="L74" s="24" t="str">
        <f>IFERROR(IF(A74&lt;&gt;A75,"",IF(DF74="No Lap","",IF(K75="Lap",U74,IF(K75="Coupler",_xlfn._xlws.FILTER(CCoupler,(CCName=SD!$C$8)*(CBSize=IF(A73=A74,W74&amp;W75,W74&amp;W74))*(CCMFM="Male")),"")))),"N/A")</f>
        <v>5-1</v>
      </c>
      <c r="M74" t="str">
        <f t="shared" si="3"/>
        <v/>
      </c>
      <c r="N74" t="s">
        <v>692</v>
      </c>
      <c r="O74" t="s">
        <v>693</v>
      </c>
      <c r="P74" t="s">
        <v>692</v>
      </c>
      <c r="Q74" t="str">
        <f>IF(AND(SD!$C$29=SD!$P$2,Grade!$O$1="Per level"),VLOOKUP(B74,Grade!$M$1:$N$200,2,FALSE),IF(AND(SD!$C$29=SD!$P$2,Grade!$O$1="Per Bar Size"),VLOOKUP(LEFT(N74,FIND("@",N74)-2),Grade!$J$1:$K$12,2,0),SD!$C$29))</f>
        <v>A615 Grade 60</v>
      </c>
      <c r="R74" t="s">
        <v>701</v>
      </c>
      <c r="S74" s="57">
        <v>74</v>
      </c>
      <c r="U74" t="str">
        <f>IF(Data!$J74="",IFERROR(INDEX(IF(SD!$C$11="Create",Lap!$A$3:$BF$14,IF(SD!$C$11="Per Uploaded File",Lap!$A$19:$BF$30,"")),MATCH(W74,Lap!$A$3:$A$14,0),MATCH(VALUE(D74),Lap!$A$3:$BF$3,0)+IF(IFERROR(FIND("Grade 60",J74),0)&gt;0,0,IF(IFERROR(FIND("Grade 80",J74),0),1,IF(IFERROR(FIND("Grade 75",J74),0),2,"")))),""),Data!J74)</f>
        <v>5-1</v>
      </c>
      <c r="W74" t="s">
        <v>166</v>
      </c>
      <c r="X74">
        <v>12</v>
      </c>
      <c r="Y74" t="str">
        <f t="shared" si="4"/>
        <v xml:space="preserve">18 </v>
      </c>
      <c r="Z74" t="str">
        <f t="shared" si="5"/>
        <v xml:space="preserve"> 72</v>
      </c>
      <c r="DE74" t="s">
        <v>831</v>
      </c>
      <c r="DF74" t="s">
        <v>66</v>
      </c>
      <c r="DG74" t="str">
        <f>VLOOKUP(W74,'Level Wise PSI'!$F$2:$G$12,2,FALSE)</f>
        <v>Double Lift</v>
      </c>
    </row>
    <row r="75" spans="1:111" x14ac:dyDescent="0.25">
      <c r="A75">
        <v>31</v>
      </c>
      <c r="B75" t="s">
        <v>670</v>
      </c>
      <c r="C75" s="15">
        <v>2429</v>
      </c>
      <c r="D75" s="15">
        <v>10000</v>
      </c>
      <c r="E75" t="str">
        <f>IF(B75=Level!$A$2,SD!$C$14,SD!$C$13)</f>
        <v>0-8</v>
      </c>
      <c r="F75" s="15" t="s">
        <v>763</v>
      </c>
      <c r="G75" t="s">
        <v>723</v>
      </c>
      <c r="H75" t="str">
        <f>RIGHT(VLOOKUP(B75,Level!A:C,3,FALSE),LEN(VLOOKUP(B75,Level!A:C,3,FALSE))-1)</f>
        <v>10-7</v>
      </c>
      <c r="I75" t="s">
        <v>724</v>
      </c>
      <c r="J75" t="str">
        <f>IF(AND(SD!$C$19=SD!$H$2,Grade!$G$1="Per level"),VLOOKUP(B75,Grade!$E$1:$F$200,2,FALSE),IF(AND(SD!$C$19=SD!$H$2,Grade!$G$1="Per Bar Size"),VLOOKUP(W75,Grade!$B$1:$C$12,2,0),SD!$C$19))</f>
        <v>A615 Grade 60</v>
      </c>
      <c r="K75" t="s">
        <v>66</v>
      </c>
      <c r="L75" s="24" t="str">
        <f>IFERROR(IF(A75&lt;&gt;A76,"",IF(DF75="No Lap","",IF(K76="Lap",U75,IF(K76="Coupler",_xlfn._xlws.FILTER(CCoupler,(CCName=SD!$C$8)*(CBSize=IF(A74=A75,W75&amp;W76,W75&amp;W75))*(CCMFM="Male")),"")))),"N/A")</f>
        <v>5-1</v>
      </c>
      <c r="M75" t="str">
        <f t="shared" si="3"/>
        <v/>
      </c>
      <c r="N75" t="s">
        <v>692</v>
      </c>
      <c r="O75" t="s">
        <v>693</v>
      </c>
      <c r="P75" t="s">
        <v>692</v>
      </c>
      <c r="Q75" t="str">
        <f>IF(AND(SD!$C$29=SD!$P$2,Grade!$O$1="Per level"),VLOOKUP(B75,Grade!$M$1:$N$200,2,FALSE),IF(AND(SD!$C$29=SD!$P$2,Grade!$O$1="Per Bar Size"),VLOOKUP(LEFT(N75,FIND("@",N75)-2),Grade!$J$1:$K$12,2,0),SD!$C$29))</f>
        <v>A615 Grade 60</v>
      </c>
      <c r="R75" t="s">
        <v>701</v>
      </c>
      <c r="S75" s="57">
        <v>75</v>
      </c>
      <c r="U75" t="str">
        <f>IF(Data!$J75="",IFERROR(INDEX(IF(SD!$C$11="Create",Lap!$A$3:$BF$14,IF(SD!$C$11="Per Uploaded File",Lap!$A$19:$BF$30,"")),MATCH(W75,Lap!$A$3:$A$14,0),MATCH(VALUE(D75),Lap!$A$3:$BF$3,0)+IF(IFERROR(FIND("Grade 60",J75),0)&gt;0,0,IF(IFERROR(FIND("Grade 80",J75),0),1,IF(IFERROR(FIND("Grade 75",J75),0),2,"")))),""),Data!J75)</f>
        <v>5-1</v>
      </c>
      <c r="W75" t="s">
        <v>166</v>
      </c>
      <c r="X75">
        <v>12</v>
      </c>
      <c r="Y75" t="str">
        <f t="shared" si="4"/>
        <v xml:space="preserve">18 </v>
      </c>
      <c r="Z75" t="str">
        <f t="shared" si="5"/>
        <v xml:space="preserve"> 72</v>
      </c>
      <c r="DE75" t="s">
        <v>831</v>
      </c>
      <c r="DF75" t="s">
        <v>66</v>
      </c>
      <c r="DG75" t="str">
        <f>VLOOKUP(W75,'Level Wise PSI'!$F$2:$G$12,2,FALSE)</f>
        <v>Double Lift</v>
      </c>
    </row>
    <row r="76" spans="1:111" x14ac:dyDescent="0.25">
      <c r="A76">
        <v>31</v>
      </c>
      <c r="B76" t="s">
        <v>672</v>
      </c>
      <c r="C76" s="15">
        <v>2429</v>
      </c>
      <c r="D76" s="15">
        <v>10000</v>
      </c>
      <c r="E76" t="str">
        <f>IF(B76=Level!$A$2,SD!$C$14,SD!$C$13)</f>
        <v>0-8</v>
      </c>
      <c r="F76" s="15" t="s">
        <v>763</v>
      </c>
      <c r="G76" t="s">
        <v>723</v>
      </c>
      <c r="H76" t="str">
        <f>RIGHT(VLOOKUP(B76,Level!A:C,3,FALSE),LEN(VLOOKUP(B76,Level!A:C,3,FALSE))-1)</f>
        <v>10-7</v>
      </c>
      <c r="I76" t="s">
        <v>724</v>
      </c>
      <c r="J76" t="str">
        <f>IF(AND(SD!$C$19=SD!$H$2,Grade!$G$1="Per level"),VLOOKUP(B76,Grade!$E$1:$F$200,2,FALSE),IF(AND(SD!$C$19=SD!$H$2,Grade!$G$1="Per Bar Size"),VLOOKUP(W76,Grade!$B$1:$C$12,2,0),SD!$C$19))</f>
        <v>A615 Grade 60</v>
      </c>
      <c r="K76" t="s">
        <v>66</v>
      </c>
      <c r="L76" s="24" t="str">
        <f>IFERROR(IF(A76&lt;&gt;A77,"",IF(DF76="No Lap","",IF(K77="Lap",U76,IF(K77="Coupler",_xlfn._xlws.FILTER(CCoupler,(CCName=SD!$C$8)*(CBSize=IF(A75=A76,W76&amp;W77,W76&amp;W76))*(CCMFM="Male")),"")))),"N/A")</f>
        <v>5-1</v>
      </c>
      <c r="M76" t="str">
        <f t="shared" si="3"/>
        <v/>
      </c>
      <c r="N76" t="s">
        <v>692</v>
      </c>
      <c r="O76" t="s">
        <v>693</v>
      </c>
      <c r="P76" t="s">
        <v>692</v>
      </c>
      <c r="Q76" t="str">
        <f>IF(AND(SD!$C$29=SD!$P$2,Grade!$O$1="Per level"),VLOOKUP(B76,Grade!$M$1:$N$200,2,FALSE),IF(AND(SD!$C$29=SD!$P$2,Grade!$O$1="Per Bar Size"),VLOOKUP(LEFT(N76,FIND("@",N76)-2),Grade!$J$1:$K$12,2,0),SD!$C$29))</f>
        <v>A615 Grade 60</v>
      </c>
      <c r="R76" t="s">
        <v>701</v>
      </c>
      <c r="S76" s="57">
        <v>76</v>
      </c>
      <c r="U76" t="str">
        <f>IF(Data!$J76="",IFERROR(INDEX(IF(SD!$C$11="Create",Lap!$A$3:$BF$14,IF(SD!$C$11="Per Uploaded File",Lap!$A$19:$BF$30,"")),MATCH(W76,Lap!$A$3:$A$14,0),MATCH(VALUE(D76),Lap!$A$3:$BF$3,0)+IF(IFERROR(FIND("Grade 60",J76),0)&gt;0,0,IF(IFERROR(FIND("Grade 80",J76),0),1,IF(IFERROR(FIND("Grade 75",J76),0),2,"")))),""),Data!J76)</f>
        <v>5-1</v>
      </c>
      <c r="W76" t="s">
        <v>166</v>
      </c>
      <c r="X76">
        <v>12</v>
      </c>
      <c r="Y76" t="str">
        <f t="shared" si="4"/>
        <v xml:space="preserve">18 </v>
      </c>
      <c r="Z76" t="str">
        <f t="shared" si="5"/>
        <v xml:space="preserve"> 72</v>
      </c>
      <c r="DE76" t="s">
        <v>831</v>
      </c>
      <c r="DF76" t="s">
        <v>66</v>
      </c>
      <c r="DG76" t="str">
        <f>VLOOKUP(W76,'Level Wise PSI'!$F$2:$G$12,2,FALSE)</f>
        <v>Double Lift</v>
      </c>
    </row>
    <row r="77" spans="1:111" x14ac:dyDescent="0.25">
      <c r="A77">
        <v>31</v>
      </c>
      <c r="B77" t="s">
        <v>674</v>
      </c>
      <c r="C77" s="15">
        <v>2429</v>
      </c>
      <c r="D77" s="15">
        <v>10000</v>
      </c>
      <c r="E77" t="str">
        <f>IF(B77=Level!$A$2,SD!$C$14,SD!$C$13)</f>
        <v>0-8</v>
      </c>
      <c r="F77" s="15" t="s">
        <v>763</v>
      </c>
      <c r="G77" t="s">
        <v>723</v>
      </c>
      <c r="H77" t="str">
        <f>RIGHT(VLOOKUP(B77,Level!A:C,3,FALSE),LEN(VLOOKUP(B77,Level!A:C,3,FALSE))-1)</f>
        <v>10-7</v>
      </c>
      <c r="I77" t="s">
        <v>724</v>
      </c>
      <c r="J77" t="str">
        <f>IF(AND(SD!$C$19=SD!$H$2,Grade!$G$1="Per level"),VLOOKUP(B77,Grade!$E$1:$F$200,2,FALSE),IF(AND(SD!$C$19=SD!$H$2,Grade!$G$1="Per Bar Size"),VLOOKUP(W77,Grade!$B$1:$C$12,2,0),SD!$C$19))</f>
        <v>A615 Grade 60</v>
      </c>
      <c r="K77" t="s">
        <v>66</v>
      </c>
      <c r="L77" s="24" t="str">
        <f>IFERROR(IF(A77&lt;&gt;A78,"",IF(DF77="No Lap","",IF(K78="Lap",U77,IF(K78="Coupler",_xlfn._xlws.FILTER(CCoupler,(CCName=SD!$C$8)*(CBSize=IF(A76=A77,W77&amp;W78,W77&amp;W77))*(CCMFM="Male")),"")))),"N/A")</f>
        <v>5-1</v>
      </c>
      <c r="M77" t="str">
        <f t="shared" si="3"/>
        <v/>
      </c>
      <c r="N77" t="s">
        <v>692</v>
      </c>
      <c r="O77" t="s">
        <v>693</v>
      </c>
      <c r="P77" t="s">
        <v>692</v>
      </c>
      <c r="Q77" t="str">
        <f>IF(AND(SD!$C$29=SD!$P$2,Grade!$O$1="Per level"),VLOOKUP(B77,Grade!$M$1:$N$200,2,FALSE),IF(AND(SD!$C$29=SD!$P$2,Grade!$O$1="Per Bar Size"),VLOOKUP(LEFT(N77,FIND("@",N77)-2),Grade!$J$1:$K$12,2,0),SD!$C$29))</f>
        <v>A615 Grade 60</v>
      </c>
      <c r="R77" t="s">
        <v>701</v>
      </c>
      <c r="S77" s="57">
        <v>77</v>
      </c>
      <c r="U77" t="str">
        <f>IF(Data!$J77="",IFERROR(INDEX(IF(SD!$C$11="Create",Lap!$A$3:$BF$14,IF(SD!$C$11="Per Uploaded File",Lap!$A$19:$BF$30,"")),MATCH(W77,Lap!$A$3:$A$14,0),MATCH(VALUE(D77),Lap!$A$3:$BF$3,0)+IF(IFERROR(FIND("Grade 60",J77),0)&gt;0,0,IF(IFERROR(FIND("Grade 80",J77),0),1,IF(IFERROR(FIND("Grade 75",J77),0),2,"")))),""),Data!J77)</f>
        <v>5-1</v>
      </c>
      <c r="W77" t="s">
        <v>166</v>
      </c>
      <c r="X77">
        <v>12</v>
      </c>
      <c r="Y77" t="str">
        <f t="shared" si="4"/>
        <v xml:space="preserve">18 </v>
      </c>
      <c r="Z77" t="str">
        <f t="shared" si="5"/>
        <v xml:space="preserve"> 72</v>
      </c>
      <c r="DE77" t="s">
        <v>831</v>
      </c>
      <c r="DF77" t="s">
        <v>66</v>
      </c>
      <c r="DG77" t="str">
        <f>VLOOKUP(W77,'Level Wise PSI'!$F$2:$G$12,2,FALSE)</f>
        <v>Double Lift</v>
      </c>
    </row>
    <row r="78" spans="1:111" x14ac:dyDescent="0.25">
      <c r="A78">
        <v>31</v>
      </c>
      <c r="B78" t="s">
        <v>676</v>
      </c>
      <c r="C78" s="15">
        <v>2429</v>
      </c>
      <c r="D78" s="15">
        <v>10000</v>
      </c>
      <c r="E78" t="str">
        <f>IF(B78=Level!$A$2,SD!$C$14,SD!$C$13)</f>
        <v>0-8</v>
      </c>
      <c r="F78" s="15" t="s">
        <v>763</v>
      </c>
      <c r="G78" t="s">
        <v>723</v>
      </c>
      <c r="H78" t="str">
        <f>RIGHT(VLOOKUP(B78,Level!A:C,3,FALSE),LEN(VLOOKUP(B78,Level!A:C,3,FALSE))-1)</f>
        <v>10-7</v>
      </c>
      <c r="I78" t="s">
        <v>724</v>
      </c>
      <c r="J78" t="str">
        <f>IF(AND(SD!$C$19=SD!$H$2,Grade!$G$1="Per level"),VLOOKUP(B78,Grade!$E$1:$F$200,2,FALSE),IF(AND(SD!$C$19=SD!$H$2,Grade!$G$1="Per Bar Size"),VLOOKUP(W78,Grade!$B$1:$C$12,2,0),SD!$C$19))</f>
        <v>A615 Grade 60</v>
      </c>
      <c r="K78" t="s">
        <v>66</v>
      </c>
      <c r="L78" s="24" t="str">
        <f>IFERROR(IF(A78&lt;&gt;A79,"",IF(DF78="No Lap","",IF(K79="Lap",U78,IF(K79="Coupler",_xlfn._xlws.FILTER(CCoupler,(CCName=SD!$C$8)*(CBSize=IF(A77=A78,W78&amp;W79,W78&amp;W78))*(CCMFM="Male")),"")))),"N/A")</f>
        <v>5-1</v>
      </c>
      <c r="M78" t="str">
        <f t="shared" si="3"/>
        <v/>
      </c>
      <c r="N78" t="s">
        <v>692</v>
      </c>
      <c r="O78" t="s">
        <v>693</v>
      </c>
      <c r="P78" t="s">
        <v>692</v>
      </c>
      <c r="Q78" t="str">
        <f>IF(AND(SD!$C$29=SD!$P$2,Grade!$O$1="Per level"),VLOOKUP(B78,Grade!$M$1:$N$200,2,FALSE),IF(AND(SD!$C$29=SD!$P$2,Grade!$O$1="Per Bar Size"),VLOOKUP(LEFT(N78,FIND("@",N78)-2),Grade!$J$1:$K$12,2,0),SD!$C$29))</f>
        <v>A615 Grade 60</v>
      </c>
      <c r="R78" t="s">
        <v>701</v>
      </c>
      <c r="S78" s="57">
        <v>78</v>
      </c>
      <c r="U78" t="str">
        <f>IF(Data!$J78="",IFERROR(INDEX(IF(SD!$C$11="Create",Lap!$A$3:$BF$14,IF(SD!$C$11="Per Uploaded File",Lap!$A$19:$BF$30,"")),MATCH(W78,Lap!$A$3:$A$14,0),MATCH(VALUE(D78),Lap!$A$3:$BF$3,0)+IF(IFERROR(FIND("Grade 60",J78),0)&gt;0,0,IF(IFERROR(FIND("Grade 80",J78),0),1,IF(IFERROR(FIND("Grade 75",J78),0),2,"")))),""),Data!J78)</f>
        <v>5-1</v>
      </c>
      <c r="W78" t="s">
        <v>166</v>
      </c>
      <c r="X78">
        <v>12</v>
      </c>
      <c r="Y78" t="str">
        <f t="shared" si="4"/>
        <v xml:space="preserve">18 </v>
      </c>
      <c r="Z78" t="str">
        <f t="shared" si="5"/>
        <v xml:space="preserve"> 72</v>
      </c>
      <c r="DE78" t="s">
        <v>831</v>
      </c>
      <c r="DF78" t="s">
        <v>66</v>
      </c>
      <c r="DG78" t="str">
        <f>VLOOKUP(W78,'Level Wise PSI'!$F$2:$G$12,2,FALSE)</f>
        <v>Double Lift</v>
      </c>
    </row>
    <row r="79" spans="1:111" x14ac:dyDescent="0.25">
      <c r="A79">
        <v>31</v>
      </c>
      <c r="B79" t="s">
        <v>678</v>
      </c>
      <c r="C79" s="15">
        <v>2429</v>
      </c>
      <c r="D79" s="15">
        <v>10000</v>
      </c>
      <c r="E79" t="str">
        <f>IF(B79=Level!$A$2,SD!$C$14,SD!$C$13)</f>
        <v>0-8</v>
      </c>
      <c r="F79" s="15" t="s">
        <v>763</v>
      </c>
      <c r="G79" t="s">
        <v>723</v>
      </c>
      <c r="H79" t="str">
        <f>RIGHT(VLOOKUP(B79,Level!A:C,3,FALSE),LEN(VLOOKUP(B79,Level!A:C,3,FALSE))-1)</f>
        <v>10-7</v>
      </c>
      <c r="I79" t="s">
        <v>724</v>
      </c>
      <c r="J79" t="str">
        <f>IF(AND(SD!$C$19=SD!$H$2,Grade!$G$1="Per level"),VLOOKUP(B79,Grade!$E$1:$F$200,2,FALSE),IF(AND(SD!$C$19=SD!$H$2,Grade!$G$1="Per Bar Size"),VLOOKUP(W79,Grade!$B$1:$C$12,2,0),SD!$C$19))</f>
        <v>A615 Grade 60</v>
      </c>
      <c r="K79" t="s">
        <v>66</v>
      </c>
      <c r="L79" s="24" t="str">
        <f>IFERROR(IF(A79&lt;&gt;A80,"",IF(DF79="No Lap","",IF(K80="Lap",U79,IF(K80="Coupler",_xlfn._xlws.FILTER(CCoupler,(CCName=SD!$C$8)*(CBSize=IF(A78=A79,W79&amp;W80,W79&amp;W79))*(CCMFM="Male")),"")))),"N/A")</f>
        <v>5-1</v>
      </c>
      <c r="M79" t="str">
        <f t="shared" si="3"/>
        <v/>
      </c>
      <c r="N79" t="s">
        <v>692</v>
      </c>
      <c r="O79" t="s">
        <v>693</v>
      </c>
      <c r="P79" t="s">
        <v>692</v>
      </c>
      <c r="Q79" t="str">
        <f>IF(AND(SD!$C$29=SD!$P$2,Grade!$O$1="Per level"),VLOOKUP(B79,Grade!$M$1:$N$200,2,FALSE),IF(AND(SD!$C$29=SD!$P$2,Grade!$O$1="Per Bar Size"),VLOOKUP(LEFT(N79,FIND("@",N79)-2),Grade!$J$1:$K$12,2,0),SD!$C$29))</f>
        <v>A615 Grade 60</v>
      </c>
      <c r="R79" t="s">
        <v>701</v>
      </c>
      <c r="S79" s="57">
        <v>79</v>
      </c>
      <c r="U79" t="str">
        <f>IF(Data!$J79="",IFERROR(INDEX(IF(SD!$C$11="Create",Lap!$A$3:$BF$14,IF(SD!$C$11="Per Uploaded File",Lap!$A$19:$BF$30,"")),MATCH(W79,Lap!$A$3:$A$14,0),MATCH(VALUE(D79),Lap!$A$3:$BF$3,0)+IF(IFERROR(FIND("Grade 60",J79),0)&gt;0,0,IF(IFERROR(FIND("Grade 80",J79),0),1,IF(IFERROR(FIND("Grade 75",J79),0),2,"")))),""),Data!J79)</f>
        <v>5-1</v>
      </c>
      <c r="W79" t="s">
        <v>166</v>
      </c>
      <c r="X79">
        <v>12</v>
      </c>
      <c r="Y79" t="str">
        <f t="shared" si="4"/>
        <v xml:space="preserve">18 </v>
      </c>
      <c r="Z79" t="str">
        <f t="shared" si="5"/>
        <v xml:space="preserve"> 72</v>
      </c>
      <c r="DE79" t="s">
        <v>831</v>
      </c>
      <c r="DF79" t="s">
        <v>66</v>
      </c>
      <c r="DG79" t="str">
        <f>VLOOKUP(W79,'Level Wise PSI'!$F$2:$G$12,2,FALSE)</f>
        <v>Double Lift</v>
      </c>
    </row>
    <row r="80" spans="1:111" x14ac:dyDescent="0.25">
      <c r="A80">
        <v>31</v>
      </c>
      <c r="B80" t="s">
        <v>680</v>
      </c>
      <c r="C80" s="15">
        <v>2429</v>
      </c>
      <c r="D80" s="15">
        <v>10000</v>
      </c>
      <c r="E80" t="str">
        <f>IF(B80=Level!$A$2,SD!$C$14,SD!$C$13)</f>
        <v>0-8</v>
      </c>
      <c r="F80" s="15" t="s">
        <v>763</v>
      </c>
      <c r="G80" t="s">
        <v>723</v>
      </c>
      <c r="H80" t="str">
        <f>RIGHT(VLOOKUP(B80,Level!A:C,3,FALSE),LEN(VLOOKUP(B80,Level!A:C,3,FALSE))-1)</f>
        <v>10-7</v>
      </c>
      <c r="I80" t="s">
        <v>725</v>
      </c>
      <c r="J80" t="str">
        <f>IF(AND(SD!$C$19=SD!$H$2,Grade!$G$1="Per level"),VLOOKUP(B80,Grade!$E$1:$F$200,2,FALSE),IF(AND(SD!$C$19=SD!$H$2,Grade!$G$1="Per Bar Size"),VLOOKUP(W80,Grade!$B$1:$C$12,2,0),SD!$C$19))</f>
        <v>A615 Grade 60</v>
      </c>
      <c r="K80" t="s">
        <v>66</v>
      </c>
      <c r="L80" s="24" t="str">
        <f>IFERROR(IF(A80&lt;&gt;A81,"",IF(DF80="No Lap","",IF(K81="Lap",U80,IF(K81="Coupler",_xlfn._xlws.FILTER(CCoupler,(CCName=SD!$C$8)*(CBSize=IF(A79=A80,W80&amp;W81,W80&amp;W80))*(CCMFM="Male")),"")))),"N/A")</f>
        <v/>
      </c>
      <c r="M80" t="str">
        <f t="shared" si="3"/>
        <v/>
      </c>
      <c r="N80" t="s">
        <v>692</v>
      </c>
      <c r="O80" t="s">
        <v>693</v>
      </c>
      <c r="P80" t="s">
        <v>692</v>
      </c>
      <c r="Q80" t="str">
        <f>IF(AND(SD!$C$29=SD!$P$2,Grade!$O$1="Per level"),VLOOKUP(B80,Grade!$M$1:$N$200,2,FALSE),IF(AND(SD!$C$29=SD!$P$2,Grade!$O$1="Per Bar Size"),VLOOKUP(LEFT(N80,FIND("@",N80)-2),Grade!$J$1:$K$12,2,0),SD!$C$29))</f>
        <v>A615 Grade 60</v>
      </c>
      <c r="R80" t="s">
        <v>705</v>
      </c>
      <c r="S80" s="57">
        <v>80</v>
      </c>
      <c r="U80" t="str">
        <f>IF(Data!$J80="",IFERROR(INDEX(IF(SD!$C$11="Create",Lap!$A$3:$BF$14,IF(SD!$C$11="Per Uploaded File",Lap!$A$19:$BF$30,"")),MATCH(W80,Lap!$A$3:$A$14,0),MATCH(VALUE(D80),Lap!$A$3:$BF$3,0)+IF(IFERROR(FIND("Grade 60",J80),0)&gt;0,0,IF(IFERROR(FIND("Grade 80",J80),0),1,IF(IFERROR(FIND("Grade 75",J80),0),2,"")))),""),Data!J80)</f>
        <v>4-6</v>
      </c>
      <c r="W80" t="s">
        <v>154</v>
      </c>
      <c r="X80">
        <v>16</v>
      </c>
      <c r="Y80" t="str">
        <f t="shared" si="4"/>
        <v xml:space="preserve">18 </v>
      </c>
      <c r="Z80" t="str">
        <f t="shared" si="5"/>
        <v xml:space="preserve"> 72</v>
      </c>
      <c r="DE80" t="s">
        <v>831</v>
      </c>
      <c r="DF80" t="s">
        <v>66</v>
      </c>
      <c r="DG80" t="str">
        <f>VLOOKUP(W80,'Level Wise PSI'!$F$2:$G$12,2,FALSE)</f>
        <v>Double Lift</v>
      </c>
    </row>
    <row r="81" spans="1:111" x14ac:dyDescent="0.25">
      <c r="A81">
        <v>32</v>
      </c>
      <c r="B81" t="s">
        <v>658</v>
      </c>
      <c r="C81" s="15">
        <v>2429</v>
      </c>
      <c r="D81" s="15">
        <v>10000</v>
      </c>
      <c r="E81" t="str">
        <f>IF(B81=Level!$A$2,SD!$C$14,SD!$C$13)</f>
        <v>3-0</v>
      </c>
      <c r="F81" s="15" t="s">
        <v>763</v>
      </c>
      <c r="G81" t="s">
        <v>706</v>
      </c>
      <c r="H81" s="15" t="s">
        <v>758</v>
      </c>
      <c r="I81" t="s">
        <v>696</v>
      </c>
      <c r="J81" t="str">
        <f>IF(AND(SD!$C$19=SD!$H$2,Grade!$G$1="Per level"),VLOOKUP(B81,Grade!$E$1:$F$200,2,FALSE),IF(AND(SD!$C$19=SD!$H$2,Grade!$G$1="Per Bar Size"),VLOOKUP(W81,Grade!$B$1:$C$12,2,0),SD!$C$19))</f>
        <v>A615 Grade 60</v>
      </c>
      <c r="K81" t="s">
        <v>66</v>
      </c>
      <c r="L81" s="24" t="str">
        <f>IFERROR(IF(A81&lt;&gt;A82,"",IF(DF81="No Lap","",IF(K82="Lap",U81,IF(K82="Coupler",_xlfn._xlws.FILTER(CCoupler,(CCName=SD!$C$8)*(CBSize=IF(A80=A81,W81&amp;W82,W81&amp;W81))*(CCMFM="Male")),"")))),"N/A")</f>
        <v/>
      </c>
      <c r="M81" t="str">
        <f t="shared" si="3"/>
        <v/>
      </c>
      <c r="N81" t="s">
        <v>692</v>
      </c>
      <c r="O81" t="s">
        <v>693</v>
      </c>
      <c r="P81" t="s">
        <v>692</v>
      </c>
      <c r="Q81" t="str">
        <f>IF(AND(SD!$C$29=SD!$P$2,Grade!$O$1="Per level"),VLOOKUP(B81,Grade!$M$1:$N$200,2,FALSE),IF(AND(SD!$C$29=SD!$P$2,Grade!$O$1="Per Bar Size"),VLOOKUP(LEFT(N81,FIND("@",N81)-2),Grade!$J$1:$K$12,2,0),SD!$C$29))</f>
        <v>A615 Grade 60</v>
      </c>
      <c r="R81" t="s">
        <v>698</v>
      </c>
      <c r="S81" s="57">
        <v>81</v>
      </c>
      <c r="U81" t="str">
        <f>IF(Data!$J81="",IFERROR(INDEX(IF(SD!$C$11="Create",Lap!$A$3:$BF$14,IF(SD!$C$11="Per Uploaded File",Lap!$A$19:$BF$30,"")),MATCH(W81,Lap!$A$3:$A$14,0),MATCH(VALUE(D81),Lap!$A$3:$BF$3,0)+IF(IFERROR(FIND("Grade 60",J81),0)&gt;0,0,IF(IFERROR(FIND("Grade 80",J81),0),1,IF(IFERROR(FIND("Grade 75",J81),0),2,"")))),""),Data!J81)</f>
        <v>3-6</v>
      </c>
      <c r="W81" t="s">
        <v>129</v>
      </c>
      <c r="X81">
        <v>6</v>
      </c>
      <c r="Y81" t="str">
        <f t="shared" si="4"/>
        <v xml:space="preserve">14 </v>
      </c>
      <c r="Z81" t="str">
        <f t="shared" si="5"/>
        <v xml:space="preserve"> 24</v>
      </c>
      <c r="DE81" t="s">
        <v>706</v>
      </c>
      <c r="DF81" t="s">
        <v>66</v>
      </c>
      <c r="DG81" t="str">
        <f>VLOOKUP(W81,'Level Wise PSI'!$F$2:$G$12,2,FALSE)</f>
        <v>Double Lift</v>
      </c>
    </row>
    <row r="82" spans="1:111" x14ac:dyDescent="0.25">
      <c r="A82">
        <v>33</v>
      </c>
      <c r="B82" t="s">
        <v>658</v>
      </c>
      <c r="C82" s="15">
        <v>2429</v>
      </c>
      <c r="D82" s="15">
        <v>10000</v>
      </c>
      <c r="E82" t="str">
        <f>IF(B82=Level!$A$2,SD!$C$14,SD!$C$13)</f>
        <v>3-0</v>
      </c>
      <c r="F82" s="15" t="s">
        <v>763</v>
      </c>
      <c r="G82" t="s">
        <v>706</v>
      </c>
      <c r="H82" s="15" t="s">
        <v>759</v>
      </c>
      <c r="I82" t="s">
        <v>696</v>
      </c>
      <c r="J82" t="str">
        <f>IF(AND(SD!$C$19=SD!$H$2,Grade!$G$1="Per level"),VLOOKUP(B82,Grade!$E$1:$F$200,2,FALSE),IF(AND(SD!$C$19=SD!$H$2,Grade!$G$1="Per Bar Size"),VLOOKUP(W82,Grade!$B$1:$C$12,2,0),SD!$C$19))</f>
        <v>A615 Grade 60</v>
      </c>
      <c r="K82" t="s">
        <v>66</v>
      </c>
      <c r="L82" s="24" t="str">
        <f>IFERROR(IF(A82&lt;&gt;A83,"",IF(DF82="No Lap","",IF(K83="Lap",U82,IF(K83="Coupler",_xlfn._xlws.FILTER(CCoupler,(CCName=SD!$C$8)*(CBSize=IF(A81=A82,W82&amp;W83,W82&amp;W82))*(CCMFM="Male")),"")))),"N/A")</f>
        <v/>
      </c>
      <c r="M82" t="str">
        <f t="shared" si="3"/>
        <v/>
      </c>
      <c r="N82" t="s">
        <v>692</v>
      </c>
      <c r="O82" t="s">
        <v>693</v>
      </c>
      <c r="P82" t="s">
        <v>692</v>
      </c>
      <c r="Q82" t="str">
        <f>IF(AND(SD!$C$29=SD!$P$2,Grade!$O$1="Per level"),VLOOKUP(B82,Grade!$M$1:$N$200,2,FALSE),IF(AND(SD!$C$29=SD!$P$2,Grade!$O$1="Per Bar Size"),VLOOKUP(LEFT(N82,FIND("@",N82)-2),Grade!$J$1:$K$12,2,0),SD!$C$29))</f>
        <v>A615 Grade 60</v>
      </c>
      <c r="R82" t="s">
        <v>698</v>
      </c>
      <c r="S82" s="57">
        <v>82</v>
      </c>
      <c r="U82" t="str">
        <f>IF(Data!$J82="",IFERROR(INDEX(IF(SD!$C$11="Create",Lap!$A$3:$BF$14,IF(SD!$C$11="Per Uploaded File",Lap!$A$19:$BF$30,"")),MATCH(W82,Lap!$A$3:$A$14,0),MATCH(VALUE(D82),Lap!$A$3:$BF$3,0)+IF(IFERROR(FIND("Grade 60",J82),0)&gt;0,0,IF(IFERROR(FIND("Grade 80",J82),0),1,IF(IFERROR(FIND("Grade 75",J82),0),2,"")))),""),Data!J82)</f>
        <v>3-6</v>
      </c>
      <c r="W82" t="s">
        <v>129</v>
      </c>
      <c r="X82">
        <v>6</v>
      </c>
      <c r="Y82" t="str">
        <f t="shared" si="4"/>
        <v xml:space="preserve">14 </v>
      </c>
      <c r="Z82" t="str">
        <f t="shared" si="5"/>
        <v xml:space="preserve"> 24</v>
      </c>
      <c r="DE82" t="s">
        <v>706</v>
      </c>
      <c r="DF82" t="s">
        <v>66</v>
      </c>
      <c r="DG82" t="str">
        <f>VLOOKUP(W82,'Level Wise PSI'!$F$2:$G$12,2,FALSE)</f>
        <v>Double Lift</v>
      </c>
    </row>
    <row r="83" spans="1:111" x14ac:dyDescent="0.25">
      <c r="A83">
        <v>34</v>
      </c>
      <c r="B83" t="s">
        <v>658</v>
      </c>
      <c r="C83" s="15">
        <v>2429</v>
      </c>
      <c r="D83" s="15">
        <v>10000</v>
      </c>
      <c r="E83" s="15" t="s">
        <v>761</v>
      </c>
      <c r="F83" s="15" t="s">
        <v>763</v>
      </c>
      <c r="G83" t="s">
        <v>713</v>
      </c>
      <c r="H83" s="15" t="s">
        <v>760</v>
      </c>
      <c r="I83" t="s">
        <v>714</v>
      </c>
      <c r="J83" t="str">
        <f>IF(AND(SD!$C$19=SD!$H$2,Grade!$G$1="Per level"),VLOOKUP(B83,Grade!$E$1:$F$200,2,FALSE),IF(AND(SD!$C$19=SD!$H$2,Grade!$G$1="Per Bar Size"),VLOOKUP(W83,Grade!$B$1:$C$12,2,0),SD!$C$19))</f>
        <v>A615 Grade 60</v>
      </c>
      <c r="K83" t="s">
        <v>66</v>
      </c>
      <c r="L83" s="24" t="str">
        <f>IFERROR(IF(A83&lt;&gt;A84,"",IF(DF83="No Lap","",IF(K84="Lap",U83,IF(K84="Coupler",_xlfn._xlws.FILTER(CCoupler,(CCName=SD!$C$8)*(CBSize=IF(A82=A83,W83&amp;W84,W83&amp;W83))*(CCMFM="Male")),"")))),"N/A")</f>
        <v>5-1</v>
      </c>
      <c r="M83" t="str">
        <f t="shared" si="3"/>
        <v/>
      </c>
      <c r="N83" t="s">
        <v>692</v>
      </c>
      <c r="O83" t="s">
        <v>693</v>
      </c>
      <c r="P83" t="s">
        <v>692</v>
      </c>
      <c r="Q83" t="str">
        <f>IF(AND(SD!$C$29=SD!$P$2,Grade!$O$1="Per level"),VLOOKUP(B83,Grade!$M$1:$N$200,2,FALSE),IF(AND(SD!$C$29=SD!$P$2,Grade!$O$1="Per Bar Size"),VLOOKUP(LEFT(N83,FIND("@",N83)-2),Grade!$J$1:$K$12,2,0),SD!$C$29))</f>
        <v>A615 Grade 60</v>
      </c>
      <c r="R83" t="s">
        <v>713</v>
      </c>
      <c r="S83" s="57">
        <v>83</v>
      </c>
      <c r="U83" t="str">
        <f>IF(Data!$J83="",IFERROR(INDEX(IF(SD!$C$11="Create",Lap!$A$3:$BF$14,IF(SD!$C$11="Per Uploaded File",Lap!$A$19:$BF$30,"")),MATCH(W83,Lap!$A$3:$A$14,0),MATCH(VALUE(D83),Lap!$A$3:$BF$3,0)+IF(IFERROR(FIND("Grade 60",J83),0)&gt;0,0,IF(IFERROR(FIND("Grade 80",J83),0),1,IF(IFERROR(FIND("Grade 75",J83),0),2,"")))),""),Data!J83)</f>
        <v>5-1</v>
      </c>
      <c r="W83" t="s">
        <v>166</v>
      </c>
      <c r="X83">
        <v>10</v>
      </c>
      <c r="Y83" t="str">
        <f t="shared" si="4"/>
        <v>36</v>
      </c>
      <c r="Z83">
        <f t="shared" si="5"/>
        <v>0</v>
      </c>
      <c r="DE83" t="s">
        <v>831</v>
      </c>
      <c r="DF83" t="s">
        <v>66</v>
      </c>
      <c r="DG83" t="str">
        <f>VLOOKUP(W83,'Level Wise PSI'!$F$2:$G$12,2,FALSE)</f>
        <v>Double Lift</v>
      </c>
    </row>
    <row r="84" spans="1:111" x14ac:dyDescent="0.25">
      <c r="A84">
        <v>34</v>
      </c>
      <c r="B84" t="s">
        <v>661</v>
      </c>
      <c r="C84" s="15">
        <v>2429</v>
      </c>
      <c r="D84" s="15">
        <v>10000</v>
      </c>
      <c r="E84" t="str">
        <f>IF(B84=Level!$A$2,SD!$C$14,SD!$C$13)</f>
        <v>0-8</v>
      </c>
      <c r="F84" s="15" t="s">
        <v>763</v>
      </c>
      <c r="G84" t="s">
        <v>713</v>
      </c>
      <c r="H84" t="str">
        <f>RIGHT(VLOOKUP(B84,Level!A:C,3,FALSE),LEN(VLOOKUP(B84,Level!A:C,3,FALSE))-1)</f>
        <v>10-7</v>
      </c>
      <c r="I84" t="s">
        <v>714</v>
      </c>
      <c r="J84" t="str">
        <f>IF(AND(SD!$C$19=SD!$H$2,Grade!$G$1="Per level"),VLOOKUP(B84,Grade!$E$1:$F$200,2,FALSE),IF(AND(SD!$C$19=SD!$H$2,Grade!$G$1="Per Bar Size"),VLOOKUP(W84,Grade!$B$1:$C$12,2,0),SD!$C$19))</f>
        <v>A615 Grade 60</v>
      </c>
      <c r="K84" t="s">
        <v>66</v>
      </c>
      <c r="L84" s="24" t="str">
        <f>IFERROR(IF(A84&lt;&gt;A85,"",IF(DF84="No Lap","",IF(K85="Lap",U84,IF(K85="Coupler",_xlfn._xlws.FILTER(CCoupler,(CCName=SD!$C$8)*(CBSize=IF(A83=A84,W84&amp;W85,W84&amp;W84))*(CCMFM="Male")),"")))),"N/A")</f>
        <v>5-1</v>
      </c>
      <c r="M84" t="str">
        <f t="shared" si="3"/>
        <v/>
      </c>
      <c r="N84" t="s">
        <v>692</v>
      </c>
      <c r="O84" t="s">
        <v>693</v>
      </c>
      <c r="P84" t="s">
        <v>692</v>
      </c>
      <c r="Q84" t="str">
        <f>IF(AND(SD!$C$29=SD!$P$2,Grade!$O$1="Per level"),VLOOKUP(B84,Grade!$M$1:$N$200,2,FALSE),IF(AND(SD!$C$29=SD!$P$2,Grade!$O$1="Per Bar Size"),VLOOKUP(LEFT(N84,FIND("@",N84)-2),Grade!$J$1:$K$12,2,0),SD!$C$29))</f>
        <v>A615 Grade 60</v>
      </c>
      <c r="R84" t="s">
        <v>713</v>
      </c>
      <c r="S84" s="57">
        <v>84</v>
      </c>
      <c r="U84" t="str">
        <f>IF(Data!$J84="",IFERROR(INDEX(IF(SD!$C$11="Create",Lap!$A$3:$BF$14,IF(SD!$C$11="Per Uploaded File",Lap!$A$19:$BF$30,"")),MATCH(W84,Lap!$A$3:$A$14,0),MATCH(VALUE(D84),Lap!$A$3:$BF$3,0)+IF(IFERROR(FIND("Grade 60",J84),0)&gt;0,0,IF(IFERROR(FIND("Grade 80",J84),0),1,IF(IFERROR(FIND("Grade 75",J84),0),2,"")))),""),Data!J84)</f>
        <v>5-1</v>
      </c>
      <c r="W84" t="s">
        <v>166</v>
      </c>
      <c r="X84">
        <v>10</v>
      </c>
      <c r="Y84" t="str">
        <f t="shared" si="4"/>
        <v>36</v>
      </c>
      <c r="Z84">
        <f t="shared" si="5"/>
        <v>0</v>
      </c>
      <c r="DE84" t="s">
        <v>831</v>
      </c>
      <c r="DF84" t="s">
        <v>66</v>
      </c>
      <c r="DG84" t="str">
        <f>VLOOKUP(W84,'Level Wise PSI'!$F$2:$G$12,2,FALSE)</f>
        <v>Double Lift</v>
      </c>
    </row>
    <row r="85" spans="1:111" x14ac:dyDescent="0.25">
      <c r="A85">
        <v>34</v>
      </c>
      <c r="B85" t="s">
        <v>664</v>
      </c>
      <c r="C85" s="15">
        <v>2429</v>
      </c>
      <c r="D85" s="15">
        <v>10000</v>
      </c>
      <c r="E85" t="str">
        <f>IF(B85=Level!$A$2,SD!$C$14,SD!$C$13)</f>
        <v>0-8</v>
      </c>
      <c r="F85" s="15" t="s">
        <v>763</v>
      </c>
      <c r="G85" t="s">
        <v>715</v>
      </c>
      <c r="H85" t="str">
        <f>RIGHT(VLOOKUP(B85,Level!A:C,3,FALSE),LEN(VLOOKUP(B85,Level!A:C,3,FALSE))-1)</f>
        <v>10-7</v>
      </c>
      <c r="I85" t="s">
        <v>716</v>
      </c>
      <c r="J85" t="str">
        <f>IF(AND(SD!$C$19=SD!$H$2,Grade!$G$1="Per level"),VLOOKUP(B85,Grade!$E$1:$F$200,2,FALSE),IF(AND(SD!$C$19=SD!$H$2,Grade!$G$1="Per Bar Size"),VLOOKUP(W85,Grade!$B$1:$C$12,2,0),SD!$C$19))</f>
        <v>A615 Grade 60</v>
      </c>
      <c r="K85" t="s">
        <v>66</v>
      </c>
      <c r="L85" s="24" t="str">
        <f>IFERROR(IF(A85&lt;&gt;A86,"",IF(DF85="No Lap","",IF(K86="Lap",U85,IF(K86="Coupler",_xlfn._xlws.FILTER(CCoupler,(CCName=SD!$C$8)*(CBSize=IF(A84=A85,W85&amp;W86,W85&amp;W85))*(CCMFM="Male")),"")))),"N/A")</f>
        <v>5-1</v>
      </c>
      <c r="M85" t="str">
        <f t="shared" si="3"/>
        <v/>
      </c>
      <c r="N85" t="s">
        <v>692</v>
      </c>
      <c r="O85" t="s">
        <v>693</v>
      </c>
      <c r="P85" t="s">
        <v>692</v>
      </c>
      <c r="Q85" t="str">
        <f>IF(AND(SD!$C$29=SD!$P$2,Grade!$O$1="Per level"),VLOOKUP(B85,Grade!$M$1:$N$200,2,FALSE),IF(AND(SD!$C$29=SD!$P$2,Grade!$O$1="Per Bar Size"),VLOOKUP(LEFT(N85,FIND("@",N85)-2),Grade!$J$1:$K$12,2,0),SD!$C$29))</f>
        <v>A615 Grade 60</v>
      </c>
      <c r="R85" t="s">
        <v>715</v>
      </c>
      <c r="S85" s="57">
        <v>85</v>
      </c>
      <c r="U85" t="str">
        <f>IF(Data!$J85="",IFERROR(INDEX(IF(SD!$C$11="Create",Lap!$A$3:$BF$14,IF(SD!$C$11="Per Uploaded File",Lap!$A$19:$BF$30,"")),MATCH(W85,Lap!$A$3:$A$14,0),MATCH(VALUE(D85),Lap!$A$3:$BF$3,0)+IF(IFERROR(FIND("Grade 60",J85),0)&gt;0,0,IF(IFERROR(FIND("Grade 80",J85),0),1,IF(IFERROR(FIND("Grade 75",J85),0),2,"")))),""),Data!J85)</f>
        <v>5-1</v>
      </c>
      <c r="W85" t="s">
        <v>166</v>
      </c>
      <c r="X85">
        <v>6</v>
      </c>
      <c r="Y85" t="str">
        <f t="shared" si="4"/>
        <v>30</v>
      </c>
      <c r="Z85">
        <f t="shared" si="5"/>
        <v>0</v>
      </c>
      <c r="DE85" t="s">
        <v>831</v>
      </c>
      <c r="DF85" t="s">
        <v>66</v>
      </c>
      <c r="DG85" t="str">
        <f>VLOOKUP(W85,'Level Wise PSI'!$F$2:$G$12,2,FALSE)</f>
        <v>Double Lift</v>
      </c>
    </row>
    <row r="86" spans="1:111" x14ac:dyDescent="0.25">
      <c r="A86">
        <v>34</v>
      </c>
      <c r="B86" t="s">
        <v>666</v>
      </c>
      <c r="C86" s="15">
        <v>2429</v>
      </c>
      <c r="D86" s="15">
        <v>10000</v>
      </c>
      <c r="E86" t="str">
        <f>IF(B86=Level!$A$2,SD!$C$14,SD!$C$13)</f>
        <v>0-8</v>
      </c>
      <c r="F86" s="15" t="s">
        <v>763</v>
      </c>
      <c r="G86" t="s">
        <v>715</v>
      </c>
      <c r="H86" t="str">
        <f>RIGHT(VLOOKUP(B86,Level!A:C,3,FALSE),LEN(VLOOKUP(B86,Level!A:C,3,FALSE))-1)</f>
        <v>10-7</v>
      </c>
      <c r="I86" t="s">
        <v>716</v>
      </c>
      <c r="J86" t="str">
        <f>IF(AND(SD!$C$19=SD!$H$2,Grade!$G$1="Per level"),VLOOKUP(B86,Grade!$E$1:$F$200,2,FALSE),IF(AND(SD!$C$19=SD!$H$2,Grade!$G$1="Per Bar Size"),VLOOKUP(W86,Grade!$B$1:$C$12,2,0),SD!$C$19))</f>
        <v>A615 Grade 60</v>
      </c>
      <c r="K86" t="s">
        <v>66</v>
      </c>
      <c r="L86" s="24" t="str">
        <f>IFERROR(IF(A86&lt;&gt;A87,"",IF(DF86="No Lap","",IF(K87="Lap",U86,IF(K87="Coupler",_xlfn._xlws.FILTER(CCoupler,(CCName=SD!$C$8)*(CBSize=IF(A85=A86,W86&amp;W87,W86&amp;W86))*(CCMFM="Male")),"")))),"N/A")</f>
        <v>5-1</v>
      </c>
      <c r="M86" t="str">
        <f t="shared" si="3"/>
        <v/>
      </c>
      <c r="N86" t="s">
        <v>692</v>
      </c>
      <c r="O86" t="s">
        <v>693</v>
      </c>
      <c r="P86" t="s">
        <v>692</v>
      </c>
      <c r="Q86" t="str">
        <f>IF(AND(SD!$C$29=SD!$P$2,Grade!$O$1="Per level"),VLOOKUP(B86,Grade!$M$1:$N$200,2,FALSE),IF(AND(SD!$C$29=SD!$P$2,Grade!$O$1="Per Bar Size"),VLOOKUP(LEFT(N86,FIND("@",N86)-2),Grade!$J$1:$K$12,2,0),SD!$C$29))</f>
        <v>A615 Grade 60</v>
      </c>
      <c r="R86" t="s">
        <v>715</v>
      </c>
      <c r="S86" s="57">
        <v>86</v>
      </c>
      <c r="U86" t="str">
        <f>IF(Data!$J86="",IFERROR(INDEX(IF(SD!$C$11="Create",Lap!$A$3:$BF$14,IF(SD!$C$11="Per Uploaded File",Lap!$A$19:$BF$30,"")),MATCH(W86,Lap!$A$3:$A$14,0),MATCH(VALUE(D86),Lap!$A$3:$BF$3,0)+IF(IFERROR(FIND("Grade 60",J86),0)&gt;0,0,IF(IFERROR(FIND("Grade 80",J86),0),1,IF(IFERROR(FIND("Grade 75",J86),0),2,"")))),""),Data!J86)</f>
        <v>5-1</v>
      </c>
      <c r="W86" t="s">
        <v>166</v>
      </c>
      <c r="X86">
        <v>6</v>
      </c>
      <c r="Y86" t="str">
        <f t="shared" si="4"/>
        <v>30</v>
      </c>
      <c r="Z86">
        <f t="shared" si="5"/>
        <v>0</v>
      </c>
      <c r="DE86" t="s">
        <v>831</v>
      </c>
      <c r="DF86" t="s">
        <v>66</v>
      </c>
      <c r="DG86" t="str">
        <f>VLOOKUP(W86,'Level Wise PSI'!$F$2:$G$12,2,FALSE)</f>
        <v>Double Lift</v>
      </c>
    </row>
    <row r="87" spans="1:111" x14ac:dyDescent="0.25">
      <c r="A87">
        <v>34</v>
      </c>
      <c r="B87" t="s">
        <v>668</v>
      </c>
      <c r="C87" s="15">
        <v>2429</v>
      </c>
      <c r="D87" s="15">
        <v>10000</v>
      </c>
      <c r="E87" t="str">
        <f>IF(B87=Level!$A$2,SD!$C$14,SD!$C$13)</f>
        <v>0-8</v>
      </c>
      <c r="F87" s="15" t="s">
        <v>763</v>
      </c>
      <c r="G87" t="s">
        <v>715</v>
      </c>
      <c r="H87" t="str">
        <f>RIGHT(VLOOKUP(B87,Level!A:C,3,FALSE),LEN(VLOOKUP(B87,Level!A:C,3,FALSE))-1)</f>
        <v>10-7</v>
      </c>
      <c r="I87" t="s">
        <v>716</v>
      </c>
      <c r="J87" t="str">
        <f>IF(AND(SD!$C$19=SD!$H$2,Grade!$G$1="Per level"),VLOOKUP(B87,Grade!$E$1:$F$200,2,FALSE),IF(AND(SD!$C$19=SD!$H$2,Grade!$G$1="Per Bar Size"),VLOOKUP(W87,Grade!$B$1:$C$12,2,0),SD!$C$19))</f>
        <v>A615 Grade 60</v>
      </c>
      <c r="K87" t="s">
        <v>66</v>
      </c>
      <c r="L87" s="24" t="str">
        <f>IFERROR(IF(A87&lt;&gt;A88,"",IF(DF87="No Lap","",IF(K88="Lap",U87,IF(K88="Coupler",_xlfn._xlws.FILTER(CCoupler,(CCName=SD!$C$8)*(CBSize=IF(A86=A87,W87&amp;W88,W87&amp;W87))*(CCMFM="Male")),"")))),"N/A")</f>
        <v>5-1</v>
      </c>
      <c r="M87" t="str">
        <f t="shared" si="3"/>
        <v/>
      </c>
      <c r="N87" t="s">
        <v>692</v>
      </c>
      <c r="O87" t="s">
        <v>693</v>
      </c>
      <c r="P87" t="s">
        <v>692</v>
      </c>
      <c r="Q87" t="str">
        <f>IF(AND(SD!$C$29=SD!$P$2,Grade!$O$1="Per level"),VLOOKUP(B87,Grade!$M$1:$N$200,2,FALSE),IF(AND(SD!$C$29=SD!$P$2,Grade!$O$1="Per Bar Size"),VLOOKUP(LEFT(N87,FIND("@",N87)-2),Grade!$J$1:$K$12,2,0),SD!$C$29))</f>
        <v>A615 Grade 60</v>
      </c>
      <c r="R87" t="s">
        <v>715</v>
      </c>
      <c r="S87" s="57">
        <v>87</v>
      </c>
      <c r="U87" t="str">
        <f>IF(Data!$J87="",IFERROR(INDEX(IF(SD!$C$11="Create",Lap!$A$3:$BF$14,IF(SD!$C$11="Per Uploaded File",Lap!$A$19:$BF$30,"")),MATCH(W87,Lap!$A$3:$A$14,0),MATCH(VALUE(D87),Lap!$A$3:$BF$3,0)+IF(IFERROR(FIND("Grade 60",J87),0)&gt;0,0,IF(IFERROR(FIND("Grade 80",J87),0),1,IF(IFERROR(FIND("Grade 75",J87),0),2,"")))),""),Data!J87)</f>
        <v>5-1</v>
      </c>
      <c r="W87" t="s">
        <v>166</v>
      </c>
      <c r="X87">
        <v>6</v>
      </c>
      <c r="Y87" t="str">
        <f t="shared" si="4"/>
        <v>30</v>
      </c>
      <c r="Z87">
        <f t="shared" si="5"/>
        <v>0</v>
      </c>
      <c r="DE87" t="s">
        <v>831</v>
      </c>
      <c r="DF87" t="s">
        <v>66</v>
      </c>
      <c r="DG87" t="str">
        <f>VLOOKUP(W87,'Level Wise PSI'!$F$2:$G$12,2,FALSE)</f>
        <v>Double Lift</v>
      </c>
    </row>
    <row r="88" spans="1:111" x14ac:dyDescent="0.25">
      <c r="A88">
        <v>34</v>
      </c>
      <c r="B88" t="s">
        <v>670</v>
      </c>
      <c r="C88" s="15">
        <v>2429</v>
      </c>
      <c r="D88" s="15">
        <v>10000</v>
      </c>
      <c r="E88" t="str">
        <f>IF(B88=Level!$A$2,SD!$C$14,SD!$C$13)</f>
        <v>0-8</v>
      </c>
      <c r="F88" s="15" t="s">
        <v>763</v>
      </c>
      <c r="G88" t="s">
        <v>715</v>
      </c>
      <c r="H88" t="str">
        <f>RIGHT(VLOOKUP(B88,Level!A:C,3,FALSE),LEN(VLOOKUP(B88,Level!A:C,3,FALSE))-1)</f>
        <v>10-7</v>
      </c>
      <c r="I88" t="s">
        <v>716</v>
      </c>
      <c r="J88" t="str">
        <f>IF(AND(SD!$C$19=SD!$H$2,Grade!$G$1="Per level"),VLOOKUP(B88,Grade!$E$1:$F$200,2,FALSE),IF(AND(SD!$C$19=SD!$H$2,Grade!$G$1="Per Bar Size"),VLOOKUP(W88,Grade!$B$1:$C$12,2,0),SD!$C$19))</f>
        <v>A615 Grade 60</v>
      </c>
      <c r="K88" t="s">
        <v>66</v>
      </c>
      <c r="L88" s="24" t="str">
        <f>IFERROR(IF(A88&lt;&gt;A89,"",IF(DF88="No Lap","",IF(K89="Lap",U88,IF(K89="Coupler",_xlfn._xlws.FILTER(CCoupler,(CCName=SD!$C$8)*(CBSize=IF(A87=A88,W88&amp;W89,W88&amp;W88))*(CCMFM="Male")),"")))),"N/A")</f>
        <v>5-1</v>
      </c>
      <c r="M88" t="str">
        <f t="shared" si="3"/>
        <v/>
      </c>
      <c r="N88" t="s">
        <v>692</v>
      </c>
      <c r="O88" t="s">
        <v>693</v>
      </c>
      <c r="P88" t="s">
        <v>692</v>
      </c>
      <c r="Q88" t="str">
        <f>IF(AND(SD!$C$29=SD!$P$2,Grade!$O$1="Per level"),VLOOKUP(B88,Grade!$M$1:$N$200,2,FALSE),IF(AND(SD!$C$29=SD!$P$2,Grade!$O$1="Per Bar Size"),VLOOKUP(LEFT(N88,FIND("@",N88)-2),Grade!$J$1:$K$12,2,0),SD!$C$29))</f>
        <v>A615 Grade 60</v>
      </c>
      <c r="R88" t="s">
        <v>715</v>
      </c>
      <c r="S88" s="57">
        <v>88</v>
      </c>
      <c r="U88" t="str">
        <f>IF(Data!$J88="",IFERROR(INDEX(IF(SD!$C$11="Create",Lap!$A$3:$BF$14,IF(SD!$C$11="Per Uploaded File",Lap!$A$19:$BF$30,"")),MATCH(W88,Lap!$A$3:$A$14,0),MATCH(VALUE(D88),Lap!$A$3:$BF$3,0)+IF(IFERROR(FIND("Grade 60",J88),0)&gt;0,0,IF(IFERROR(FIND("Grade 80",J88),0),1,IF(IFERROR(FIND("Grade 75",J88),0),2,"")))),""),Data!J88)</f>
        <v>5-1</v>
      </c>
      <c r="W88" t="s">
        <v>166</v>
      </c>
      <c r="X88">
        <v>6</v>
      </c>
      <c r="Y88" t="str">
        <f t="shared" si="4"/>
        <v>30</v>
      </c>
      <c r="Z88">
        <f t="shared" si="5"/>
        <v>0</v>
      </c>
      <c r="DE88" t="s">
        <v>831</v>
      </c>
      <c r="DF88" t="s">
        <v>66</v>
      </c>
      <c r="DG88" t="str">
        <f>VLOOKUP(W88,'Level Wise PSI'!$F$2:$G$12,2,FALSE)</f>
        <v>Double Lift</v>
      </c>
    </row>
    <row r="89" spans="1:111" x14ac:dyDescent="0.25">
      <c r="A89">
        <v>34</v>
      </c>
      <c r="B89" t="s">
        <v>672</v>
      </c>
      <c r="C89" s="15">
        <v>2429</v>
      </c>
      <c r="D89" s="15">
        <v>10000</v>
      </c>
      <c r="E89" t="str">
        <f>IF(B89=Level!$A$2,SD!$C$14,SD!$C$13)</f>
        <v>0-8</v>
      </c>
      <c r="F89" s="15" t="s">
        <v>763</v>
      </c>
      <c r="G89" t="s">
        <v>715</v>
      </c>
      <c r="H89" t="str">
        <f>RIGHT(VLOOKUP(B89,Level!A:C,3,FALSE),LEN(VLOOKUP(B89,Level!A:C,3,FALSE))-1)</f>
        <v>10-7</v>
      </c>
      <c r="I89" t="s">
        <v>716</v>
      </c>
      <c r="J89" t="str">
        <f>IF(AND(SD!$C$19=SD!$H$2,Grade!$G$1="Per level"),VLOOKUP(B89,Grade!$E$1:$F$200,2,FALSE),IF(AND(SD!$C$19=SD!$H$2,Grade!$G$1="Per Bar Size"),VLOOKUP(W89,Grade!$B$1:$C$12,2,0),SD!$C$19))</f>
        <v>A615 Grade 60</v>
      </c>
      <c r="K89" t="s">
        <v>66</v>
      </c>
      <c r="L89" s="24" t="str">
        <f>IFERROR(IF(A89&lt;&gt;A90,"",IF(DF89="No Lap","",IF(K90="Lap",U89,IF(K90="Coupler",_xlfn._xlws.FILTER(CCoupler,(CCName=SD!$C$8)*(CBSize=IF(A88=A89,W89&amp;W90,W89&amp;W89))*(CCMFM="Male")),"")))),"N/A")</f>
        <v>5-1</v>
      </c>
      <c r="M89" t="str">
        <f t="shared" si="3"/>
        <v/>
      </c>
      <c r="N89" t="s">
        <v>692</v>
      </c>
      <c r="O89" t="s">
        <v>693</v>
      </c>
      <c r="P89" t="s">
        <v>692</v>
      </c>
      <c r="Q89" t="str">
        <f>IF(AND(SD!$C$29=SD!$P$2,Grade!$O$1="Per level"),VLOOKUP(B89,Grade!$M$1:$N$200,2,FALSE),IF(AND(SD!$C$29=SD!$P$2,Grade!$O$1="Per Bar Size"),VLOOKUP(LEFT(N89,FIND("@",N89)-2),Grade!$J$1:$K$12,2,0),SD!$C$29))</f>
        <v>A615 Grade 60</v>
      </c>
      <c r="R89" t="s">
        <v>715</v>
      </c>
      <c r="S89" s="57">
        <v>89</v>
      </c>
      <c r="U89" t="str">
        <f>IF(Data!$J89="",IFERROR(INDEX(IF(SD!$C$11="Create",Lap!$A$3:$BF$14,IF(SD!$C$11="Per Uploaded File",Lap!$A$19:$BF$30,"")),MATCH(W89,Lap!$A$3:$A$14,0),MATCH(VALUE(D89),Lap!$A$3:$BF$3,0)+IF(IFERROR(FIND("Grade 60",J89),0)&gt;0,0,IF(IFERROR(FIND("Grade 80",J89),0),1,IF(IFERROR(FIND("Grade 75",J89),0),2,"")))),""),Data!J89)</f>
        <v>5-1</v>
      </c>
      <c r="W89" t="s">
        <v>166</v>
      </c>
      <c r="X89">
        <v>6</v>
      </c>
      <c r="Y89" t="str">
        <f t="shared" si="4"/>
        <v>30</v>
      </c>
      <c r="Z89">
        <f t="shared" si="5"/>
        <v>0</v>
      </c>
      <c r="DE89" t="s">
        <v>831</v>
      </c>
      <c r="DF89" t="s">
        <v>66</v>
      </c>
      <c r="DG89" t="str">
        <f>VLOOKUP(W89,'Level Wise PSI'!$F$2:$G$12,2,FALSE)</f>
        <v>Double Lift</v>
      </c>
    </row>
    <row r="90" spans="1:111" x14ac:dyDescent="0.25">
      <c r="A90">
        <v>34</v>
      </c>
      <c r="B90" t="s">
        <v>674</v>
      </c>
      <c r="C90" s="15">
        <v>2429</v>
      </c>
      <c r="D90" s="15">
        <v>10000</v>
      </c>
      <c r="E90" t="str">
        <f>IF(B90=Level!$A$2,SD!$C$14,SD!$C$13)</f>
        <v>0-8</v>
      </c>
      <c r="F90" s="15" t="s">
        <v>763</v>
      </c>
      <c r="G90" t="s">
        <v>715</v>
      </c>
      <c r="H90" t="str">
        <f>RIGHT(VLOOKUP(B90,Level!A:C,3,FALSE),LEN(VLOOKUP(B90,Level!A:C,3,FALSE))-1)</f>
        <v>10-7</v>
      </c>
      <c r="I90" t="s">
        <v>716</v>
      </c>
      <c r="J90" t="str">
        <f>IF(AND(SD!$C$19=SD!$H$2,Grade!$G$1="Per level"),VLOOKUP(B90,Grade!$E$1:$F$200,2,FALSE),IF(AND(SD!$C$19=SD!$H$2,Grade!$G$1="Per Bar Size"),VLOOKUP(W90,Grade!$B$1:$C$12,2,0),SD!$C$19))</f>
        <v>A615 Grade 60</v>
      </c>
      <c r="K90" t="s">
        <v>66</v>
      </c>
      <c r="L90" s="24" t="str">
        <f>IFERROR(IF(A90&lt;&gt;A91,"",IF(DF90="No Lap","",IF(K91="Lap",U90,IF(K91="Coupler",_xlfn._xlws.FILTER(CCoupler,(CCName=SD!$C$8)*(CBSize=IF(A89=A90,W90&amp;W91,W90&amp;W90))*(CCMFM="Male")),"")))),"N/A")</f>
        <v>5-1</v>
      </c>
      <c r="M90" t="str">
        <f t="shared" si="3"/>
        <v/>
      </c>
      <c r="N90" t="s">
        <v>692</v>
      </c>
      <c r="O90" t="s">
        <v>693</v>
      </c>
      <c r="P90" t="s">
        <v>692</v>
      </c>
      <c r="Q90" t="str">
        <f>IF(AND(SD!$C$29=SD!$P$2,Grade!$O$1="Per level"),VLOOKUP(B90,Grade!$M$1:$N$200,2,FALSE),IF(AND(SD!$C$29=SD!$P$2,Grade!$O$1="Per Bar Size"),VLOOKUP(LEFT(N90,FIND("@",N90)-2),Grade!$J$1:$K$12,2,0),SD!$C$29))</f>
        <v>A615 Grade 60</v>
      </c>
      <c r="R90" t="s">
        <v>715</v>
      </c>
      <c r="S90" s="57">
        <v>90</v>
      </c>
      <c r="U90" t="str">
        <f>IF(Data!$J90="",IFERROR(INDEX(IF(SD!$C$11="Create",Lap!$A$3:$BF$14,IF(SD!$C$11="Per Uploaded File",Lap!$A$19:$BF$30,"")),MATCH(W90,Lap!$A$3:$A$14,0),MATCH(VALUE(D90),Lap!$A$3:$BF$3,0)+IF(IFERROR(FIND("Grade 60",J90),0)&gt;0,0,IF(IFERROR(FIND("Grade 80",J90),0),1,IF(IFERROR(FIND("Grade 75",J90),0),2,"")))),""),Data!J90)</f>
        <v>5-1</v>
      </c>
      <c r="W90" t="s">
        <v>166</v>
      </c>
      <c r="X90">
        <v>6</v>
      </c>
      <c r="Y90" t="str">
        <f t="shared" si="4"/>
        <v>30</v>
      </c>
      <c r="Z90">
        <f t="shared" si="5"/>
        <v>0</v>
      </c>
      <c r="DE90" t="s">
        <v>831</v>
      </c>
      <c r="DF90" t="s">
        <v>66</v>
      </c>
      <c r="DG90" t="str">
        <f>VLOOKUP(W90,'Level Wise PSI'!$F$2:$G$12,2,FALSE)</f>
        <v>Double Lift</v>
      </c>
    </row>
    <row r="91" spans="1:111" x14ac:dyDescent="0.25">
      <c r="A91">
        <v>34</v>
      </c>
      <c r="B91" t="s">
        <v>676</v>
      </c>
      <c r="C91" s="15">
        <v>2429</v>
      </c>
      <c r="D91" s="15">
        <v>10000</v>
      </c>
      <c r="E91" t="str">
        <f>IF(B91=Level!$A$2,SD!$C$14,SD!$C$13)</f>
        <v>0-8</v>
      </c>
      <c r="F91" s="15" t="s">
        <v>763</v>
      </c>
      <c r="G91" t="s">
        <v>715</v>
      </c>
      <c r="H91" t="str">
        <f>RIGHT(VLOOKUP(B91,Level!A:C,3,FALSE),LEN(VLOOKUP(B91,Level!A:C,3,FALSE))-1)</f>
        <v>10-7</v>
      </c>
      <c r="I91" t="s">
        <v>716</v>
      </c>
      <c r="J91" t="str">
        <f>IF(AND(SD!$C$19=SD!$H$2,Grade!$G$1="Per level"),VLOOKUP(B91,Grade!$E$1:$F$200,2,FALSE),IF(AND(SD!$C$19=SD!$H$2,Grade!$G$1="Per Bar Size"),VLOOKUP(W91,Grade!$B$1:$C$12,2,0),SD!$C$19))</f>
        <v>A615 Grade 60</v>
      </c>
      <c r="K91" t="s">
        <v>66</v>
      </c>
      <c r="L91" s="24" t="str">
        <f>IFERROR(IF(A91&lt;&gt;A92,"",IF(DF91="No Lap","",IF(K92="Lap",U91,IF(K92="Coupler",_xlfn._xlws.FILTER(CCoupler,(CCName=SD!$C$8)*(CBSize=IF(A90=A91,W91&amp;W92,W91&amp;W91))*(CCMFM="Male")),"")))),"N/A")</f>
        <v>5-1</v>
      </c>
      <c r="M91" t="str">
        <f t="shared" si="3"/>
        <v/>
      </c>
      <c r="N91" t="s">
        <v>692</v>
      </c>
      <c r="O91" t="s">
        <v>693</v>
      </c>
      <c r="P91" t="s">
        <v>692</v>
      </c>
      <c r="Q91" t="str">
        <f>IF(AND(SD!$C$29=SD!$P$2,Grade!$O$1="Per level"),VLOOKUP(B91,Grade!$M$1:$N$200,2,FALSE),IF(AND(SD!$C$29=SD!$P$2,Grade!$O$1="Per Bar Size"),VLOOKUP(LEFT(N91,FIND("@",N91)-2),Grade!$J$1:$K$12,2,0),SD!$C$29))</f>
        <v>A615 Grade 60</v>
      </c>
      <c r="R91" t="s">
        <v>715</v>
      </c>
      <c r="S91" s="57">
        <v>91</v>
      </c>
      <c r="U91" t="str">
        <f>IF(Data!$J91="",IFERROR(INDEX(IF(SD!$C$11="Create",Lap!$A$3:$BF$14,IF(SD!$C$11="Per Uploaded File",Lap!$A$19:$BF$30,"")),MATCH(W91,Lap!$A$3:$A$14,0),MATCH(VALUE(D91),Lap!$A$3:$BF$3,0)+IF(IFERROR(FIND("Grade 60",J91),0)&gt;0,0,IF(IFERROR(FIND("Grade 80",J91),0),1,IF(IFERROR(FIND("Grade 75",J91),0),2,"")))),""),Data!J91)</f>
        <v>5-1</v>
      </c>
      <c r="W91" t="s">
        <v>166</v>
      </c>
      <c r="X91">
        <v>6</v>
      </c>
      <c r="Y91" t="str">
        <f t="shared" si="4"/>
        <v>30</v>
      </c>
      <c r="Z91">
        <f t="shared" si="5"/>
        <v>0</v>
      </c>
      <c r="DE91" t="s">
        <v>831</v>
      </c>
      <c r="DF91" t="s">
        <v>66</v>
      </c>
      <c r="DG91" t="str">
        <f>VLOOKUP(W91,'Level Wise PSI'!$F$2:$G$12,2,FALSE)</f>
        <v>Double Lift</v>
      </c>
    </row>
    <row r="92" spans="1:111" x14ac:dyDescent="0.25">
      <c r="A92">
        <v>34</v>
      </c>
      <c r="B92" t="s">
        <v>678</v>
      </c>
      <c r="C92" s="15">
        <v>2429</v>
      </c>
      <c r="D92" s="15">
        <v>10000</v>
      </c>
      <c r="E92" t="str">
        <f>IF(B92=Level!$A$2,SD!$C$14,SD!$C$13)</f>
        <v>0-8</v>
      </c>
      <c r="F92" s="15" t="s">
        <v>763</v>
      </c>
      <c r="G92" t="s">
        <v>715</v>
      </c>
      <c r="H92" t="str">
        <f>RIGHT(VLOOKUP(B92,Level!A:C,3,FALSE),LEN(VLOOKUP(B92,Level!A:C,3,FALSE))-1)</f>
        <v>10-7</v>
      </c>
      <c r="I92" t="s">
        <v>716</v>
      </c>
      <c r="J92" t="str">
        <f>IF(AND(SD!$C$19=SD!$H$2,Grade!$G$1="Per level"),VLOOKUP(B92,Grade!$E$1:$F$200,2,FALSE),IF(AND(SD!$C$19=SD!$H$2,Grade!$G$1="Per Bar Size"),VLOOKUP(W92,Grade!$B$1:$C$12,2,0),SD!$C$19))</f>
        <v>A615 Grade 60</v>
      </c>
      <c r="K92" t="s">
        <v>66</v>
      </c>
      <c r="L92" s="24" t="str">
        <f>IFERROR(IF(A92&lt;&gt;A93,"",IF(DF92="No Lap","",IF(K93="Lap",U92,IF(K93="Coupler",_xlfn._xlws.FILTER(CCoupler,(CCName=SD!$C$8)*(CBSize=IF(A91=A92,W92&amp;W93,W92&amp;W92))*(CCMFM="Male")),"")))),"N/A")</f>
        <v>5-1</v>
      </c>
      <c r="M92" t="str">
        <f t="shared" si="3"/>
        <v/>
      </c>
      <c r="N92" t="s">
        <v>692</v>
      </c>
      <c r="O92" t="s">
        <v>693</v>
      </c>
      <c r="P92" t="s">
        <v>692</v>
      </c>
      <c r="Q92" t="str">
        <f>IF(AND(SD!$C$29=SD!$P$2,Grade!$O$1="Per level"),VLOOKUP(B92,Grade!$M$1:$N$200,2,FALSE),IF(AND(SD!$C$29=SD!$P$2,Grade!$O$1="Per Bar Size"),VLOOKUP(LEFT(N92,FIND("@",N92)-2),Grade!$J$1:$K$12,2,0),SD!$C$29))</f>
        <v>A615 Grade 60</v>
      </c>
      <c r="R92" t="s">
        <v>715</v>
      </c>
      <c r="S92" s="57">
        <v>92</v>
      </c>
      <c r="U92" t="str">
        <f>IF(Data!$J92="",IFERROR(INDEX(IF(SD!$C$11="Create",Lap!$A$3:$BF$14,IF(SD!$C$11="Per Uploaded File",Lap!$A$19:$BF$30,"")),MATCH(W92,Lap!$A$3:$A$14,0),MATCH(VALUE(D92),Lap!$A$3:$BF$3,0)+IF(IFERROR(FIND("Grade 60",J92),0)&gt;0,0,IF(IFERROR(FIND("Grade 80",J92),0),1,IF(IFERROR(FIND("Grade 75",J92),0),2,"")))),""),Data!J92)</f>
        <v>5-1</v>
      </c>
      <c r="W92" t="s">
        <v>166</v>
      </c>
      <c r="X92">
        <v>6</v>
      </c>
      <c r="Y92" t="str">
        <f t="shared" si="4"/>
        <v>30</v>
      </c>
      <c r="Z92">
        <f t="shared" si="5"/>
        <v>0</v>
      </c>
      <c r="DE92" t="s">
        <v>831</v>
      </c>
      <c r="DF92" t="s">
        <v>66</v>
      </c>
      <c r="DG92" t="str">
        <f>VLOOKUP(W92,'Level Wise PSI'!$F$2:$G$12,2,FALSE)</f>
        <v>Double Lift</v>
      </c>
    </row>
    <row r="93" spans="1:111" x14ac:dyDescent="0.25">
      <c r="A93">
        <v>34</v>
      </c>
      <c r="B93" t="s">
        <v>680</v>
      </c>
      <c r="C93" s="15">
        <v>2429</v>
      </c>
      <c r="D93" s="15">
        <v>10000</v>
      </c>
      <c r="E93" t="str">
        <f>IF(B93=Level!$A$2,SD!$C$14,SD!$C$13)</f>
        <v>0-8</v>
      </c>
      <c r="F93" s="15" t="s">
        <v>763</v>
      </c>
      <c r="G93" t="s">
        <v>715</v>
      </c>
      <c r="H93" t="str">
        <f>RIGHT(VLOOKUP(B93,Level!A:C,3,FALSE),LEN(VLOOKUP(B93,Level!A:C,3,FALSE))-1)</f>
        <v>10-7</v>
      </c>
      <c r="I93" t="s">
        <v>716</v>
      </c>
      <c r="J93" t="str">
        <f>IF(AND(SD!$C$19=SD!$H$2,Grade!$G$1="Per level"),VLOOKUP(B93,Grade!$E$1:$F$200,2,FALSE),IF(AND(SD!$C$19=SD!$H$2,Grade!$G$1="Per Bar Size"),VLOOKUP(W93,Grade!$B$1:$C$12,2,0),SD!$C$19))</f>
        <v>A615 Grade 60</v>
      </c>
      <c r="K93" t="s">
        <v>66</v>
      </c>
      <c r="L93" s="24" t="str">
        <f>IFERROR(IF(A93&lt;&gt;A94,"",IF(DF93="No Lap","",IF(K94="Lap",U93,IF(K94="Coupler",_xlfn._xlws.FILTER(CCoupler,(CCName=SD!$C$8)*(CBSize=IF(A92=A93,W93&amp;W94,W93&amp;W93))*(CCMFM="Male")),"")))),"N/A")</f>
        <v>5-1</v>
      </c>
      <c r="M93" t="str">
        <f t="shared" si="3"/>
        <v/>
      </c>
      <c r="N93" t="s">
        <v>692</v>
      </c>
      <c r="O93" t="s">
        <v>693</v>
      </c>
      <c r="P93" t="s">
        <v>692</v>
      </c>
      <c r="Q93" t="str">
        <f>IF(AND(SD!$C$29=SD!$P$2,Grade!$O$1="Per level"),VLOOKUP(B93,Grade!$M$1:$N$200,2,FALSE),IF(AND(SD!$C$29=SD!$P$2,Grade!$O$1="Per Bar Size"),VLOOKUP(LEFT(N93,FIND("@",N93)-2),Grade!$J$1:$K$12,2,0),SD!$C$29))</f>
        <v>A615 Grade 60</v>
      </c>
      <c r="R93" t="s">
        <v>715</v>
      </c>
      <c r="S93" s="57">
        <v>93</v>
      </c>
      <c r="U93" t="str">
        <f>IF(Data!$J93="",IFERROR(INDEX(IF(SD!$C$11="Create",Lap!$A$3:$BF$14,IF(SD!$C$11="Per Uploaded File",Lap!$A$19:$BF$30,"")),MATCH(W93,Lap!$A$3:$A$14,0),MATCH(VALUE(D93),Lap!$A$3:$BF$3,0)+IF(IFERROR(FIND("Grade 60",J93),0)&gt;0,0,IF(IFERROR(FIND("Grade 80",J93),0),1,IF(IFERROR(FIND("Grade 75",J93),0),2,"")))),""),Data!J93)</f>
        <v>5-1</v>
      </c>
      <c r="W93" t="s">
        <v>166</v>
      </c>
      <c r="X93">
        <v>6</v>
      </c>
      <c r="Y93" t="str">
        <f t="shared" si="4"/>
        <v>30</v>
      </c>
      <c r="Z93">
        <f t="shared" si="5"/>
        <v>0</v>
      </c>
      <c r="DE93" t="s">
        <v>831</v>
      </c>
      <c r="DF93" t="s">
        <v>66</v>
      </c>
      <c r="DG93" t="str">
        <f>VLOOKUP(W93,'Level Wise PSI'!$F$2:$G$12,2,FALSE)</f>
        <v>Double Lift</v>
      </c>
    </row>
    <row r="94" spans="1:111" x14ac:dyDescent="0.25">
      <c r="A94">
        <v>34</v>
      </c>
      <c r="B94" t="s">
        <v>682</v>
      </c>
      <c r="C94" s="15">
        <v>2429</v>
      </c>
      <c r="D94" s="15">
        <v>10000</v>
      </c>
      <c r="E94" t="str">
        <f>IF(B94=Level!$A$2,SD!$C$14,SD!$C$13)</f>
        <v>0-8</v>
      </c>
      <c r="F94" s="15" t="s">
        <v>763</v>
      </c>
      <c r="G94" t="s">
        <v>715</v>
      </c>
      <c r="H94" t="str">
        <f>RIGHT(VLOOKUP(B94,Level!A:C,3,FALSE),LEN(VLOOKUP(B94,Level!A:C,3,FALSE))-1)</f>
        <v>10-7</v>
      </c>
      <c r="I94" t="s">
        <v>717</v>
      </c>
      <c r="J94" t="str">
        <f>IF(AND(SD!$C$19=SD!$H$2,Grade!$G$1="Per level"),VLOOKUP(B94,Grade!$E$1:$F$200,2,FALSE),IF(AND(SD!$C$19=SD!$H$2,Grade!$G$1="Per Bar Size"),VLOOKUP(W94,Grade!$B$1:$C$12,2,0),SD!$C$19))</f>
        <v>A615 Grade 60</v>
      </c>
      <c r="K94" t="s">
        <v>66</v>
      </c>
      <c r="L94" s="24" t="str">
        <f>IFERROR(IF(A94&lt;&gt;A95,"",IF(DF94="No Lap","",IF(K95="Lap",U94,IF(K95="Coupler",_xlfn._xlws.FILTER(CCoupler,(CCName=SD!$C$8)*(CBSize=IF(A93=A94,W94&amp;W95,W94&amp;W94))*(CCMFM="Male")),"")))),"N/A")</f>
        <v/>
      </c>
      <c r="M94" t="str">
        <f t="shared" si="3"/>
        <v/>
      </c>
      <c r="N94" t="s">
        <v>692</v>
      </c>
      <c r="O94" t="s">
        <v>693</v>
      </c>
      <c r="P94" t="s">
        <v>692</v>
      </c>
      <c r="Q94" t="str">
        <f>IF(AND(SD!$C$29=SD!$P$2,Grade!$O$1="Per level"),VLOOKUP(B94,Grade!$M$1:$N$200,2,FALSE),IF(AND(SD!$C$29=SD!$P$2,Grade!$O$1="Per Bar Size"),VLOOKUP(LEFT(N94,FIND("@",N94)-2),Grade!$J$1:$K$12,2,0),SD!$C$29))</f>
        <v>A615 Grade 60</v>
      </c>
      <c r="R94" t="s">
        <v>715</v>
      </c>
      <c r="S94" s="57">
        <v>94</v>
      </c>
      <c r="U94" t="str">
        <f>IF(Data!$J94="",IFERROR(INDEX(IF(SD!$C$11="Create",Lap!$A$3:$BF$14,IF(SD!$C$11="Per Uploaded File",Lap!$A$19:$BF$30,"")),MATCH(W94,Lap!$A$3:$A$14,0),MATCH(VALUE(D94),Lap!$A$3:$BF$3,0)+IF(IFERROR(FIND("Grade 60",J94),0)&gt;0,0,IF(IFERROR(FIND("Grade 80",J94),0),1,IF(IFERROR(FIND("Grade 75",J94),0),2,"")))),""),Data!J94)</f>
        <v>4-0</v>
      </c>
      <c r="W94" t="s">
        <v>142</v>
      </c>
      <c r="X94">
        <v>10</v>
      </c>
      <c r="Y94" t="str">
        <f t="shared" si="4"/>
        <v>30</v>
      </c>
      <c r="Z94">
        <f t="shared" si="5"/>
        <v>0</v>
      </c>
      <c r="DE94" t="s">
        <v>831</v>
      </c>
      <c r="DF94" t="s">
        <v>66</v>
      </c>
      <c r="DG94" t="str">
        <f>VLOOKUP(W94,'Level Wise PSI'!$F$2:$G$12,2,FALSE)</f>
        <v>Double Lift</v>
      </c>
    </row>
    <row r="95" spans="1:111" x14ac:dyDescent="0.25">
      <c r="A95">
        <v>35</v>
      </c>
      <c r="B95" t="s">
        <v>658</v>
      </c>
      <c r="C95" s="15">
        <v>2429</v>
      </c>
      <c r="D95" s="15">
        <v>10000</v>
      </c>
      <c r="E95" s="15" t="s">
        <v>761</v>
      </c>
      <c r="F95" s="15" t="s">
        <v>763</v>
      </c>
      <c r="G95" t="s">
        <v>706</v>
      </c>
      <c r="H95" s="15" t="s">
        <v>760</v>
      </c>
      <c r="I95" t="s">
        <v>696</v>
      </c>
      <c r="J95" t="str">
        <f>IF(AND(SD!$C$19=SD!$H$2,Grade!$G$1="Per level"),VLOOKUP(B95,Grade!$E$1:$F$200,2,FALSE),IF(AND(SD!$C$19=SD!$H$2,Grade!$G$1="Per Bar Size"),VLOOKUP(W95,Grade!$B$1:$C$12,2,0),SD!$C$19))</f>
        <v>A615 Grade 60</v>
      </c>
      <c r="K95" t="s">
        <v>66</v>
      </c>
      <c r="L95" s="24" t="str">
        <f>IFERROR(IF(A95&lt;&gt;A96,"",IF(DF95="No Lap","",IF(K96="Lap",U95,IF(K96="Coupler",_xlfn._xlws.FILTER(CCoupler,(CCName=SD!$C$8)*(CBSize=IF(A94=A95,W95&amp;W96,W95&amp;W95))*(CCMFM="Male")),"")))),"N/A")</f>
        <v/>
      </c>
      <c r="M95" t="str">
        <f t="shared" si="3"/>
        <v/>
      </c>
      <c r="N95" t="s">
        <v>692</v>
      </c>
      <c r="O95" t="s">
        <v>693</v>
      </c>
      <c r="P95" t="s">
        <v>692</v>
      </c>
      <c r="Q95" t="str">
        <f>IF(AND(SD!$C$29=SD!$P$2,Grade!$O$1="Per level"),VLOOKUP(B95,Grade!$M$1:$N$200,2,FALSE),IF(AND(SD!$C$29=SD!$P$2,Grade!$O$1="Per Bar Size"),VLOOKUP(LEFT(N95,FIND("@",N95)-2),Grade!$J$1:$K$12,2,0),SD!$C$29))</f>
        <v>A615 Grade 60</v>
      </c>
      <c r="R95" t="s">
        <v>698</v>
      </c>
      <c r="S95" s="57">
        <v>95</v>
      </c>
      <c r="U95" t="str">
        <f>IF(Data!$J95="",IFERROR(INDEX(IF(SD!$C$11="Create",Lap!$A$3:$BF$14,IF(SD!$C$11="Per Uploaded File",Lap!$A$19:$BF$30,"")),MATCH(W95,Lap!$A$3:$A$14,0),MATCH(VALUE(D95),Lap!$A$3:$BF$3,0)+IF(IFERROR(FIND("Grade 60",J95),0)&gt;0,0,IF(IFERROR(FIND("Grade 80",J95),0),1,IF(IFERROR(FIND("Grade 75",J95),0),2,"")))),""),Data!J95)</f>
        <v>3-6</v>
      </c>
      <c r="W95" t="s">
        <v>129</v>
      </c>
      <c r="X95">
        <v>6</v>
      </c>
      <c r="Y95" t="str">
        <f t="shared" si="4"/>
        <v xml:space="preserve">14 </v>
      </c>
      <c r="Z95" t="str">
        <f t="shared" si="5"/>
        <v xml:space="preserve"> 24</v>
      </c>
      <c r="DE95" t="s">
        <v>706</v>
      </c>
      <c r="DF95" t="s">
        <v>66</v>
      </c>
      <c r="DG95" t="str">
        <f>VLOOKUP(W95,'Level Wise PSI'!$F$2:$G$12,2,FALSE)</f>
        <v>Double Lift</v>
      </c>
    </row>
    <row r="96" spans="1:111" x14ac:dyDescent="0.25">
      <c r="A96">
        <v>36</v>
      </c>
      <c r="B96" t="s">
        <v>658</v>
      </c>
      <c r="C96" s="15">
        <v>2429</v>
      </c>
      <c r="D96" s="15">
        <v>10000</v>
      </c>
      <c r="E96" t="str">
        <f>IF(B96=Level!$A$2,SD!$C$14,SD!$C$13)</f>
        <v>3-0</v>
      </c>
      <c r="F96" s="15" t="s">
        <v>763</v>
      </c>
      <c r="G96" t="s">
        <v>707</v>
      </c>
      <c r="H96" s="15" t="s">
        <v>759</v>
      </c>
      <c r="I96" t="s">
        <v>708</v>
      </c>
      <c r="J96" t="str">
        <f>IF(AND(SD!$C$19=SD!$H$2,Grade!$G$1="Per level"),VLOOKUP(B96,Grade!$E$1:$F$200,2,FALSE),IF(AND(SD!$C$19=SD!$H$2,Grade!$G$1="Per Bar Size"),VLOOKUP(W96,Grade!$B$1:$C$12,2,0),SD!$C$19))</f>
        <v>A615 Grade 60</v>
      </c>
      <c r="K96" t="s">
        <v>66</v>
      </c>
      <c r="L96" s="24" t="str">
        <f>IFERROR(IF(A96&lt;&gt;A97,"",IF(DF96="No Lap","",IF(K97="Lap",U96,IF(K97="Coupler",_xlfn._xlws.FILTER(CCoupler,(CCName=SD!$C$8)*(CBSize=IF(A95=A96,W96&amp;W97,W96&amp;W96))*(CCMFM="Male")),"")))),"N/A")</f>
        <v/>
      </c>
      <c r="M96" t="str">
        <f t="shared" si="3"/>
        <v/>
      </c>
      <c r="N96" t="s">
        <v>692</v>
      </c>
      <c r="O96" t="s">
        <v>693</v>
      </c>
      <c r="P96" t="s">
        <v>692</v>
      </c>
      <c r="Q96" t="str">
        <f>IF(AND(SD!$C$29=SD!$P$2,Grade!$O$1="Per level"),VLOOKUP(B96,Grade!$M$1:$N$200,2,FALSE),IF(AND(SD!$C$29=SD!$P$2,Grade!$O$1="Per Bar Size"),VLOOKUP(LEFT(N96,FIND("@",N96)-2),Grade!$J$1:$K$12,2,0),SD!$C$29))</f>
        <v>A615 Grade 60</v>
      </c>
      <c r="R96" t="s">
        <v>709</v>
      </c>
      <c r="S96" s="57">
        <v>96</v>
      </c>
      <c r="U96" t="str">
        <f>IF(Data!$J96="",IFERROR(INDEX(IF(SD!$C$11="Create",Lap!$A$3:$BF$14,IF(SD!$C$11="Per Uploaded File",Lap!$A$19:$BF$30,"")),MATCH(W96,Lap!$A$3:$A$14,0),MATCH(VALUE(D96),Lap!$A$3:$BF$3,0)+IF(IFERROR(FIND("Grade 60",J96),0)&gt;0,0,IF(IFERROR(FIND("Grade 80",J96),0),1,IF(IFERROR(FIND("Grade 75",J96),0),2,"")))),""),Data!J96)</f>
        <v>3-6</v>
      </c>
      <c r="W96" t="s">
        <v>129</v>
      </c>
      <c r="X96">
        <v>8</v>
      </c>
      <c r="Y96" t="str">
        <f t="shared" si="4"/>
        <v xml:space="preserve">16 </v>
      </c>
      <c r="Z96" t="str">
        <f t="shared" si="5"/>
        <v xml:space="preserve"> 30</v>
      </c>
      <c r="DE96" t="s">
        <v>707</v>
      </c>
      <c r="DF96" t="s">
        <v>66</v>
      </c>
      <c r="DG96" t="str">
        <f>VLOOKUP(W96,'Level Wise PSI'!$F$2:$G$12,2,FALSE)</f>
        <v>Double Lift</v>
      </c>
    </row>
    <row r="97" spans="1:111" x14ac:dyDescent="0.25">
      <c r="A97">
        <v>37</v>
      </c>
      <c r="B97" t="s">
        <v>658</v>
      </c>
      <c r="C97" s="15">
        <v>2429</v>
      </c>
      <c r="D97" s="15">
        <v>10000</v>
      </c>
      <c r="E97" s="15" t="s">
        <v>751</v>
      </c>
      <c r="F97" s="15" t="s">
        <v>763</v>
      </c>
      <c r="G97" t="s">
        <v>699</v>
      </c>
      <c r="H97" s="15" t="s">
        <v>759</v>
      </c>
      <c r="I97" t="s">
        <v>712</v>
      </c>
      <c r="J97" t="str">
        <f>IF(AND(SD!$C$19=SD!$H$2,Grade!$G$1="Per level"),VLOOKUP(B97,Grade!$E$1:$F$200,2,FALSE),IF(AND(SD!$C$19=SD!$H$2,Grade!$G$1="Per Bar Size"),VLOOKUP(W97,Grade!$B$1:$C$12,2,0),SD!$C$19))</f>
        <v>A615 Grade 60</v>
      </c>
      <c r="K97" t="s">
        <v>66</v>
      </c>
      <c r="L97" s="24" t="str">
        <f>IFERROR(IF(A97&lt;&gt;A98,"",IF(DF97="No Lap","",IF(K98="Lap",U97,IF(K98="Coupler",_xlfn._xlws.FILTER(CCoupler,(CCName=SD!$C$8)*(CBSize=IF(A96=A97,W97&amp;W98,W97&amp;W97))*(CCMFM="Male")),"")))),"N/A")</f>
        <v>5-1</v>
      </c>
      <c r="M97" t="str">
        <f t="shared" si="3"/>
        <v>10 - #10</v>
      </c>
      <c r="N97" t="s">
        <v>692</v>
      </c>
      <c r="O97" t="s">
        <v>693</v>
      </c>
      <c r="P97" t="s">
        <v>692</v>
      </c>
      <c r="Q97" t="str">
        <f>IF(AND(SD!$C$29=SD!$P$2,Grade!$O$1="Per level"),VLOOKUP(B97,Grade!$M$1:$N$200,2,FALSE),IF(AND(SD!$C$29=SD!$P$2,Grade!$O$1="Per Bar Size"),VLOOKUP(LEFT(N97,FIND("@",N97)-2),Grade!$J$1:$K$12,2,0),SD!$C$29))</f>
        <v>A615 Grade 60</v>
      </c>
      <c r="R97" t="s">
        <v>709</v>
      </c>
      <c r="S97" s="57">
        <v>97</v>
      </c>
      <c r="U97" t="str">
        <f>IF(Data!$J97="",IFERROR(INDEX(IF(SD!$C$11="Create",Lap!$A$3:$BF$14,IF(SD!$C$11="Per Uploaded File",Lap!$A$19:$BF$30,"")),MATCH(W97,Lap!$A$3:$A$14,0),MATCH(VALUE(D97),Lap!$A$3:$BF$3,0)+IF(IFERROR(FIND("Grade 60",J97),0)&gt;0,0,IF(IFERROR(FIND("Grade 80",J97),0),1,IF(IFERROR(FIND("Grade 75",J97),0),2,"")))),""),Data!J97)</f>
        <v>5-1</v>
      </c>
      <c r="W97" t="s">
        <v>166</v>
      </c>
      <c r="X97">
        <v>8</v>
      </c>
      <c r="Y97" t="str">
        <f t="shared" si="4"/>
        <v xml:space="preserve">24 </v>
      </c>
      <c r="Z97" t="str">
        <f t="shared" si="5"/>
        <v xml:space="preserve"> 36</v>
      </c>
      <c r="DE97" t="s">
        <v>831</v>
      </c>
      <c r="DF97" t="s">
        <v>66</v>
      </c>
      <c r="DG97" t="str">
        <f>VLOOKUP(W97,'Level Wise PSI'!$F$2:$G$12,2,FALSE)</f>
        <v>Double Lift</v>
      </c>
    </row>
    <row r="98" spans="1:111" x14ac:dyDescent="0.25">
      <c r="A98">
        <v>37</v>
      </c>
      <c r="B98" t="s">
        <v>661</v>
      </c>
      <c r="C98" s="15">
        <v>2429</v>
      </c>
      <c r="D98" s="15">
        <v>10000</v>
      </c>
      <c r="E98" t="str">
        <f>IF(B98=Level!$A$2,SD!$C$14,SD!$C$13)</f>
        <v>0-8</v>
      </c>
      <c r="F98" s="15" t="s">
        <v>763</v>
      </c>
      <c r="G98" t="s">
        <v>713</v>
      </c>
      <c r="H98" t="str">
        <f>RIGHT(VLOOKUP(B98,Level!A:C,3,FALSE),LEN(VLOOKUP(B98,Level!A:C,3,FALSE))-1)</f>
        <v>10-7</v>
      </c>
      <c r="I98" t="s">
        <v>714</v>
      </c>
      <c r="J98" t="str">
        <f>IF(AND(SD!$C$19=SD!$H$2,Grade!$G$1="Per level"),VLOOKUP(B98,Grade!$E$1:$F$200,2,FALSE),IF(AND(SD!$C$19=SD!$H$2,Grade!$G$1="Per Bar Size"),VLOOKUP(W98,Grade!$B$1:$C$12,2,0),SD!$C$19))</f>
        <v>A615 Grade 60</v>
      </c>
      <c r="K98" t="s">
        <v>66</v>
      </c>
      <c r="L98" s="24" t="str">
        <f>IFERROR(IF(A98&lt;&gt;A99,"",IF(DF98="No Lap","",IF(K99="Lap",U98,IF(K99="Coupler",_xlfn._xlws.FILTER(CCoupler,(CCName=SD!$C$8)*(CBSize=IF(A97=A98,W98&amp;W99,W98&amp;W98))*(CCMFM="Male")),"")))),"N/A")</f>
        <v>5-1</v>
      </c>
      <c r="M98" t="str">
        <f t="shared" si="3"/>
        <v/>
      </c>
      <c r="N98" t="s">
        <v>692</v>
      </c>
      <c r="O98" t="s">
        <v>693</v>
      </c>
      <c r="P98" t="s">
        <v>692</v>
      </c>
      <c r="Q98" t="str">
        <f>IF(AND(SD!$C$29=SD!$P$2,Grade!$O$1="Per level"),VLOOKUP(B98,Grade!$M$1:$N$200,2,FALSE),IF(AND(SD!$C$29=SD!$P$2,Grade!$O$1="Per Bar Size"),VLOOKUP(LEFT(N98,FIND("@",N98)-2),Grade!$J$1:$K$12,2,0),SD!$C$29))</f>
        <v>A615 Grade 60</v>
      </c>
      <c r="R98" t="s">
        <v>713</v>
      </c>
      <c r="S98" s="57">
        <v>98</v>
      </c>
      <c r="U98" t="str">
        <f>IF(Data!$J98="",IFERROR(INDEX(IF(SD!$C$11="Create",Lap!$A$3:$BF$14,IF(SD!$C$11="Per Uploaded File",Lap!$A$19:$BF$30,"")),MATCH(W98,Lap!$A$3:$A$14,0),MATCH(VALUE(D98),Lap!$A$3:$BF$3,0)+IF(IFERROR(FIND("Grade 60",J98),0)&gt;0,0,IF(IFERROR(FIND("Grade 80",J98),0),1,IF(IFERROR(FIND("Grade 75",J98),0),2,"")))),""),Data!J98)</f>
        <v>5-1</v>
      </c>
      <c r="W98" t="s">
        <v>166</v>
      </c>
      <c r="X98">
        <v>10</v>
      </c>
      <c r="Y98" t="str">
        <f t="shared" si="4"/>
        <v>36</v>
      </c>
      <c r="Z98">
        <f t="shared" si="5"/>
        <v>0</v>
      </c>
      <c r="DE98" t="s">
        <v>831</v>
      </c>
      <c r="DF98" t="s">
        <v>66</v>
      </c>
      <c r="DG98" t="str">
        <f>VLOOKUP(W98,'Level Wise PSI'!$F$2:$G$12,2,FALSE)</f>
        <v>Double Lift</v>
      </c>
    </row>
    <row r="99" spans="1:111" x14ac:dyDescent="0.25">
      <c r="A99">
        <v>37</v>
      </c>
      <c r="B99" t="s">
        <v>664</v>
      </c>
      <c r="C99" s="15">
        <v>2429</v>
      </c>
      <c r="D99" s="15">
        <v>10000</v>
      </c>
      <c r="E99" t="str">
        <f>IF(B99=Level!$A$2,SD!$C$14,SD!$C$13)</f>
        <v>0-8</v>
      </c>
      <c r="F99" s="15" t="s">
        <v>763</v>
      </c>
      <c r="G99" t="s">
        <v>715</v>
      </c>
      <c r="H99" t="str">
        <f>RIGHT(VLOOKUP(B99,Level!A:C,3,FALSE),LEN(VLOOKUP(B99,Level!A:C,3,FALSE))-1)</f>
        <v>10-7</v>
      </c>
      <c r="I99" t="s">
        <v>716</v>
      </c>
      <c r="J99" t="str">
        <f>IF(AND(SD!$C$19=SD!$H$2,Grade!$G$1="Per level"),VLOOKUP(B99,Grade!$E$1:$F$200,2,FALSE),IF(AND(SD!$C$19=SD!$H$2,Grade!$G$1="Per Bar Size"),VLOOKUP(W99,Grade!$B$1:$C$12,2,0),SD!$C$19))</f>
        <v>A615 Grade 60</v>
      </c>
      <c r="K99" t="s">
        <v>66</v>
      </c>
      <c r="L99" s="24" t="str">
        <f>IFERROR(IF(A99&lt;&gt;A100,"",IF(DF99="No Lap","",IF(K100="Lap",U99,IF(K100="Coupler",_xlfn._xlws.FILTER(CCoupler,(CCName=SD!$C$8)*(CBSize=IF(A98=A99,W99&amp;W100,W99&amp;W99))*(CCMFM="Male")),"")))),"N/A")</f>
        <v>5-1</v>
      </c>
      <c r="M99" t="str">
        <f t="shared" si="3"/>
        <v/>
      </c>
      <c r="N99" t="s">
        <v>692</v>
      </c>
      <c r="O99" t="s">
        <v>693</v>
      </c>
      <c r="P99" t="s">
        <v>692</v>
      </c>
      <c r="Q99" t="str">
        <f>IF(AND(SD!$C$29=SD!$P$2,Grade!$O$1="Per level"),VLOOKUP(B99,Grade!$M$1:$N$200,2,FALSE),IF(AND(SD!$C$29=SD!$P$2,Grade!$O$1="Per Bar Size"),VLOOKUP(LEFT(N99,FIND("@",N99)-2),Grade!$J$1:$K$12,2,0),SD!$C$29))</f>
        <v>A615 Grade 60</v>
      </c>
      <c r="R99" t="s">
        <v>715</v>
      </c>
      <c r="S99" s="57">
        <v>99</v>
      </c>
      <c r="U99" t="str">
        <f>IF(Data!$J99="",IFERROR(INDEX(IF(SD!$C$11="Create",Lap!$A$3:$BF$14,IF(SD!$C$11="Per Uploaded File",Lap!$A$19:$BF$30,"")),MATCH(W99,Lap!$A$3:$A$14,0),MATCH(VALUE(D99),Lap!$A$3:$BF$3,0)+IF(IFERROR(FIND("Grade 60",J99),0)&gt;0,0,IF(IFERROR(FIND("Grade 80",J99),0),1,IF(IFERROR(FIND("Grade 75",J99),0),2,"")))),""),Data!J99)</f>
        <v>5-1</v>
      </c>
      <c r="W99" t="s">
        <v>166</v>
      </c>
      <c r="X99">
        <v>6</v>
      </c>
      <c r="Y99" t="str">
        <f t="shared" si="4"/>
        <v>30</v>
      </c>
      <c r="Z99">
        <f t="shared" si="5"/>
        <v>0</v>
      </c>
      <c r="DE99" t="s">
        <v>831</v>
      </c>
      <c r="DF99" t="s">
        <v>66</v>
      </c>
      <c r="DG99" t="str">
        <f>VLOOKUP(W99,'Level Wise PSI'!$F$2:$G$12,2,FALSE)</f>
        <v>Double Lift</v>
      </c>
    </row>
    <row r="100" spans="1:111" x14ac:dyDescent="0.25">
      <c r="A100">
        <v>37</v>
      </c>
      <c r="B100" t="s">
        <v>666</v>
      </c>
      <c r="C100" s="15">
        <v>2429</v>
      </c>
      <c r="D100" s="15">
        <v>10000</v>
      </c>
      <c r="E100" t="str">
        <f>IF(B100=Level!$A$2,SD!$C$14,SD!$C$13)</f>
        <v>0-8</v>
      </c>
      <c r="F100" s="15" t="s">
        <v>763</v>
      </c>
      <c r="G100" t="s">
        <v>715</v>
      </c>
      <c r="H100" t="str">
        <f>RIGHT(VLOOKUP(B100,Level!A:C,3,FALSE),LEN(VLOOKUP(B100,Level!A:C,3,FALSE))-1)</f>
        <v>10-7</v>
      </c>
      <c r="I100" t="s">
        <v>716</v>
      </c>
      <c r="J100" t="str">
        <f>IF(AND(SD!$C$19=SD!$H$2,Grade!$G$1="Per level"),VLOOKUP(B100,Grade!$E$1:$F$200,2,FALSE),IF(AND(SD!$C$19=SD!$H$2,Grade!$G$1="Per Bar Size"),VLOOKUP(W100,Grade!$B$1:$C$12,2,0),SD!$C$19))</f>
        <v>A615 Grade 60</v>
      </c>
      <c r="K100" t="s">
        <v>66</v>
      </c>
      <c r="L100" s="24" t="str">
        <f>IFERROR(IF(A100&lt;&gt;A101,"",IF(DF100="No Lap","",IF(K101="Lap",U100,IF(K101="Coupler",_xlfn._xlws.FILTER(CCoupler,(CCName=SD!$C$8)*(CBSize=IF(A99=A100,W100&amp;W101,W100&amp;W100))*(CCMFM="Male")),"")))),"N/A")</f>
        <v>5-1</v>
      </c>
      <c r="M100" t="str">
        <f t="shared" si="3"/>
        <v/>
      </c>
      <c r="N100" t="s">
        <v>692</v>
      </c>
      <c r="O100" t="s">
        <v>693</v>
      </c>
      <c r="P100" t="s">
        <v>692</v>
      </c>
      <c r="Q100" t="str">
        <f>IF(AND(SD!$C$29=SD!$P$2,Grade!$O$1="Per level"),VLOOKUP(B100,Grade!$M$1:$N$200,2,FALSE),IF(AND(SD!$C$29=SD!$P$2,Grade!$O$1="Per Bar Size"),VLOOKUP(LEFT(N100,FIND("@",N100)-2),Grade!$J$1:$K$12,2,0),SD!$C$29))</f>
        <v>A615 Grade 60</v>
      </c>
      <c r="R100" t="s">
        <v>715</v>
      </c>
      <c r="S100" s="57">
        <v>100</v>
      </c>
      <c r="U100" t="str">
        <f>IF(Data!$J100="",IFERROR(INDEX(IF(SD!$C$11="Create",Lap!$A$3:$BF$14,IF(SD!$C$11="Per Uploaded File",Lap!$A$19:$BF$30,"")),MATCH(W100,Lap!$A$3:$A$14,0),MATCH(VALUE(D100),Lap!$A$3:$BF$3,0)+IF(IFERROR(FIND("Grade 60",J100),0)&gt;0,0,IF(IFERROR(FIND("Grade 80",J100),0),1,IF(IFERROR(FIND("Grade 75",J100),0),2,"")))),""),Data!J100)</f>
        <v>5-1</v>
      </c>
      <c r="W100" t="s">
        <v>166</v>
      </c>
      <c r="X100">
        <v>6</v>
      </c>
      <c r="Y100" t="str">
        <f t="shared" si="4"/>
        <v>30</v>
      </c>
      <c r="Z100">
        <f t="shared" si="5"/>
        <v>0</v>
      </c>
      <c r="DE100" t="s">
        <v>831</v>
      </c>
      <c r="DF100" t="s">
        <v>66</v>
      </c>
      <c r="DG100" t="str">
        <f>VLOOKUP(W100,'Level Wise PSI'!$F$2:$G$12,2,FALSE)</f>
        <v>Double Lift</v>
      </c>
    </row>
    <row r="101" spans="1:111" x14ac:dyDescent="0.25">
      <c r="A101">
        <v>37</v>
      </c>
      <c r="B101" t="s">
        <v>668</v>
      </c>
      <c r="C101" s="15">
        <v>2429</v>
      </c>
      <c r="D101" s="15">
        <v>10000</v>
      </c>
      <c r="E101" t="str">
        <f>IF(B101=Level!$A$2,SD!$C$14,SD!$C$13)</f>
        <v>0-8</v>
      </c>
      <c r="F101" s="15" t="s">
        <v>763</v>
      </c>
      <c r="G101" t="s">
        <v>715</v>
      </c>
      <c r="H101" t="str">
        <f>RIGHT(VLOOKUP(B101,Level!A:C,3,FALSE),LEN(VLOOKUP(B101,Level!A:C,3,FALSE))-1)</f>
        <v>10-7</v>
      </c>
      <c r="I101" t="s">
        <v>716</v>
      </c>
      <c r="J101" t="str">
        <f>IF(AND(SD!$C$19=SD!$H$2,Grade!$G$1="Per level"),VLOOKUP(B101,Grade!$E$1:$F$200,2,FALSE),IF(AND(SD!$C$19=SD!$H$2,Grade!$G$1="Per Bar Size"),VLOOKUP(W101,Grade!$B$1:$C$12,2,0),SD!$C$19))</f>
        <v>A615 Grade 60</v>
      </c>
      <c r="K101" t="s">
        <v>66</v>
      </c>
      <c r="L101" s="24" t="str">
        <f>IFERROR(IF(A101&lt;&gt;A102,"",IF(DF101="No Lap","",IF(K102="Lap",U101,IF(K102="Coupler",_xlfn._xlws.FILTER(CCoupler,(CCName=SD!$C$8)*(CBSize=IF(A100=A101,W101&amp;W102,W101&amp;W101))*(CCMFM="Male")),"")))),"N/A")</f>
        <v>5-1</v>
      </c>
      <c r="M101" t="str">
        <f t="shared" si="3"/>
        <v/>
      </c>
      <c r="N101" t="s">
        <v>692</v>
      </c>
      <c r="O101" t="s">
        <v>693</v>
      </c>
      <c r="P101" t="s">
        <v>692</v>
      </c>
      <c r="Q101" t="str">
        <f>IF(AND(SD!$C$29=SD!$P$2,Grade!$O$1="Per level"),VLOOKUP(B101,Grade!$M$1:$N$200,2,FALSE),IF(AND(SD!$C$29=SD!$P$2,Grade!$O$1="Per Bar Size"),VLOOKUP(LEFT(N101,FIND("@",N101)-2),Grade!$J$1:$K$12,2,0),SD!$C$29))</f>
        <v>A615 Grade 60</v>
      </c>
      <c r="R101" t="s">
        <v>715</v>
      </c>
      <c r="S101" s="57">
        <v>101</v>
      </c>
      <c r="U101" t="str">
        <f>IF(Data!$J101="",IFERROR(INDEX(IF(SD!$C$11="Create",Lap!$A$3:$BF$14,IF(SD!$C$11="Per Uploaded File",Lap!$A$19:$BF$30,"")),MATCH(W101,Lap!$A$3:$A$14,0),MATCH(VALUE(D101),Lap!$A$3:$BF$3,0)+IF(IFERROR(FIND("Grade 60",J101),0)&gt;0,0,IF(IFERROR(FIND("Grade 80",J101),0),1,IF(IFERROR(FIND("Grade 75",J101),0),2,"")))),""),Data!J101)</f>
        <v>5-1</v>
      </c>
      <c r="W101" t="s">
        <v>166</v>
      </c>
      <c r="X101">
        <v>6</v>
      </c>
      <c r="Y101" t="str">
        <f t="shared" si="4"/>
        <v>30</v>
      </c>
      <c r="Z101">
        <f t="shared" si="5"/>
        <v>0</v>
      </c>
      <c r="DE101" t="s">
        <v>831</v>
      </c>
      <c r="DF101" t="s">
        <v>66</v>
      </c>
      <c r="DG101" t="str">
        <f>VLOOKUP(W101,'Level Wise PSI'!$F$2:$G$12,2,FALSE)</f>
        <v>Double Lift</v>
      </c>
    </row>
    <row r="102" spans="1:111" x14ac:dyDescent="0.25">
      <c r="A102">
        <v>37</v>
      </c>
      <c r="B102" t="s">
        <v>670</v>
      </c>
      <c r="C102" s="15">
        <v>2429</v>
      </c>
      <c r="D102" s="15">
        <v>10000</v>
      </c>
      <c r="E102" t="str">
        <f>IF(B102=Level!$A$2,SD!$C$14,SD!$C$13)</f>
        <v>0-8</v>
      </c>
      <c r="F102" s="15" t="s">
        <v>763</v>
      </c>
      <c r="G102" t="s">
        <v>715</v>
      </c>
      <c r="H102" t="str">
        <f>RIGHT(VLOOKUP(B102,Level!A:C,3,FALSE),LEN(VLOOKUP(B102,Level!A:C,3,FALSE))-1)</f>
        <v>10-7</v>
      </c>
      <c r="I102" t="s">
        <v>716</v>
      </c>
      <c r="J102" t="str">
        <f>IF(AND(SD!$C$19=SD!$H$2,Grade!$G$1="Per level"),VLOOKUP(B102,Grade!$E$1:$F$200,2,FALSE),IF(AND(SD!$C$19=SD!$H$2,Grade!$G$1="Per Bar Size"),VLOOKUP(W102,Grade!$B$1:$C$12,2,0),SD!$C$19))</f>
        <v>A615 Grade 60</v>
      </c>
      <c r="K102" t="s">
        <v>66</v>
      </c>
      <c r="L102" s="24" t="str">
        <f>IFERROR(IF(A102&lt;&gt;A103,"",IF(DF102="No Lap","",IF(K103="Lap",U102,IF(K103="Coupler",_xlfn._xlws.FILTER(CCoupler,(CCName=SD!$C$8)*(CBSize=IF(A101=A102,W102&amp;W103,W102&amp;W102))*(CCMFM="Male")),"")))),"N/A")</f>
        <v>5-1</v>
      </c>
      <c r="M102" t="str">
        <f t="shared" si="3"/>
        <v/>
      </c>
      <c r="N102" t="s">
        <v>692</v>
      </c>
      <c r="O102" t="s">
        <v>693</v>
      </c>
      <c r="P102" t="s">
        <v>692</v>
      </c>
      <c r="Q102" t="str">
        <f>IF(AND(SD!$C$29=SD!$P$2,Grade!$O$1="Per level"),VLOOKUP(B102,Grade!$M$1:$N$200,2,FALSE),IF(AND(SD!$C$29=SD!$P$2,Grade!$O$1="Per Bar Size"),VLOOKUP(LEFT(N102,FIND("@",N102)-2),Grade!$J$1:$K$12,2,0),SD!$C$29))</f>
        <v>A615 Grade 60</v>
      </c>
      <c r="R102" t="s">
        <v>715</v>
      </c>
      <c r="S102" s="57">
        <v>102</v>
      </c>
      <c r="U102" t="str">
        <f>IF(Data!$J102="",IFERROR(INDEX(IF(SD!$C$11="Create",Lap!$A$3:$BF$14,IF(SD!$C$11="Per Uploaded File",Lap!$A$19:$BF$30,"")),MATCH(W102,Lap!$A$3:$A$14,0),MATCH(VALUE(D102),Lap!$A$3:$BF$3,0)+IF(IFERROR(FIND("Grade 60",J102),0)&gt;0,0,IF(IFERROR(FIND("Grade 80",J102),0),1,IF(IFERROR(FIND("Grade 75",J102),0),2,"")))),""),Data!J102)</f>
        <v>5-1</v>
      </c>
      <c r="W102" t="s">
        <v>166</v>
      </c>
      <c r="X102">
        <v>6</v>
      </c>
      <c r="Y102" t="str">
        <f t="shared" si="4"/>
        <v>30</v>
      </c>
      <c r="Z102">
        <f t="shared" si="5"/>
        <v>0</v>
      </c>
      <c r="DE102" t="s">
        <v>831</v>
      </c>
      <c r="DF102" t="s">
        <v>66</v>
      </c>
      <c r="DG102" t="str">
        <f>VLOOKUP(W102,'Level Wise PSI'!$F$2:$G$12,2,FALSE)</f>
        <v>Double Lift</v>
      </c>
    </row>
    <row r="103" spans="1:111" x14ac:dyDescent="0.25">
      <c r="A103">
        <v>37</v>
      </c>
      <c r="B103" t="s">
        <v>672</v>
      </c>
      <c r="C103" s="15">
        <v>2429</v>
      </c>
      <c r="D103" s="15">
        <v>10000</v>
      </c>
      <c r="E103" t="str">
        <f>IF(B103=Level!$A$2,SD!$C$14,SD!$C$13)</f>
        <v>0-8</v>
      </c>
      <c r="F103" s="15" t="s">
        <v>763</v>
      </c>
      <c r="G103" t="s">
        <v>715</v>
      </c>
      <c r="H103" t="str">
        <f>RIGHT(VLOOKUP(B103,Level!A:C,3,FALSE),LEN(VLOOKUP(B103,Level!A:C,3,FALSE))-1)</f>
        <v>10-7</v>
      </c>
      <c r="I103" t="s">
        <v>716</v>
      </c>
      <c r="J103" t="str">
        <f>IF(AND(SD!$C$19=SD!$H$2,Grade!$G$1="Per level"),VLOOKUP(B103,Grade!$E$1:$F$200,2,FALSE),IF(AND(SD!$C$19=SD!$H$2,Grade!$G$1="Per Bar Size"),VLOOKUP(W103,Grade!$B$1:$C$12,2,0),SD!$C$19))</f>
        <v>A615 Grade 60</v>
      </c>
      <c r="K103" t="s">
        <v>66</v>
      </c>
      <c r="L103" s="24" t="str">
        <f>IFERROR(IF(A103&lt;&gt;A104,"",IF(DF103="No Lap","",IF(K104="Lap",U103,IF(K104="Coupler",_xlfn._xlws.FILTER(CCoupler,(CCName=SD!$C$8)*(CBSize=IF(A102=A103,W103&amp;W104,W103&amp;W103))*(CCMFM="Male")),"")))),"N/A")</f>
        <v>5-1</v>
      </c>
      <c r="M103" t="str">
        <f t="shared" si="3"/>
        <v/>
      </c>
      <c r="N103" t="s">
        <v>692</v>
      </c>
      <c r="O103" t="s">
        <v>693</v>
      </c>
      <c r="P103" t="s">
        <v>692</v>
      </c>
      <c r="Q103" t="str">
        <f>IF(AND(SD!$C$29=SD!$P$2,Grade!$O$1="Per level"),VLOOKUP(B103,Grade!$M$1:$N$200,2,FALSE),IF(AND(SD!$C$29=SD!$P$2,Grade!$O$1="Per Bar Size"),VLOOKUP(LEFT(N103,FIND("@",N103)-2),Grade!$J$1:$K$12,2,0),SD!$C$29))</f>
        <v>A615 Grade 60</v>
      </c>
      <c r="R103" t="s">
        <v>715</v>
      </c>
      <c r="S103" s="57">
        <v>103</v>
      </c>
      <c r="U103" t="str">
        <f>IF(Data!$J103="",IFERROR(INDEX(IF(SD!$C$11="Create",Lap!$A$3:$BF$14,IF(SD!$C$11="Per Uploaded File",Lap!$A$19:$BF$30,"")),MATCH(W103,Lap!$A$3:$A$14,0),MATCH(VALUE(D103),Lap!$A$3:$BF$3,0)+IF(IFERROR(FIND("Grade 60",J103),0)&gt;0,0,IF(IFERROR(FIND("Grade 80",J103),0),1,IF(IFERROR(FIND("Grade 75",J103),0),2,"")))),""),Data!J103)</f>
        <v>5-1</v>
      </c>
      <c r="W103" t="s">
        <v>166</v>
      </c>
      <c r="X103">
        <v>6</v>
      </c>
      <c r="Y103" t="str">
        <f t="shared" si="4"/>
        <v>30</v>
      </c>
      <c r="Z103">
        <f t="shared" si="5"/>
        <v>0</v>
      </c>
      <c r="DE103" t="s">
        <v>831</v>
      </c>
      <c r="DF103" t="s">
        <v>66</v>
      </c>
      <c r="DG103" t="str">
        <f>VLOOKUP(W103,'Level Wise PSI'!$F$2:$G$12,2,FALSE)</f>
        <v>Double Lift</v>
      </c>
    </row>
    <row r="104" spans="1:111" x14ac:dyDescent="0.25">
      <c r="A104">
        <v>37</v>
      </c>
      <c r="B104" t="s">
        <v>674</v>
      </c>
      <c r="C104" s="15">
        <v>2429</v>
      </c>
      <c r="D104" s="15">
        <v>10000</v>
      </c>
      <c r="E104" t="str">
        <f>IF(B104=Level!$A$2,SD!$C$14,SD!$C$13)</f>
        <v>0-8</v>
      </c>
      <c r="F104" s="15" t="s">
        <v>763</v>
      </c>
      <c r="G104" t="s">
        <v>715</v>
      </c>
      <c r="H104" t="str">
        <f>RIGHT(VLOOKUP(B104,Level!A:C,3,FALSE),LEN(VLOOKUP(B104,Level!A:C,3,FALSE))-1)</f>
        <v>10-7</v>
      </c>
      <c r="I104" t="s">
        <v>716</v>
      </c>
      <c r="J104" t="str">
        <f>IF(AND(SD!$C$19=SD!$H$2,Grade!$G$1="Per level"),VLOOKUP(B104,Grade!$E$1:$F$200,2,FALSE),IF(AND(SD!$C$19=SD!$H$2,Grade!$G$1="Per Bar Size"),VLOOKUP(W104,Grade!$B$1:$C$12,2,0),SD!$C$19))</f>
        <v>A615 Grade 60</v>
      </c>
      <c r="K104" t="s">
        <v>66</v>
      </c>
      <c r="L104" s="24" t="str">
        <f>IFERROR(IF(A104&lt;&gt;A105,"",IF(DF104="No Lap","",IF(K105="Lap",U104,IF(K105="Coupler",_xlfn._xlws.FILTER(CCoupler,(CCName=SD!$C$8)*(CBSize=IF(A103=A104,W104&amp;W105,W104&amp;W104))*(CCMFM="Male")),"")))),"N/A")</f>
        <v>5-1</v>
      </c>
      <c r="M104" t="str">
        <f t="shared" si="3"/>
        <v/>
      </c>
      <c r="N104" t="s">
        <v>692</v>
      </c>
      <c r="O104" t="s">
        <v>693</v>
      </c>
      <c r="P104" t="s">
        <v>692</v>
      </c>
      <c r="Q104" t="str">
        <f>IF(AND(SD!$C$29=SD!$P$2,Grade!$O$1="Per level"),VLOOKUP(B104,Grade!$M$1:$N$200,2,FALSE),IF(AND(SD!$C$29=SD!$P$2,Grade!$O$1="Per Bar Size"),VLOOKUP(LEFT(N104,FIND("@",N104)-2),Grade!$J$1:$K$12,2,0),SD!$C$29))</f>
        <v>A615 Grade 60</v>
      </c>
      <c r="R104" t="s">
        <v>715</v>
      </c>
      <c r="S104" s="57">
        <v>104</v>
      </c>
      <c r="U104" t="str">
        <f>IF(Data!$J104="",IFERROR(INDEX(IF(SD!$C$11="Create",Lap!$A$3:$BF$14,IF(SD!$C$11="Per Uploaded File",Lap!$A$19:$BF$30,"")),MATCH(W104,Lap!$A$3:$A$14,0),MATCH(VALUE(D104),Lap!$A$3:$BF$3,0)+IF(IFERROR(FIND("Grade 60",J104),0)&gt;0,0,IF(IFERROR(FIND("Grade 80",J104),0),1,IF(IFERROR(FIND("Grade 75",J104),0),2,"")))),""),Data!J104)</f>
        <v>5-1</v>
      </c>
      <c r="W104" t="s">
        <v>166</v>
      </c>
      <c r="X104">
        <v>6</v>
      </c>
      <c r="Y104" t="str">
        <f t="shared" si="4"/>
        <v>30</v>
      </c>
      <c r="Z104">
        <f t="shared" si="5"/>
        <v>0</v>
      </c>
      <c r="DE104" t="s">
        <v>831</v>
      </c>
      <c r="DF104" t="s">
        <v>66</v>
      </c>
      <c r="DG104" t="str">
        <f>VLOOKUP(W104,'Level Wise PSI'!$F$2:$G$12,2,FALSE)</f>
        <v>Double Lift</v>
      </c>
    </row>
    <row r="105" spans="1:111" x14ac:dyDescent="0.25">
      <c r="A105">
        <v>37</v>
      </c>
      <c r="B105" t="s">
        <v>676</v>
      </c>
      <c r="C105" s="15">
        <v>2429</v>
      </c>
      <c r="D105" s="15">
        <v>10000</v>
      </c>
      <c r="E105" t="str">
        <f>IF(B105=Level!$A$2,SD!$C$14,SD!$C$13)</f>
        <v>0-8</v>
      </c>
      <c r="F105" s="15" t="s">
        <v>763</v>
      </c>
      <c r="G105" t="s">
        <v>715</v>
      </c>
      <c r="H105" t="str">
        <f>RIGHT(VLOOKUP(B105,Level!A:C,3,FALSE),LEN(VLOOKUP(B105,Level!A:C,3,FALSE))-1)</f>
        <v>10-7</v>
      </c>
      <c r="I105" t="s">
        <v>716</v>
      </c>
      <c r="J105" t="str">
        <f>IF(AND(SD!$C$19=SD!$H$2,Grade!$G$1="Per level"),VLOOKUP(B105,Grade!$E$1:$F$200,2,FALSE),IF(AND(SD!$C$19=SD!$H$2,Grade!$G$1="Per Bar Size"),VLOOKUP(W105,Grade!$B$1:$C$12,2,0),SD!$C$19))</f>
        <v>A615 Grade 60</v>
      </c>
      <c r="K105" t="s">
        <v>66</v>
      </c>
      <c r="L105" s="24" t="str">
        <f>IFERROR(IF(A105&lt;&gt;A106,"",IF(DF105="No Lap","",IF(K106="Lap",U105,IF(K106="Coupler",_xlfn._xlws.FILTER(CCoupler,(CCName=SD!$C$8)*(CBSize=IF(A104=A105,W105&amp;W106,W105&amp;W105))*(CCMFM="Male")),"")))),"N/A")</f>
        <v>5-1</v>
      </c>
      <c r="M105" t="str">
        <f t="shared" si="3"/>
        <v/>
      </c>
      <c r="N105" t="s">
        <v>692</v>
      </c>
      <c r="O105" t="s">
        <v>693</v>
      </c>
      <c r="P105" t="s">
        <v>692</v>
      </c>
      <c r="Q105" t="str">
        <f>IF(AND(SD!$C$29=SD!$P$2,Grade!$O$1="Per level"),VLOOKUP(B105,Grade!$M$1:$N$200,2,FALSE),IF(AND(SD!$C$29=SD!$P$2,Grade!$O$1="Per Bar Size"),VLOOKUP(LEFT(N105,FIND("@",N105)-2),Grade!$J$1:$K$12,2,0),SD!$C$29))</f>
        <v>A615 Grade 60</v>
      </c>
      <c r="R105" t="s">
        <v>715</v>
      </c>
      <c r="S105" s="57">
        <v>105</v>
      </c>
      <c r="U105" t="str">
        <f>IF(Data!$J105="",IFERROR(INDEX(IF(SD!$C$11="Create",Lap!$A$3:$BF$14,IF(SD!$C$11="Per Uploaded File",Lap!$A$19:$BF$30,"")),MATCH(W105,Lap!$A$3:$A$14,0),MATCH(VALUE(D105),Lap!$A$3:$BF$3,0)+IF(IFERROR(FIND("Grade 60",J105),0)&gt;0,0,IF(IFERROR(FIND("Grade 80",J105),0),1,IF(IFERROR(FIND("Grade 75",J105),0),2,"")))),""),Data!J105)</f>
        <v>5-1</v>
      </c>
      <c r="W105" t="s">
        <v>166</v>
      </c>
      <c r="X105">
        <v>6</v>
      </c>
      <c r="Y105" t="str">
        <f t="shared" si="4"/>
        <v>30</v>
      </c>
      <c r="Z105">
        <f t="shared" si="5"/>
        <v>0</v>
      </c>
      <c r="DE105" t="s">
        <v>831</v>
      </c>
      <c r="DF105" t="s">
        <v>66</v>
      </c>
      <c r="DG105" t="str">
        <f>VLOOKUP(W105,'Level Wise PSI'!$F$2:$G$12,2,FALSE)</f>
        <v>Double Lift</v>
      </c>
    </row>
    <row r="106" spans="1:111" x14ac:dyDescent="0.25">
      <c r="A106">
        <v>37</v>
      </c>
      <c r="B106" t="s">
        <v>678</v>
      </c>
      <c r="C106" s="15">
        <v>2429</v>
      </c>
      <c r="D106" s="15">
        <v>10000</v>
      </c>
      <c r="E106" t="str">
        <f>IF(B106=Level!$A$2,SD!$C$14,SD!$C$13)</f>
        <v>0-8</v>
      </c>
      <c r="F106" s="15" t="s">
        <v>763</v>
      </c>
      <c r="G106" t="s">
        <v>715</v>
      </c>
      <c r="H106" t="str">
        <f>RIGHT(VLOOKUP(B106,Level!A:C,3,FALSE),LEN(VLOOKUP(B106,Level!A:C,3,FALSE))-1)</f>
        <v>10-7</v>
      </c>
      <c r="I106" t="s">
        <v>716</v>
      </c>
      <c r="J106" t="str">
        <f>IF(AND(SD!$C$19=SD!$H$2,Grade!$G$1="Per level"),VLOOKUP(B106,Grade!$E$1:$F$200,2,FALSE),IF(AND(SD!$C$19=SD!$H$2,Grade!$G$1="Per Bar Size"),VLOOKUP(W106,Grade!$B$1:$C$12,2,0),SD!$C$19))</f>
        <v>A615 Grade 60</v>
      </c>
      <c r="K106" t="s">
        <v>66</v>
      </c>
      <c r="L106" s="24" t="str">
        <f>IFERROR(IF(A106&lt;&gt;A107,"",IF(DF106="No Lap","",IF(K107="Lap",U106,IF(K107="Coupler",_xlfn._xlws.FILTER(CCoupler,(CCName=SD!$C$8)*(CBSize=IF(A105=A106,W106&amp;W107,W106&amp;W106))*(CCMFM="Male")),"")))),"N/A")</f>
        <v>5-1</v>
      </c>
      <c r="M106" t="str">
        <f t="shared" si="3"/>
        <v/>
      </c>
      <c r="N106" t="s">
        <v>692</v>
      </c>
      <c r="O106" t="s">
        <v>693</v>
      </c>
      <c r="P106" t="s">
        <v>692</v>
      </c>
      <c r="Q106" t="str">
        <f>IF(AND(SD!$C$29=SD!$P$2,Grade!$O$1="Per level"),VLOOKUP(B106,Grade!$M$1:$N$200,2,FALSE),IF(AND(SD!$C$29=SD!$P$2,Grade!$O$1="Per Bar Size"),VLOOKUP(LEFT(N106,FIND("@",N106)-2),Grade!$J$1:$K$12,2,0),SD!$C$29))</f>
        <v>A615 Grade 60</v>
      </c>
      <c r="R106" t="s">
        <v>715</v>
      </c>
      <c r="S106" s="57">
        <v>106</v>
      </c>
      <c r="U106" t="str">
        <f>IF(Data!$J106="",IFERROR(INDEX(IF(SD!$C$11="Create",Lap!$A$3:$BF$14,IF(SD!$C$11="Per Uploaded File",Lap!$A$19:$BF$30,"")),MATCH(W106,Lap!$A$3:$A$14,0),MATCH(VALUE(D106),Lap!$A$3:$BF$3,0)+IF(IFERROR(FIND("Grade 60",J106),0)&gt;0,0,IF(IFERROR(FIND("Grade 80",J106),0),1,IF(IFERROR(FIND("Grade 75",J106),0),2,"")))),""),Data!J106)</f>
        <v>5-1</v>
      </c>
      <c r="W106" t="s">
        <v>166</v>
      </c>
      <c r="X106">
        <v>6</v>
      </c>
      <c r="Y106" t="str">
        <f t="shared" si="4"/>
        <v>30</v>
      </c>
      <c r="Z106">
        <f t="shared" si="5"/>
        <v>0</v>
      </c>
      <c r="DE106" t="s">
        <v>831</v>
      </c>
      <c r="DF106" t="s">
        <v>66</v>
      </c>
      <c r="DG106" t="str">
        <f>VLOOKUP(W106,'Level Wise PSI'!$F$2:$G$12,2,FALSE)</f>
        <v>Double Lift</v>
      </c>
    </row>
    <row r="107" spans="1:111" x14ac:dyDescent="0.25">
      <c r="A107">
        <v>37</v>
      </c>
      <c r="B107" t="s">
        <v>680</v>
      </c>
      <c r="C107" s="15">
        <v>2429</v>
      </c>
      <c r="D107" s="15">
        <v>10000</v>
      </c>
      <c r="E107" t="str">
        <f>IF(B107=Level!$A$2,SD!$C$14,SD!$C$13)</f>
        <v>0-8</v>
      </c>
      <c r="F107" s="15" t="s">
        <v>763</v>
      </c>
      <c r="G107" t="s">
        <v>715</v>
      </c>
      <c r="H107" t="str">
        <f>RIGHT(VLOOKUP(B107,Level!A:C,3,FALSE),LEN(VLOOKUP(B107,Level!A:C,3,FALSE))-1)</f>
        <v>10-7</v>
      </c>
      <c r="I107" t="s">
        <v>716</v>
      </c>
      <c r="J107" t="str">
        <f>IF(AND(SD!$C$19=SD!$H$2,Grade!$G$1="Per level"),VLOOKUP(B107,Grade!$E$1:$F$200,2,FALSE),IF(AND(SD!$C$19=SD!$H$2,Grade!$G$1="Per Bar Size"),VLOOKUP(W107,Grade!$B$1:$C$12,2,0),SD!$C$19))</f>
        <v>A615 Grade 60</v>
      </c>
      <c r="K107" t="s">
        <v>66</v>
      </c>
      <c r="L107" s="24" t="str">
        <f>IFERROR(IF(A107&lt;&gt;A108,"",IF(DF107="No Lap","",IF(K108="Lap",U107,IF(K108="Coupler",_xlfn._xlws.FILTER(CCoupler,(CCName=SD!$C$8)*(CBSize=IF(A106=A107,W107&amp;W108,W107&amp;W107))*(CCMFM="Male")),"")))),"N/A")</f>
        <v>5-1</v>
      </c>
      <c r="M107" t="str">
        <f t="shared" si="3"/>
        <v/>
      </c>
      <c r="N107" t="s">
        <v>692</v>
      </c>
      <c r="O107" t="s">
        <v>693</v>
      </c>
      <c r="P107" t="s">
        <v>692</v>
      </c>
      <c r="Q107" t="str">
        <f>IF(AND(SD!$C$29=SD!$P$2,Grade!$O$1="Per level"),VLOOKUP(B107,Grade!$M$1:$N$200,2,FALSE),IF(AND(SD!$C$29=SD!$P$2,Grade!$O$1="Per Bar Size"),VLOOKUP(LEFT(N107,FIND("@",N107)-2),Grade!$J$1:$K$12,2,0),SD!$C$29))</f>
        <v>A615 Grade 60</v>
      </c>
      <c r="R107" t="s">
        <v>715</v>
      </c>
      <c r="S107" s="57">
        <v>107</v>
      </c>
      <c r="U107" t="str">
        <f>IF(Data!$J107="",IFERROR(INDEX(IF(SD!$C$11="Create",Lap!$A$3:$BF$14,IF(SD!$C$11="Per Uploaded File",Lap!$A$19:$BF$30,"")),MATCH(W107,Lap!$A$3:$A$14,0),MATCH(VALUE(D107),Lap!$A$3:$BF$3,0)+IF(IFERROR(FIND("Grade 60",J107),0)&gt;0,0,IF(IFERROR(FIND("Grade 80",J107),0),1,IF(IFERROR(FIND("Grade 75",J107),0),2,"")))),""),Data!J107)</f>
        <v>5-1</v>
      </c>
      <c r="W107" t="s">
        <v>166</v>
      </c>
      <c r="X107">
        <v>6</v>
      </c>
      <c r="Y107" t="str">
        <f t="shared" si="4"/>
        <v>30</v>
      </c>
      <c r="Z107">
        <f t="shared" si="5"/>
        <v>0</v>
      </c>
      <c r="DE107" t="s">
        <v>831</v>
      </c>
      <c r="DF107" t="s">
        <v>66</v>
      </c>
      <c r="DG107" t="str">
        <f>VLOOKUP(W107,'Level Wise PSI'!$F$2:$G$12,2,FALSE)</f>
        <v>Double Lift</v>
      </c>
    </row>
    <row r="108" spans="1:111" x14ac:dyDescent="0.25">
      <c r="A108">
        <v>37</v>
      </c>
      <c r="B108" t="s">
        <v>682</v>
      </c>
      <c r="C108" s="15">
        <v>2429</v>
      </c>
      <c r="D108" s="15">
        <v>10000</v>
      </c>
      <c r="E108" t="str">
        <f>IF(B108=Level!$A$2,SD!$C$14,SD!$C$13)</f>
        <v>0-8</v>
      </c>
      <c r="F108" s="15" t="s">
        <v>763</v>
      </c>
      <c r="G108" t="s">
        <v>715</v>
      </c>
      <c r="H108" t="str">
        <f>RIGHT(VLOOKUP(B108,Level!A:C,3,FALSE),LEN(VLOOKUP(B108,Level!A:C,3,FALSE))-1)</f>
        <v>10-7</v>
      </c>
      <c r="I108" t="s">
        <v>717</v>
      </c>
      <c r="J108" t="str">
        <f>IF(AND(SD!$C$19=SD!$H$2,Grade!$G$1="Per level"),VLOOKUP(B108,Grade!$E$1:$F$200,2,FALSE),IF(AND(SD!$C$19=SD!$H$2,Grade!$G$1="Per Bar Size"),VLOOKUP(W108,Grade!$B$1:$C$12,2,0),SD!$C$19))</f>
        <v>A615 Grade 60</v>
      </c>
      <c r="K108" t="s">
        <v>66</v>
      </c>
      <c r="L108" s="24" t="str">
        <f>IFERROR(IF(A108&lt;&gt;A109,"",IF(DF108="No Lap","",IF(K109="Lap",U108,IF(K109="Coupler",_xlfn._xlws.FILTER(CCoupler,(CCName=SD!$C$8)*(CBSize=IF(A107=A108,W108&amp;W109,W108&amp;W108))*(CCMFM="Male")),"")))),"N/A")</f>
        <v/>
      </c>
      <c r="M108" t="str">
        <f t="shared" si="3"/>
        <v/>
      </c>
      <c r="N108" t="s">
        <v>692</v>
      </c>
      <c r="O108" t="s">
        <v>693</v>
      </c>
      <c r="P108" t="s">
        <v>692</v>
      </c>
      <c r="Q108" t="str">
        <f>IF(AND(SD!$C$29=SD!$P$2,Grade!$O$1="Per level"),VLOOKUP(B108,Grade!$M$1:$N$200,2,FALSE),IF(AND(SD!$C$29=SD!$P$2,Grade!$O$1="Per Bar Size"),VLOOKUP(LEFT(N108,FIND("@",N108)-2),Grade!$J$1:$K$12,2,0),SD!$C$29))</f>
        <v>A615 Grade 60</v>
      </c>
      <c r="R108" t="s">
        <v>715</v>
      </c>
      <c r="S108" s="57">
        <v>108</v>
      </c>
      <c r="U108" t="str">
        <f>IF(Data!$J108="",IFERROR(INDEX(IF(SD!$C$11="Create",Lap!$A$3:$BF$14,IF(SD!$C$11="Per Uploaded File",Lap!$A$19:$BF$30,"")),MATCH(W108,Lap!$A$3:$A$14,0),MATCH(VALUE(D108),Lap!$A$3:$BF$3,0)+IF(IFERROR(FIND("Grade 60",J108),0)&gt;0,0,IF(IFERROR(FIND("Grade 80",J108),0),1,IF(IFERROR(FIND("Grade 75",J108),0),2,"")))),""),Data!J108)</f>
        <v>4-0</v>
      </c>
      <c r="W108" t="s">
        <v>142</v>
      </c>
      <c r="X108">
        <v>10</v>
      </c>
      <c r="Y108" t="str">
        <f t="shared" si="4"/>
        <v>30</v>
      </c>
      <c r="Z108">
        <f t="shared" si="5"/>
        <v>0</v>
      </c>
      <c r="DE108" t="s">
        <v>831</v>
      </c>
      <c r="DF108" t="s">
        <v>66</v>
      </c>
      <c r="DG108" t="str">
        <f>VLOOKUP(W108,'Level Wise PSI'!$F$2:$G$12,2,FALSE)</f>
        <v>Double Lift</v>
      </c>
    </row>
    <row r="109" spans="1:111" x14ac:dyDescent="0.25">
      <c r="A109">
        <v>38</v>
      </c>
      <c r="B109" t="s">
        <v>658</v>
      </c>
      <c r="C109" s="15">
        <v>2429</v>
      </c>
      <c r="D109" s="15">
        <v>10000</v>
      </c>
      <c r="E109" s="15" t="s">
        <v>742</v>
      </c>
      <c r="F109" s="15" t="s">
        <v>763</v>
      </c>
      <c r="G109" t="s">
        <v>706</v>
      </c>
      <c r="H109" s="15" t="s">
        <v>759</v>
      </c>
      <c r="I109" t="s">
        <v>696</v>
      </c>
      <c r="J109" t="str">
        <f>IF(AND(SD!$C$19=SD!$H$2,Grade!$G$1="Per level"),VLOOKUP(B109,Grade!$E$1:$F$200,2,FALSE),IF(AND(SD!$C$19=SD!$H$2,Grade!$G$1="Per Bar Size"),VLOOKUP(W109,Grade!$B$1:$C$12,2,0),SD!$C$19))</f>
        <v>A615 Grade 60</v>
      </c>
      <c r="K109" t="s">
        <v>66</v>
      </c>
      <c r="L109" s="24" t="str">
        <f>IFERROR(IF(A109&lt;&gt;A110,"",IF(DF109="No Lap","",IF(K110="Lap",U109,IF(K110="Coupler",_xlfn._xlws.FILTER(CCoupler,(CCName=SD!$C$8)*(CBSize=IF(A108=A109,W109&amp;W110,W109&amp;W109))*(CCMFM="Male")),"")))),"N/A")</f>
        <v/>
      </c>
      <c r="M109" t="str">
        <f t="shared" si="3"/>
        <v/>
      </c>
      <c r="N109" t="s">
        <v>692</v>
      </c>
      <c r="O109" t="s">
        <v>693</v>
      </c>
      <c r="P109" t="s">
        <v>692</v>
      </c>
      <c r="Q109" t="str">
        <f>IF(AND(SD!$C$29=SD!$P$2,Grade!$O$1="Per level"),VLOOKUP(B109,Grade!$M$1:$N$200,2,FALSE),IF(AND(SD!$C$29=SD!$P$2,Grade!$O$1="Per Bar Size"),VLOOKUP(LEFT(N109,FIND("@",N109)-2),Grade!$J$1:$K$12,2,0),SD!$C$29))</f>
        <v>A615 Grade 60</v>
      </c>
      <c r="R109" t="s">
        <v>698</v>
      </c>
      <c r="S109" s="57">
        <v>109</v>
      </c>
      <c r="U109" t="str">
        <f>IF(Data!$J109="",IFERROR(INDEX(IF(SD!$C$11="Create",Lap!$A$3:$BF$14,IF(SD!$C$11="Per Uploaded File",Lap!$A$19:$BF$30,"")),MATCH(W109,Lap!$A$3:$A$14,0),MATCH(VALUE(D109),Lap!$A$3:$BF$3,0)+IF(IFERROR(FIND("Grade 60",J109),0)&gt;0,0,IF(IFERROR(FIND("Grade 80",J109),0),1,IF(IFERROR(FIND("Grade 75",J109),0),2,"")))),""),Data!J109)</f>
        <v>3-6</v>
      </c>
      <c r="W109" t="s">
        <v>129</v>
      </c>
      <c r="X109">
        <v>6</v>
      </c>
      <c r="Y109" t="str">
        <f t="shared" si="4"/>
        <v xml:space="preserve">14 </v>
      </c>
      <c r="Z109" t="str">
        <f t="shared" si="5"/>
        <v xml:space="preserve"> 24</v>
      </c>
      <c r="DE109" t="s">
        <v>706</v>
      </c>
      <c r="DF109" t="s">
        <v>66</v>
      </c>
      <c r="DG109" t="str">
        <f>VLOOKUP(W109,'Level Wise PSI'!$F$2:$G$12,2,FALSE)</f>
        <v>Double Lift</v>
      </c>
    </row>
    <row r="110" spans="1:111" x14ac:dyDescent="0.25">
      <c r="A110">
        <v>39</v>
      </c>
      <c r="B110" t="s">
        <v>658</v>
      </c>
      <c r="C110" s="15">
        <v>2429</v>
      </c>
      <c r="D110" s="15">
        <v>10000</v>
      </c>
      <c r="E110" s="15" t="s">
        <v>744</v>
      </c>
      <c r="F110" s="15" t="s">
        <v>763</v>
      </c>
      <c r="G110" t="s">
        <v>706</v>
      </c>
      <c r="H110" s="15" t="s">
        <v>758</v>
      </c>
      <c r="I110" t="s">
        <v>696</v>
      </c>
      <c r="J110" t="str">
        <f>IF(AND(SD!$C$19=SD!$H$2,Grade!$G$1="Per level"),VLOOKUP(B110,Grade!$E$1:$F$200,2,FALSE),IF(AND(SD!$C$19=SD!$H$2,Grade!$G$1="Per Bar Size"),VLOOKUP(W110,Grade!$B$1:$C$12,2,0),SD!$C$19))</f>
        <v>A615 Grade 60</v>
      </c>
      <c r="K110" t="s">
        <v>66</v>
      </c>
      <c r="L110" s="24" t="str">
        <f>IFERROR(IF(A110&lt;&gt;A111,"",IF(DF110="No Lap","",IF(K111="Lap",U110,IF(K111="Coupler",_xlfn._xlws.FILTER(CCoupler,(CCName=SD!$C$8)*(CBSize=IF(A109=A110,W110&amp;W111,W110&amp;W110))*(CCMFM="Male")),"")))),"N/A")</f>
        <v/>
      </c>
      <c r="M110" t="str">
        <f t="shared" si="3"/>
        <v/>
      </c>
      <c r="N110" t="s">
        <v>692</v>
      </c>
      <c r="O110" t="s">
        <v>693</v>
      </c>
      <c r="P110" t="s">
        <v>692</v>
      </c>
      <c r="Q110" t="str">
        <f>IF(AND(SD!$C$29=SD!$P$2,Grade!$O$1="Per level"),VLOOKUP(B110,Grade!$M$1:$N$200,2,FALSE),IF(AND(SD!$C$29=SD!$P$2,Grade!$O$1="Per Bar Size"),VLOOKUP(LEFT(N110,FIND("@",N110)-2),Grade!$J$1:$K$12,2,0),SD!$C$29))</f>
        <v>A615 Grade 60</v>
      </c>
      <c r="R110" t="s">
        <v>698</v>
      </c>
      <c r="S110" s="57">
        <v>110</v>
      </c>
      <c r="U110" t="str">
        <f>IF(Data!$J110="",IFERROR(INDEX(IF(SD!$C$11="Create",Lap!$A$3:$BF$14,IF(SD!$C$11="Per Uploaded File",Lap!$A$19:$BF$30,"")),MATCH(W110,Lap!$A$3:$A$14,0),MATCH(VALUE(D110),Lap!$A$3:$BF$3,0)+IF(IFERROR(FIND("Grade 60",J110),0)&gt;0,0,IF(IFERROR(FIND("Grade 80",J110),0),1,IF(IFERROR(FIND("Grade 75",J110),0),2,"")))),""),Data!J110)</f>
        <v>3-6</v>
      </c>
      <c r="W110" t="s">
        <v>129</v>
      </c>
      <c r="X110">
        <v>6</v>
      </c>
      <c r="Y110" t="str">
        <f t="shared" si="4"/>
        <v xml:space="preserve">14 </v>
      </c>
      <c r="Z110" t="str">
        <f t="shared" si="5"/>
        <v xml:space="preserve"> 24</v>
      </c>
      <c r="DE110" t="s">
        <v>706</v>
      </c>
      <c r="DF110" t="s">
        <v>66</v>
      </c>
      <c r="DG110" t="str">
        <f>VLOOKUP(W110,'Level Wise PSI'!$F$2:$G$12,2,FALSE)</f>
        <v>Double Lift</v>
      </c>
    </row>
    <row r="111" spans="1:111" x14ac:dyDescent="0.25">
      <c r="A111">
        <v>4</v>
      </c>
      <c r="B111" t="s">
        <v>658</v>
      </c>
      <c r="C111" s="15">
        <v>2429</v>
      </c>
      <c r="D111" s="15">
        <v>10000</v>
      </c>
      <c r="E111" t="str">
        <f>IF(B111=Level!$A$2,SD!$C$14,SD!$C$13)</f>
        <v>3-0</v>
      </c>
      <c r="F111" s="15" t="s">
        <v>763</v>
      </c>
      <c r="G111" t="s">
        <v>690</v>
      </c>
      <c r="H111" s="15" t="s">
        <v>759</v>
      </c>
      <c r="I111" t="s">
        <v>691</v>
      </c>
      <c r="J111" t="str">
        <f>IF(AND(SD!$C$19=SD!$H$2,Grade!$G$1="Per level"),VLOOKUP(B111,Grade!$E$1:$F$200,2,FALSE),IF(AND(SD!$C$19=SD!$H$2,Grade!$G$1="Per Bar Size"),VLOOKUP(W111,Grade!$B$1:$C$12,2,0),SD!$C$19))</f>
        <v>A615 Grade 60</v>
      </c>
      <c r="K111" t="s">
        <v>66</v>
      </c>
      <c r="L111" s="24" t="str">
        <f>IFERROR(IF(A111&lt;&gt;A112,"",IF(DF111="No Lap","",IF(K112="Lap",U111,IF(K112="Coupler",_xlfn._xlws.FILTER(CCoupler,(CCName=SD!$C$8)*(CBSize=IF(A110=A111,W111&amp;W112,W111&amp;W111))*(CCMFM="Male")),"")))),"N/A")</f>
        <v/>
      </c>
      <c r="M111" t="str">
        <f t="shared" si="3"/>
        <v/>
      </c>
      <c r="N111" t="s">
        <v>692</v>
      </c>
      <c r="O111" t="s">
        <v>693</v>
      </c>
      <c r="P111" t="s">
        <v>692</v>
      </c>
      <c r="Q111" t="str">
        <f>IF(AND(SD!$C$29=SD!$P$2,Grade!$O$1="Per level"),VLOOKUP(B111,Grade!$M$1:$N$200,2,FALSE),IF(AND(SD!$C$29=SD!$P$2,Grade!$O$1="Per Bar Size"),VLOOKUP(LEFT(N111,FIND("@",N111)-2),Grade!$J$1:$K$12,2,0),SD!$C$29))</f>
        <v>A615 Grade 60</v>
      </c>
      <c r="R111" t="s">
        <v>694</v>
      </c>
      <c r="S111" s="57">
        <v>111</v>
      </c>
      <c r="U111" t="str">
        <f>IF(Data!$J111="",IFERROR(INDEX(IF(SD!$C$11="Create",Lap!$A$3:$BF$14,IF(SD!$C$11="Per Uploaded File",Lap!$A$19:$BF$30,"")),MATCH(W111,Lap!$A$3:$A$14,0),MATCH(VALUE(D111),Lap!$A$3:$BF$3,0)+IF(IFERROR(FIND("Grade 60",J111),0)&gt;0,0,IF(IFERROR(FIND("Grade 80",J111),0),1,IF(IFERROR(FIND("Grade 75",J111),0),2,"")))),""),Data!J111)</f>
        <v>3-6</v>
      </c>
      <c r="W111" t="s">
        <v>129</v>
      </c>
      <c r="X111">
        <v>14</v>
      </c>
      <c r="Y111" t="str">
        <f t="shared" si="4"/>
        <v xml:space="preserve">12 </v>
      </c>
      <c r="Z111" t="str">
        <f t="shared" si="5"/>
        <v xml:space="preserve"> 56</v>
      </c>
      <c r="DE111" t="s">
        <v>690</v>
      </c>
      <c r="DF111" t="s">
        <v>66</v>
      </c>
      <c r="DG111" t="str">
        <f>VLOOKUP(W111,'Level Wise PSI'!$F$2:$G$12,2,FALSE)</f>
        <v>Double Lift</v>
      </c>
    </row>
    <row r="112" spans="1:111" x14ac:dyDescent="0.25">
      <c r="A112">
        <v>40</v>
      </c>
      <c r="B112" t="s">
        <v>658</v>
      </c>
      <c r="C112" s="15">
        <v>2429</v>
      </c>
      <c r="D112" s="15">
        <v>10000</v>
      </c>
      <c r="E112" t="str">
        <f>IF(B112=Level!$A$2,SD!$C$14,SD!$C$13)</f>
        <v>3-0</v>
      </c>
      <c r="F112" s="15" t="s">
        <v>763</v>
      </c>
      <c r="G112" t="s">
        <v>706</v>
      </c>
      <c r="H112" s="15" t="s">
        <v>759</v>
      </c>
      <c r="I112" t="s">
        <v>700</v>
      </c>
      <c r="J112" t="str">
        <f>IF(AND(SD!$C$19=SD!$H$2,Grade!$G$1="Per level"),VLOOKUP(B112,Grade!$E$1:$F$200,2,FALSE),IF(AND(SD!$C$19=SD!$H$2,Grade!$G$1="Per Bar Size"),VLOOKUP(W112,Grade!$B$1:$C$12,2,0),SD!$C$19))</f>
        <v>A615 Grade 60</v>
      </c>
      <c r="K112" t="s">
        <v>66</v>
      </c>
      <c r="L112" s="24" t="str">
        <f>IFERROR(IF(A112&lt;&gt;A113,"",IF(DF112="No Lap","",IF(K113="Lap",U112,IF(K113="Coupler",_xlfn._xlws.FILTER(CCoupler,(CCName=SD!$C$8)*(CBSize=IF(A111=A112,W112&amp;W113,W112&amp;W112))*(CCMFM="Male")),"")))),"N/A")</f>
        <v/>
      </c>
      <c r="M112" t="str">
        <f t="shared" si="3"/>
        <v/>
      </c>
      <c r="N112" t="s">
        <v>692</v>
      </c>
      <c r="O112" t="s">
        <v>693</v>
      </c>
      <c r="P112" t="s">
        <v>692</v>
      </c>
      <c r="Q112" t="str">
        <f>IF(AND(SD!$C$29=SD!$P$2,Grade!$O$1="Per level"),VLOOKUP(B112,Grade!$M$1:$N$200,2,FALSE),IF(AND(SD!$C$29=SD!$P$2,Grade!$O$1="Per Bar Size"),VLOOKUP(LEFT(N112,FIND("@",N112)-2),Grade!$J$1:$K$12,2,0),SD!$C$29))</f>
        <v>A615 Grade 60</v>
      </c>
      <c r="R112" t="s">
        <v>701</v>
      </c>
      <c r="S112" s="57">
        <v>112</v>
      </c>
      <c r="U112" t="str">
        <f>IF(Data!$J112="",IFERROR(INDEX(IF(SD!$C$11="Create",Lap!$A$3:$BF$14,IF(SD!$C$11="Per Uploaded File",Lap!$A$19:$BF$30,"")),MATCH(W112,Lap!$A$3:$A$14,0),MATCH(VALUE(D112),Lap!$A$3:$BF$3,0)+IF(IFERROR(FIND("Grade 60",J112),0)&gt;0,0,IF(IFERROR(FIND("Grade 80",J112),0),1,IF(IFERROR(FIND("Grade 75",J112),0),2,"")))),""),Data!J112)</f>
        <v>4-6</v>
      </c>
      <c r="W112" t="s">
        <v>154</v>
      </c>
      <c r="X112">
        <v>12</v>
      </c>
      <c r="Y112" t="str">
        <f t="shared" si="4"/>
        <v xml:space="preserve">14 </v>
      </c>
      <c r="Z112" t="str">
        <f t="shared" si="5"/>
        <v xml:space="preserve"> 24</v>
      </c>
      <c r="DE112" t="s">
        <v>706</v>
      </c>
      <c r="DF112" t="s">
        <v>66</v>
      </c>
      <c r="DG112" t="str">
        <f>VLOOKUP(W112,'Level Wise PSI'!$F$2:$G$12,2,FALSE)</f>
        <v>Double Lift</v>
      </c>
    </row>
    <row r="113" spans="1:111" x14ac:dyDescent="0.25">
      <c r="A113">
        <v>41</v>
      </c>
      <c r="B113" t="s">
        <v>658</v>
      </c>
      <c r="C113" s="15">
        <v>2429</v>
      </c>
      <c r="D113" s="15">
        <v>10000</v>
      </c>
      <c r="E113" s="15" t="s">
        <v>761</v>
      </c>
      <c r="F113" s="15" t="s">
        <v>763</v>
      </c>
      <c r="G113" t="s">
        <v>715</v>
      </c>
      <c r="H113" s="15" t="s">
        <v>760</v>
      </c>
      <c r="I113" t="s">
        <v>726</v>
      </c>
      <c r="J113" t="str">
        <f>IF(AND(SD!$C$19=SD!$H$2,Grade!$G$1="Per level"),VLOOKUP(B113,Grade!$E$1:$F$200,2,FALSE),IF(AND(SD!$C$19=SD!$H$2,Grade!$G$1="Per Bar Size"),VLOOKUP(W113,Grade!$B$1:$C$12,2,0),SD!$C$19))</f>
        <v>A615 Grade 60</v>
      </c>
      <c r="K113" t="s">
        <v>66</v>
      </c>
      <c r="L113" s="24" t="str">
        <f>IFERROR(IF(A113&lt;&gt;A114,"",IF(DF113="No Lap","",IF(K114="Lap",U113,IF(K114="Coupler",_xlfn._xlws.FILTER(CCoupler,(CCName=SD!$C$8)*(CBSize=IF(A112=A113,W113&amp;W114,W113&amp;W113))*(CCMFM="Male")),"")))),"N/A")</f>
        <v/>
      </c>
      <c r="M113" t="str">
        <f t="shared" si="3"/>
        <v/>
      </c>
      <c r="N113" t="s">
        <v>692</v>
      </c>
      <c r="O113" t="s">
        <v>693</v>
      </c>
      <c r="P113" t="s">
        <v>692</v>
      </c>
      <c r="Q113" t="str">
        <f>IF(AND(SD!$C$29=SD!$P$2,Grade!$O$1="Per level"),VLOOKUP(B113,Grade!$M$1:$N$200,2,FALSE),IF(AND(SD!$C$29=SD!$P$2,Grade!$O$1="Per Bar Size"),VLOOKUP(LEFT(N113,FIND("@",N113)-2),Grade!$J$1:$K$12,2,0),SD!$C$29))</f>
        <v>A615 Grade 60</v>
      </c>
      <c r="R113" t="s">
        <v>715</v>
      </c>
      <c r="S113" s="57">
        <v>113</v>
      </c>
      <c r="U113" t="str">
        <f>IF(Data!$J113="",IFERROR(INDEX(IF(SD!$C$11="Create",Lap!$A$3:$BF$14,IF(SD!$C$11="Per Uploaded File",Lap!$A$19:$BF$30,"")),MATCH(W113,Lap!$A$3:$A$14,0),MATCH(VALUE(D113),Lap!$A$3:$BF$3,0)+IF(IFERROR(FIND("Grade 60",J113),0)&gt;0,0,IF(IFERROR(FIND("Grade 80",J113),0),1,IF(IFERROR(FIND("Grade 75",J113),0),2,"")))),""),Data!J113)</f>
        <v>4-6</v>
      </c>
      <c r="W113" t="s">
        <v>154</v>
      </c>
      <c r="X113">
        <v>8</v>
      </c>
      <c r="Y113" t="str">
        <f t="shared" si="4"/>
        <v>30</v>
      </c>
      <c r="Z113">
        <f t="shared" si="5"/>
        <v>0</v>
      </c>
      <c r="DE113" t="s">
        <v>715</v>
      </c>
      <c r="DF113" t="s">
        <v>66</v>
      </c>
      <c r="DG113" t="str">
        <f>VLOOKUP(W113,'Level Wise PSI'!$F$2:$G$12,2,FALSE)</f>
        <v>Double Lift</v>
      </c>
    </row>
    <row r="114" spans="1:111" x14ac:dyDescent="0.25">
      <c r="A114">
        <v>42</v>
      </c>
      <c r="B114" t="s">
        <v>658</v>
      </c>
      <c r="C114" s="15">
        <v>2429</v>
      </c>
      <c r="D114" s="15">
        <v>10000</v>
      </c>
      <c r="E114" t="str">
        <f>IF(B114=Level!$A$2,SD!$C$14,SD!$C$13)</f>
        <v>3-0</v>
      </c>
      <c r="F114" s="15" t="s">
        <v>763</v>
      </c>
      <c r="G114" t="s">
        <v>707</v>
      </c>
      <c r="H114" s="15" t="s">
        <v>760</v>
      </c>
      <c r="I114" t="s">
        <v>708</v>
      </c>
      <c r="J114" t="str">
        <f>IF(AND(SD!$C$19=SD!$H$2,Grade!$G$1="Per level"),VLOOKUP(B114,Grade!$E$1:$F$200,2,FALSE),IF(AND(SD!$C$19=SD!$H$2,Grade!$G$1="Per Bar Size"),VLOOKUP(W114,Grade!$B$1:$C$12,2,0),SD!$C$19))</f>
        <v>A615 Grade 60</v>
      </c>
      <c r="K114" t="s">
        <v>66</v>
      </c>
      <c r="L114" s="24" t="str">
        <f>IFERROR(IF(A114&lt;&gt;A115,"",IF(DF114="No Lap","",IF(K115="Lap",U114,IF(K115="Coupler",_xlfn._xlws.FILTER(CCoupler,(CCName=SD!$C$8)*(CBSize=IF(A113=A114,W114&amp;W115,W114&amp;W114))*(CCMFM="Male")),"")))),"N/A")</f>
        <v/>
      </c>
      <c r="M114" t="str">
        <f t="shared" si="3"/>
        <v/>
      </c>
      <c r="N114" t="s">
        <v>692</v>
      </c>
      <c r="O114" t="s">
        <v>693</v>
      </c>
      <c r="P114" t="s">
        <v>692</v>
      </c>
      <c r="Q114" t="str">
        <f>IF(AND(SD!$C$29=SD!$P$2,Grade!$O$1="Per level"),VLOOKUP(B114,Grade!$M$1:$N$200,2,FALSE),IF(AND(SD!$C$29=SD!$P$2,Grade!$O$1="Per Bar Size"),VLOOKUP(LEFT(N114,FIND("@",N114)-2),Grade!$J$1:$K$12,2,0),SD!$C$29))</f>
        <v>A615 Grade 60</v>
      </c>
      <c r="R114" t="s">
        <v>709</v>
      </c>
      <c r="S114" s="57">
        <v>114</v>
      </c>
      <c r="U114" t="str">
        <f>IF(Data!$J114="",IFERROR(INDEX(IF(SD!$C$11="Create",Lap!$A$3:$BF$14,IF(SD!$C$11="Per Uploaded File",Lap!$A$19:$BF$30,"")),MATCH(W114,Lap!$A$3:$A$14,0),MATCH(VALUE(D114),Lap!$A$3:$BF$3,0)+IF(IFERROR(FIND("Grade 60",J114),0)&gt;0,0,IF(IFERROR(FIND("Grade 80",J114),0),1,IF(IFERROR(FIND("Grade 75",J114),0),2,"")))),""),Data!J114)</f>
        <v>3-6</v>
      </c>
      <c r="W114" t="s">
        <v>129</v>
      </c>
      <c r="X114">
        <v>8</v>
      </c>
      <c r="Y114" t="str">
        <f t="shared" si="4"/>
        <v xml:space="preserve">16 </v>
      </c>
      <c r="Z114" t="str">
        <f t="shared" si="5"/>
        <v xml:space="preserve"> 30</v>
      </c>
      <c r="DE114" t="s">
        <v>707</v>
      </c>
      <c r="DF114" t="s">
        <v>66</v>
      </c>
      <c r="DG114" t="str">
        <f>VLOOKUP(W114,'Level Wise PSI'!$F$2:$G$12,2,FALSE)</f>
        <v>Double Lift</v>
      </c>
    </row>
    <row r="115" spans="1:111" x14ac:dyDescent="0.25">
      <c r="A115">
        <v>43</v>
      </c>
      <c r="B115" t="s">
        <v>658</v>
      </c>
      <c r="C115" s="15">
        <v>2429</v>
      </c>
      <c r="D115" s="15">
        <v>10000</v>
      </c>
      <c r="E115" s="15" t="s">
        <v>530</v>
      </c>
      <c r="F115" s="15" t="s">
        <v>763</v>
      </c>
      <c r="G115" t="s">
        <v>707</v>
      </c>
      <c r="H115" s="15" t="s">
        <v>759</v>
      </c>
      <c r="I115" t="s">
        <v>708</v>
      </c>
      <c r="J115" t="str">
        <f>IF(AND(SD!$C$19=SD!$H$2,Grade!$G$1="Per level"),VLOOKUP(B115,Grade!$E$1:$F$200,2,FALSE),IF(AND(SD!$C$19=SD!$H$2,Grade!$G$1="Per Bar Size"),VLOOKUP(W115,Grade!$B$1:$C$12,2,0),SD!$C$19))</f>
        <v>A615 Grade 60</v>
      </c>
      <c r="K115" t="s">
        <v>66</v>
      </c>
      <c r="L115" s="24" t="str">
        <f>IFERROR(IF(A115&lt;&gt;A116,"",IF(DF115="No Lap","",IF(K116="Lap",U115,IF(K116="Coupler",_xlfn._xlws.FILTER(CCoupler,(CCName=SD!$C$8)*(CBSize=IF(A114=A115,W115&amp;W116,W115&amp;W115))*(CCMFM="Male")),"")))),"N/A")</f>
        <v/>
      </c>
      <c r="M115" t="str">
        <f t="shared" si="3"/>
        <v/>
      </c>
      <c r="N115" t="s">
        <v>692</v>
      </c>
      <c r="O115" t="s">
        <v>693</v>
      </c>
      <c r="P115" t="s">
        <v>692</v>
      </c>
      <c r="Q115" t="str">
        <f>IF(AND(SD!$C$29=SD!$P$2,Grade!$O$1="Per level"),VLOOKUP(B115,Grade!$M$1:$N$200,2,FALSE),IF(AND(SD!$C$29=SD!$P$2,Grade!$O$1="Per Bar Size"),VLOOKUP(LEFT(N115,FIND("@",N115)-2),Grade!$J$1:$K$12,2,0),SD!$C$29))</f>
        <v>A615 Grade 60</v>
      </c>
      <c r="R115" t="s">
        <v>709</v>
      </c>
      <c r="S115" s="57">
        <v>115</v>
      </c>
      <c r="U115" t="str">
        <f>IF(Data!$J115="",IFERROR(INDEX(IF(SD!$C$11="Create",Lap!$A$3:$BF$14,IF(SD!$C$11="Per Uploaded File",Lap!$A$19:$BF$30,"")),MATCH(W115,Lap!$A$3:$A$14,0),MATCH(VALUE(D115),Lap!$A$3:$BF$3,0)+IF(IFERROR(FIND("Grade 60",J115),0)&gt;0,0,IF(IFERROR(FIND("Grade 80",J115),0),1,IF(IFERROR(FIND("Grade 75",J115),0),2,"")))),""),Data!J115)</f>
        <v>3-6</v>
      </c>
      <c r="W115" t="s">
        <v>129</v>
      </c>
      <c r="X115">
        <v>8</v>
      </c>
      <c r="Y115" t="str">
        <f t="shared" si="4"/>
        <v xml:space="preserve">16 </v>
      </c>
      <c r="Z115" t="str">
        <f t="shared" si="5"/>
        <v xml:space="preserve"> 30</v>
      </c>
      <c r="DE115" t="s">
        <v>707</v>
      </c>
      <c r="DF115" t="s">
        <v>66</v>
      </c>
      <c r="DG115" t="str">
        <f>VLOOKUP(W115,'Level Wise PSI'!$F$2:$G$12,2,FALSE)</f>
        <v>Double Lift</v>
      </c>
    </row>
    <row r="116" spans="1:111" x14ac:dyDescent="0.25">
      <c r="A116">
        <v>44</v>
      </c>
      <c r="B116" t="s">
        <v>658</v>
      </c>
      <c r="C116" s="15">
        <v>2429</v>
      </c>
      <c r="D116" s="15">
        <v>10000</v>
      </c>
      <c r="E116" t="str">
        <f>IF(B116=Level!$A$2,SD!$C$14,SD!$C$13)</f>
        <v>3-0</v>
      </c>
      <c r="F116" s="15" t="s">
        <v>763</v>
      </c>
      <c r="G116" t="s">
        <v>707</v>
      </c>
      <c r="H116" s="15" t="s">
        <v>759</v>
      </c>
      <c r="I116" t="s">
        <v>708</v>
      </c>
      <c r="J116" t="str">
        <f>IF(AND(SD!$C$19=SD!$H$2,Grade!$G$1="Per level"),VLOOKUP(B116,Grade!$E$1:$F$200,2,FALSE),IF(AND(SD!$C$19=SD!$H$2,Grade!$G$1="Per Bar Size"),VLOOKUP(W116,Grade!$B$1:$C$12,2,0),SD!$C$19))</f>
        <v>A615 Grade 60</v>
      </c>
      <c r="K116" t="s">
        <v>66</v>
      </c>
      <c r="L116" s="24" t="str">
        <f>IFERROR(IF(A116&lt;&gt;A117,"",IF(DF116="No Lap","",IF(K117="Lap",U116,IF(K117="Coupler",_xlfn._xlws.FILTER(CCoupler,(CCName=SD!$C$8)*(CBSize=IF(A115=A116,W116&amp;W117,W116&amp;W116))*(CCMFM="Male")),"")))),"N/A")</f>
        <v/>
      </c>
      <c r="M116" t="str">
        <f t="shared" si="3"/>
        <v/>
      </c>
      <c r="N116" t="s">
        <v>692</v>
      </c>
      <c r="O116" t="s">
        <v>693</v>
      </c>
      <c r="P116" t="s">
        <v>692</v>
      </c>
      <c r="Q116" t="str">
        <f>IF(AND(SD!$C$29=SD!$P$2,Grade!$O$1="Per level"),VLOOKUP(B116,Grade!$M$1:$N$200,2,FALSE),IF(AND(SD!$C$29=SD!$P$2,Grade!$O$1="Per Bar Size"),VLOOKUP(LEFT(N116,FIND("@",N116)-2),Grade!$J$1:$K$12,2,0),SD!$C$29))</f>
        <v>A615 Grade 60</v>
      </c>
      <c r="R116" t="s">
        <v>709</v>
      </c>
      <c r="S116" s="57">
        <v>116</v>
      </c>
      <c r="U116" t="str">
        <f>IF(Data!$J116="",IFERROR(INDEX(IF(SD!$C$11="Create",Lap!$A$3:$BF$14,IF(SD!$C$11="Per Uploaded File",Lap!$A$19:$BF$30,"")),MATCH(W116,Lap!$A$3:$A$14,0),MATCH(VALUE(D116),Lap!$A$3:$BF$3,0)+IF(IFERROR(FIND("Grade 60",J116),0)&gt;0,0,IF(IFERROR(FIND("Grade 80",J116),0),1,IF(IFERROR(FIND("Grade 75",J116),0),2,"")))),""),Data!J116)</f>
        <v>3-6</v>
      </c>
      <c r="W116" t="s">
        <v>129</v>
      </c>
      <c r="X116">
        <v>8</v>
      </c>
      <c r="Y116" t="str">
        <f t="shared" si="4"/>
        <v xml:space="preserve">16 </v>
      </c>
      <c r="Z116" t="str">
        <f t="shared" si="5"/>
        <v xml:space="preserve"> 30</v>
      </c>
      <c r="DE116" t="s">
        <v>707</v>
      </c>
      <c r="DF116" t="s">
        <v>66</v>
      </c>
      <c r="DG116" t="str">
        <f>VLOOKUP(W116,'Level Wise PSI'!$F$2:$G$12,2,FALSE)</f>
        <v>Double Lift</v>
      </c>
    </row>
    <row r="117" spans="1:111" x14ac:dyDescent="0.25">
      <c r="A117">
        <v>45</v>
      </c>
      <c r="B117" t="s">
        <v>658</v>
      </c>
      <c r="C117" s="15">
        <v>2429</v>
      </c>
      <c r="D117" s="15">
        <v>10000</v>
      </c>
      <c r="E117" s="15" t="s">
        <v>751</v>
      </c>
      <c r="F117" s="15" t="s">
        <v>763</v>
      </c>
      <c r="G117" t="s">
        <v>713</v>
      </c>
      <c r="H117" s="15" t="s">
        <v>760</v>
      </c>
      <c r="I117" t="s">
        <v>714</v>
      </c>
      <c r="J117" t="str">
        <f>IF(AND(SD!$C$19=SD!$H$2,Grade!$G$1="Per level"),VLOOKUP(B117,Grade!$E$1:$F$200,2,FALSE),IF(AND(SD!$C$19=SD!$H$2,Grade!$G$1="Per Bar Size"),VLOOKUP(W117,Grade!$B$1:$C$12,2,0),SD!$C$19))</f>
        <v>A615 Grade 60</v>
      </c>
      <c r="K117" t="s">
        <v>66</v>
      </c>
      <c r="L117" s="24" t="str">
        <f>IFERROR(IF(A117&lt;&gt;A118,"",IF(DF117="No Lap","",IF(K118="Lap",U117,IF(K118="Coupler",_xlfn._xlws.FILTER(CCoupler,(CCName=SD!$C$8)*(CBSize=IF(A116=A117,W117&amp;W118,W117&amp;W117))*(CCMFM="Male")),"")))),"N/A")</f>
        <v>5-1</v>
      </c>
      <c r="M117" t="str">
        <f t="shared" si="3"/>
        <v/>
      </c>
      <c r="N117" t="s">
        <v>692</v>
      </c>
      <c r="O117" t="s">
        <v>693</v>
      </c>
      <c r="P117" t="s">
        <v>692</v>
      </c>
      <c r="Q117" t="str">
        <f>IF(AND(SD!$C$29=SD!$P$2,Grade!$O$1="Per level"),VLOOKUP(B117,Grade!$M$1:$N$200,2,FALSE),IF(AND(SD!$C$29=SD!$P$2,Grade!$O$1="Per Bar Size"),VLOOKUP(LEFT(N117,FIND("@",N117)-2),Grade!$J$1:$K$12,2,0),SD!$C$29))</f>
        <v>A615 Grade 60</v>
      </c>
      <c r="R117" t="s">
        <v>713</v>
      </c>
      <c r="S117" s="57">
        <v>117</v>
      </c>
      <c r="U117" t="str">
        <f>IF(Data!$J117="",IFERROR(INDEX(IF(SD!$C$11="Create",Lap!$A$3:$BF$14,IF(SD!$C$11="Per Uploaded File",Lap!$A$19:$BF$30,"")),MATCH(W117,Lap!$A$3:$A$14,0),MATCH(VALUE(D117),Lap!$A$3:$BF$3,0)+IF(IFERROR(FIND("Grade 60",J117),0)&gt;0,0,IF(IFERROR(FIND("Grade 80",J117),0),1,IF(IFERROR(FIND("Grade 75",J117),0),2,"")))),""),Data!J117)</f>
        <v>5-1</v>
      </c>
      <c r="W117" t="s">
        <v>166</v>
      </c>
      <c r="X117">
        <v>10</v>
      </c>
      <c r="Y117" t="str">
        <f t="shared" si="4"/>
        <v>36</v>
      </c>
      <c r="Z117">
        <f t="shared" si="5"/>
        <v>0</v>
      </c>
      <c r="DE117" t="s">
        <v>831</v>
      </c>
      <c r="DF117" t="s">
        <v>66</v>
      </c>
      <c r="DG117" t="str">
        <f>VLOOKUP(W117,'Level Wise PSI'!$F$2:$G$12,2,FALSE)</f>
        <v>Double Lift</v>
      </c>
    </row>
    <row r="118" spans="1:111" x14ac:dyDescent="0.25">
      <c r="A118">
        <v>45</v>
      </c>
      <c r="B118" t="s">
        <v>661</v>
      </c>
      <c r="C118" s="15">
        <v>2429</v>
      </c>
      <c r="D118" s="15">
        <v>10000</v>
      </c>
      <c r="E118" t="str">
        <f>IF(B118=Level!$A$2,SD!$C$14,SD!$C$13)</f>
        <v>0-8</v>
      </c>
      <c r="F118" s="15" t="s">
        <v>763</v>
      </c>
      <c r="G118" t="s">
        <v>713</v>
      </c>
      <c r="H118" t="str">
        <f>RIGHT(VLOOKUP(B118,Level!A:C,3,FALSE),LEN(VLOOKUP(B118,Level!A:C,3,FALSE))-1)</f>
        <v>10-7</v>
      </c>
      <c r="I118" t="s">
        <v>714</v>
      </c>
      <c r="J118" t="str">
        <f>IF(AND(SD!$C$19=SD!$H$2,Grade!$G$1="Per level"),VLOOKUP(B118,Grade!$E$1:$F$200,2,FALSE),IF(AND(SD!$C$19=SD!$H$2,Grade!$G$1="Per Bar Size"),VLOOKUP(W118,Grade!$B$1:$C$12,2,0),SD!$C$19))</f>
        <v>A615 Grade 60</v>
      </c>
      <c r="K118" t="s">
        <v>66</v>
      </c>
      <c r="L118" s="24" t="str">
        <f>IFERROR(IF(A118&lt;&gt;A119,"",IF(DF118="No Lap","",IF(K119="Lap",U118,IF(K119="Coupler",_xlfn._xlws.FILTER(CCoupler,(CCName=SD!$C$8)*(CBSize=IF(A117=A118,W118&amp;W119,W118&amp;W118))*(CCMFM="Male")),"")))),"N/A")</f>
        <v>5-1</v>
      </c>
      <c r="M118" t="str">
        <f t="shared" si="3"/>
        <v/>
      </c>
      <c r="N118" t="s">
        <v>692</v>
      </c>
      <c r="O118" t="s">
        <v>693</v>
      </c>
      <c r="P118" t="s">
        <v>692</v>
      </c>
      <c r="Q118" t="str">
        <f>IF(AND(SD!$C$29=SD!$P$2,Grade!$O$1="Per level"),VLOOKUP(B118,Grade!$M$1:$N$200,2,FALSE),IF(AND(SD!$C$29=SD!$P$2,Grade!$O$1="Per Bar Size"),VLOOKUP(LEFT(N118,FIND("@",N118)-2),Grade!$J$1:$K$12,2,0),SD!$C$29))</f>
        <v>A615 Grade 60</v>
      </c>
      <c r="R118" t="s">
        <v>713</v>
      </c>
      <c r="S118" s="57">
        <v>118</v>
      </c>
      <c r="U118" t="str">
        <f>IF(Data!$J118="",IFERROR(INDEX(IF(SD!$C$11="Create",Lap!$A$3:$BF$14,IF(SD!$C$11="Per Uploaded File",Lap!$A$19:$BF$30,"")),MATCH(W118,Lap!$A$3:$A$14,0),MATCH(VALUE(D118),Lap!$A$3:$BF$3,0)+IF(IFERROR(FIND("Grade 60",J118),0)&gt;0,0,IF(IFERROR(FIND("Grade 80",J118),0),1,IF(IFERROR(FIND("Grade 75",J118),0),2,"")))),""),Data!J118)</f>
        <v>5-1</v>
      </c>
      <c r="W118" t="s">
        <v>166</v>
      </c>
      <c r="X118">
        <v>10</v>
      </c>
      <c r="Y118" t="str">
        <f t="shared" si="4"/>
        <v>36</v>
      </c>
      <c r="Z118">
        <f t="shared" si="5"/>
        <v>0</v>
      </c>
      <c r="DE118" t="s">
        <v>831</v>
      </c>
      <c r="DF118" t="s">
        <v>66</v>
      </c>
      <c r="DG118" t="str">
        <f>VLOOKUP(W118,'Level Wise PSI'!$F$2:$G$12,2,FALSE)</f>
        <v>Double Lift</v>
      </c>
    </row>
    <row r="119" spans="1:111" x14ac:dyDescent="0.25">
      <c r="A119">
        <v>45</v>
      </c>
      <c r="B119" t="s">
        <v>664</v>
      </c>
      <c r="C119" s="15">
        <v>2429</v>
      </c>
      <c r="D119" s="15">
        <v>10000</v>
      </c>
      <c r="E119" t="str">
        <f>IF(B119=Level!$A$2,SD!$C$14,SD!$C$13)</f>
        <v>0-8</v>
      </c>
      <c r="F119" s="15" t="s">
        <v>763</v>
      </c>
      <c r="G119" t="s">
        <v>715</v>
      </c>
      <c r="H119" t="str">
        <f>RIGHT(VLOOKUP(B119,Level!A:C,3,FALSE),LEN(VLOOKUP(B119,Level!A:C,3,FALSE))-1)</f>
        <v>10-7</v>
      </c>
      <c r="I119" t="s">
        <v>716</v>
      </c>
      <c r="J119" t="str">
        <f>IF(AND(SD!$C$19=SD!$H$2,Grade!$G$1="Per level"),VLOOKUP(B119,Grade!$E$1:$F$200,2,FALSE),IF(AND(SD!$C$19=SD!$H$2,Grade!$G$1="Per Bar Size"),VLOOKUP(W119,Grade!$B$1:$C$12,2,0),SD!$C$19))</f>
        <v>A615 Grade 60</v>
      </c>
      <c r="K119" t="s">
        <v>66</v>
      </c>
      <c r="L119" s="24" t="str">
        <f>IFERROR(IF(A119&lt;&gt;A120,"",IF(DF119="No Lap","",IF(K120="Lap",U119,IF(K120="Coupler",_xlfn._xlws.FILTER(CCoupler,(CCName=SD!$C$8)*(CBSize=IF(A118=A119,W119&amp;W120,W119&amp;W119))*(CCMFM="Male")),"")))),"N/A")</f>
        <v>5-1</v>
      </c>
      <c r="M119" t="str">
        <f t="shared" si="3"/>
        <v/>
      </c>
      <c r="N119" t="s">
        <v>692</v>
      </c>
      <c r="O119" t="s">
        <v>693</v>
      </c>
      <c r="P119" t="s">
        <v>692</v>
      </c>
      <c r="Q119" t="str">
        <f>IF(AND(SD!$C$29=SD!$P$2,Grade!$O$1="Per level"),VLOOKUP(B119,Grade!$M$1:$N$200,2,FALSE),IF(AND(SD!$C$29=SD!$P$2,Grade!$O$1="Per Bar Size"),VLOOKUP(LEFT(N119,FIND("@",N119)-2),Grade!$J$1:$K$12,2,0),SD!$C$29))</f>
        <v>A615 Grade 60</v>
      </c>
      <c r="R119" t="s">
        <v>715</v>
      </c>
      <c r="S119" s="57">
        <v>119</v>
      </c>
      <c r="U119" t="str">
        <f>IF(Data!$J119="",IFERROR(INDEX(IF(SD!$C$11="Create",Lap!$A$3:$BF$14,IF(SD!$C$11="Per Uploaded File",Lap!$A$19:$BF$30,"")),MATCH(W119,Lap!$A$3:$A$14,0),MATCH(VALUE(D119),Lap!$A$3:$BF$3,0)+IF(IFERROR(FIND("Grade 60",J119),0)&gt;0,0,IF(IFERROR(FIND("Grade 80",J119),0),1,IF(IFERROR(FIND("Grade 75",J119),0),2,"")))),""),Data!J119)</f>
        <v>5-1</v>
      </c>
      <c r="W119" t="s">
        <v>166</v>
      </c>
      <c r="X119">
        <v>6</v>
      </c>
      <c r="Y119" t="str">
        <f t="shared" si="4"/>
        <v>30</v>
      </c>
      <c r="Z119">
        <f t="shared" si="5"/>
        <v>0</v>
      </c>
      <c r="DE119" t="s">
        <v>831</v>
      </c>
      <c r="DF119" t="s">
        <v>66</v>
      </c>
      <c r="DG119" t="str">
        <f>VLOOKUP(W119,'Level Wise PSI'!$F$2:$G$12,2,FALSE)</f>
        <v>Double Lift</v>
      </c>
    </row>
    <row r="120" spans="1:111" x14ac:dyDescent="0.25">
      <c r="A120">
        <v>45</v>
      </c>
      <c r="B120" t="s">
        <v>666</v>
      </c>
      <c r="C120" s="15">
        <v>2429</v>
      </c>
      <c r="D120" s="15">
        <v>10000</v>
      </c>
      <c r="E120" t="str">
        <f>IF(B120=Level!$A$2,SD!$C$14,SD!$C$13)</f>
        <v>0-8</v>
      </c>
      <c r="F120" s="15" t="s">
        <v>763</v>
      </c>
      <c r="G120" t="s">
        <v>715</v>
      </c>
      <c r="H120" t="str">
        <f>RIGHT(VLOOKUP(B120,Level!A:C,3,FALSE),LEN(VLOOKUP(B120,Level!A:C,3,FALSE))-1)</f>
        <v>10-7</v>
      </c>
      <c r="I120" t="s">
        <v>716</v>
      </c>
      <c r="J120" t="str">
        <f>IF(AND(SD!$C$19=SD!$H$2,Grade!$G$1="Per level"),VLOOKUP(B120,Grade!$E$1:$F$200,2,FALSE),IF(AND(SD!$C$19=SD!$H$2,Grade!$G$1="Per Bar Size"),VLOOKUP(W120,Grade!$B$1:$C$12,2,0),SD!$C$19))</f>
        <v>A615 Grade 60</v>
      </c>
      <c r="K120" t="s">
        <v>66</v>
      </c>
      <c r="L120" s="24" t="str">
        <f>IFERROR(IF(A120&lt;&gt;A121,"",IF(DF120="No Lap","",IF(K121="Lap",U120,IF(K121="Coupler",_xlfn._xlws.FILTER(CCoupler,(CCName=SD!$C$8)*(CBSize=IF(A119=A120,W120&amp;W121,W120&amp;W120))*(CCMFM="Male")),"")))),"N/A")</f>
        <v>5-1</v>
      </c>
      <c r="M120" t="str">
        <f t="shared" si="3"/>
        <v/>
      </c>
      <c r="N120" t="s">
        <v>692</v>
      </c>
      <c r="O120" t="s">
        <v>693</v>
      </c>
      <c r="P120" t="s">
        <v>692</v>
      </c>
      <c r="Q120" t="str">
        <f>IF(AND(SD!$C$29=SD!$P$2,Grade!$O$1="Per level"),VLOOKUP(B120,Grade!$M$1:$N$200,2,FALSE),IF(AND(SD!$C$29=SD!$P$2,Grade!$O$1="Per Bar Size"),VLOOKUP(LEFT(N120,FIND("@",N120)-2),Grade!$J$1:$K$12,2,0),SD!$C$29))</f>
        <v>A615 Grade 60</v>
      </c>
      <c r="R120" t="s">
        <v>715</v>
      </c>
      <c r="S120" s="57">
        <v>120</v>
      </c>
      <c r="U120" t="str">
        <f>IF(Data!$J120="",IFERROR(INDEX(IF(SD!$C$11="Create",Lap!$A$3:$BF$14,IF(SD!$C$11="Per Uploaded File",Lap!$A$19:$BF$30,"")),MATCH(W120,Lap!$A$3:$A$14,0),MATCH(VALUE(D120),Lap!$A$3:$BF$3,0)+IF(IFERROR(FIND("Grade 60",J120),0)&gt;0,0,IF(IFERROR(FIND("Grade 80",J120),0),1,IF(IFERROR(FIND("Grade 75",J120),0),2,"")))),""),Data!J120)</f>
        <v>5-1</v>
      </c>
      <c r="W120" t="s">
        <v>166</v>
      </c>
      <c r="X120">
        <v>6</v>
      </c>
      <c r="Y120" t="str">
        <f t="shared" si="4"/>
        <v>30</v>
      </c>
      <c r="Z120">
        <f t="shared" si="5"/>
        <v>0</v>
      </c>
      <c r="DE120" t="s">
        <v>831</v>
      </c>
      <c r="DF120" t="s">
        <v>66</v>
      </c>
      <c r="DG120" t="str">
        <f>VLOOKUP(W120,'Level Wise PSI'!$F$2:$G$12,2,FALSE)</f>
        <v>Double Lift</v>
      </c>
    </row>
    <row r="121" spans="1:111" x14ac:dyDescent="0.25">
      <c r="A121">
        <v>45</v>
      </c>
      <c r="B121" t="s">
        <v>668</v>
      </c>
      <c r="C121" s="15">
        <v>2429</v>
      </c>
      <c r="D121" s="15">
        <v>10000</v>
      </c>
      <c r="E121" t="str">
        <f>IF(B121=Level!$A$2,SD!$C$14,SD!$C$13)</f>
        <v>0-8</v>
      </c>
      <c r="F121" s="15" t="s">
        <v>763</v>
      </c>
      <c r="G121" t="s">
        <v>715</v>
      </c>
      <c r="H121" t="str">
        <f>RIGHT(VLOOKUP(B121,Level!A:C,3,FALSE),LEN(VLOOKUP(B121,Level!A:C,3,FALSE))-1)</f>
        <v>10-7</v>
      </c>
      <c r="I121" t="s">
        <v>716</v>
      </c>
      <c r="J121" t="str">
        <f>IF(AND(SD!$C$19=SD!$H$2,Grade!$G$1="Per level"),VLOOKUP(B121,Grade!$E$1:$F$200,2,FALSE),IF(AND(SD!$C$19=SD!$H$2,Grade!$G$1="Per Bar Size"),VLOOKUP(W121,Grade!$B$1:$C$12,2,0),SD!$C$19))</f>
        <v>A615 Grade 60</v>
      </c>
      <c r="K121" t="s">
        <v>66</v>
      </c>
      <c r="L121" s="24" t="str">
        <f>IFERROR(IF(A121&lt;&gt;A122,"",IF(DF121="No Lap","",IF(K122="Lap",U121,IF(K122="Coupler",_xlfn._xlws.FILTER(CCoupler,(CCName=SD!$C$8)*(CBSize=IF(A120=A121,W121&amp;W122,W121&amp;W121))*(CCMFM="Male")),"")))),"N/A")</f>
        <v>5-1</v>
      </c>
      <c r="M121" t="str">
        <f t="shared" si="3"/>
        <v/>
      </c>
      <c r="N121" t="s">
        <v>692</v>
      </c>
      <c r="O121" t="s">
        <v>693</v>
      </c>
      <c r="P121" t="s">
        <v>692</v>
      </c>
      <c r="Q121" t="str">
        <f>IF(AND(SD!$C$29=SD!$P$2,Grade!$O$1="Per level"),VLOOKUP(B121,Grade!$M$1:$N$200,2,FALSE),IF(AND(SD!$C$29=SD!$P$2,Grade!$O$1="Per Bar Size"),VLOOKUP(LEFT(N121,FIND("@",N121)-2),Grade!$J$1:$K$12,2,0),SD!$C$29))</f>
        <v>A615 Grade 60</v>
      </c>
      <c r="R121" t="s">
        <v>715</v>
      </c>
      <c r="S121" s="57">
        <v>121</v>
      </c>
      <c r="U121" t="str">
        <f>IF(Data!$J121="",IFERROR(INDEX(IF(SD!$C$11="Create",Lap!$A$3:$BF$14,IF(SD!$C$11="Per Uploaded File",Lap!$A$19:$BF$30,"")),MATCH(W121,Lap!$A$3:$A$14,0),MATCH(VALUE(D121),Lap!$A$3:$BF$3,0)+IF(IFERROR(FIND("Grade 60",J121),0)&gt;0,0,IF(IFERROR(FIND("Grade 80",J121),0),1,IF(IFERROR(FIND("Grade 75",J121),0),2,"")))),""),Data!J121)</f>
        <v>5-1</v>
      </c>
      <c r="W121" t="s">
        <v>166</v>
      </c>
      <c r="X121">
        <v>6</v>
      </c>
      <c r="Y121" t="str">
        <f t="shared" si="4"/>
        <v>30</v>
      </c>
      <c r="Z121">
        <f t="shared" si="5"/>
        <v>0</v>
      </c>
      <c r="DE121" t="s">
        <v>831</v>
      </c>
      <c r="DF121" t="s">
        <v>66</v>
      </c>
      <c r="DG121" t="str">
        <f>VLOOKUP(W121,'Level Wise PSI'!$F$2:$G$12,2,FALSE)</f>
        <v>Double Lift</v>
      </c>
    </row>
    <row r="122" spans="1:111" x14ac:dyDescent="0.25">
      <c r="A122">
        <v>45</v>
      </c>
      <c r="B122" t="s">
        <v>670</v>
      </c>
      <c r="C122" s="15">
        <v>2429</v>
      </c>
      <c r="D122" s="15">
        <v>10000</v>
      </c>
      <c r="E122" t="str">
        <f>IF(B122=Level!$A$2,SD!$C$14,SD!$C$13)</f>
        <v>0-8</v>
      </c>
      <c r="F122" s="15" t="s">
        <v>763</v>
      </c>
      <c r="G122" t="s">
        <v>715</v>
      </c>
      <c r="H122" t="str">
        <f>RIGHT(VLOOKUP(B122,Level!A:C,3,FALSE),LEN(VLOOKUP(B122,Level!A:C,3,FALSE))-1)</f>
        <v>10-7</v>
      </c>
      <c r="I122" t="s">
        <v>716</v>
      </c>
      <c r="J122" t="str">
        <f>IF(AND(SD!$C$19=SD!$H$2,Grade!$G$1="Per level"),VLOOKUP(B122,Grade!$E$1:$F$200,2,FALSE),IF(AND(SD!$C$19=SD!$H$2,Grade!$G$1="Per Bar Size"),VLOOKUP(W122,Grade!$B$1:$C$12,2,0),SD!$C$19))</f>
        <v>A615 Grade 60</v>
      </c>
      <c r="K122" t="s">
        <v>66</v>
      </c>
      <c r="L122" s="24" t="str">
        <f>IFERROR(IF(A122&lt;&gt;A123,"",IF(DF122="No Lap","",IF(K123="Lap",U122,IF(K123="Coupler",_xlfn._xlws.FILTER(CCoupler,(CCName=SD!$C$8)*(CBSize=IF(A121=A122,W122&amp;W123,W122&amp;W122))*(CCMFM="Male")),"")))),"N/A")</f>
        <v>5-1</v>
      </c>
      <c r="M122" t="str">
        <f t="shared" si="3"/>
        <v/>
      </c>
      <c r="N122" t="s">
        <v>692</v>
      </c>
      <c r="O122" t="s">
        <v>693</v>
      </c>
      <c r="P122" t="s">
        <v>692</v>
      </c>
      <c r="Q122" t="str">
        <f>IF(AND(SD!$C$29=SD!$P$2,Grade!$O$1="Per level"),VLOOKUP(B122,Grade!$M$1:$N$200,2,FALSE),IF(AND(SD!$C$29=SD!$P$2,Grade!$O$1="Per Bar Size"),VLOOKUP(LEFT(N122,FIND("@",N122)-2),Grade!$J$1:$K$12,2,0),SD!$C$29))</f>
        <v>A615 Grade 60</v>
      </c>
      <c r="R122" t="s">
        <v>715</v>
      </c>
      <c r="S122" s="57">
        <v>122</v>
      </c>
      <c r="U122" t="str">
        <f>IF(Data!$J122="",IFERROR(INDEX(IF(SD!$C$11="Create",Lap!$A$3:$BF$14,IF(SD!$C$11="Per Uploaded File",Lap!$A$19:$BF$30,"")),MATCH(W122,Lap!$A$3:$A$14,0),MATCH(VALUE(D122),Lap!$A$3:$BF$3,0)+IF(IFERROR(FIND("Grade 60",J122),0)&gt;0,0,IF(IFERROR(FIND("Grade 80",J122),0),1,IF(IFERROR(FIND("Grade 75",J122),0),2,"")))),""),Data!J122)</f>
        <v>5-1</v>
      </c>
      <c r="W122" t="s">
        <v>166</v>
      </c>
      <c r="X122">
        <v>6</v>
      </c>
      <c r="Y122" t="str">
        <f t="shared" si="4"/>
        <v>30</v>
      </c>
      <c r="Z122">
        <f t="shared" si="5"/>
        <v>0</v>
      </c>
      <c r="DE122" t="s">
        <v>831</v>
      </c>
      <c r="DF122" t="s">
        <v>66</v>
      </c>
      <c r="DG122" t="str">
        <f>VLOOKUP(W122,'Level Wise PSI'!$F$2:$G$12,2,FALSE)</f>
        <v>Double Lift</v>
      </c>
    </row>
    <row r="123" spans="1:111" x14ac:dyDescent="0.25">
      <c r="A123">
        <v>45</v>
      </c>
      <c r="B123" t="s">
        <v>672</v>
      </c>
      <c r="C123" s="15">
        <v>2429</v>
      </c>
      <c r="D123" s="15">
        <v>10000</v>
      </c>
      <c r="E123" t="str">
        <f>IF(B123=Level!$A$2,SD!$C$14,SD!$C$13)</f>
        <v>0-8</v>
      </c>
      <c r="F123" s="15" t="s">
        <v>763</v>
      </c>
      <c r="G123" t="s">
        <v>715</v>
      </c>
      <c r="H123" t="str">
        <f>RIGHT(VLOOKUP(B123,Level!A:C,3,FALSE),LEN(VLOOKUP(B123,Level!A:C,3,FALSE))-1)</f>
        <v>10-7</v>
      </c>
      <c r="I123" t="s">
        <v>716</v>
      </c>
      <c r="J123" t="str">
        <f>IF(AND(SD!$C$19=SD!$H$2,Grade!$G$1="Per level"),VLOOKUP(B123,Grade!$E$1:$F$200,2,FALSE),IF(AND(SD!$C$19=SD!$H$2,Grade!$G$1="Per Bar Size"),VLOOKUP(W123,Grade!$B$1:$C$12,2,0),SD!$C$19))</f>
        <v>A615 Grade 60</v>
      </c>
      <c r="K123" t="s">
        <v>66</v>
      </c>
      <c r="L123" s="24" t="str">
        <f>IFERROR(IF(A123&lt;&gt;A124,"",IF(DF123="No Lap","",IF(K124="Lap",U123,IF(K124="Coupler",_xlfn._xlws.FILTER(CCoupler,(CCName=SD!$C$8)*(CBSize=IF(A122=A123,W123&amp;W124,W123&amp;W123))*(CCMFM="Male")),"")))),"N/A")</f>
        <v>5-1</v>
      </c>
      <c r="M123" t="str">
        <f t="shared" si="3"/>
        <v/>
      </c>
      <c r="N123" t="s">
        <v>692</v>
      </c>
      <c r="O123" t="s">
        <v>693</v>
      </c>
      <c r="P123" t="s">
        <v>692</v>
      </c>
      <c r="Q123" t="str">
        <f>IF(AND(SD!$C$29=SD!$P$2,Grade!$O$1="Per level"),VLOOKUP(B123,Grade!$M$1:$N$200,2,FALSE),IF(AND(SD!$C$29=SD!$P$2,Grade!$O$1="Per Bar Size"),VLOOKUP(LEFT(N123,FIND("@",N123)-2),Grade!$J$1:$K$12,2,0),SD!$C$29))</f>
        <v>A615 Grade 60</v>
      </c>
      <c r="R123" t="s">
        <v>715</v>
      </c>
      <c r="S123" s="57">
        <v>123</v>
      </c>
      <c r="U123" t="str">
        <f>IF(Data!$J123="",IFERROR(INDEX(IF(SD!$C$11="Create",Lap!$A$3:$BF$14,IF(SD!$C$11="Per Uploaded File",Lap!$A$19:$BF$30,"")),MATCH(W123,Lap!$A$3:$A$14,0),MATCH(VALUE(D123),Lap!$A$3:$BF$3,0)+IF(IFERROR(FIND("Grade 60",J123),0)&gt;0,0,IF(IFERROR(FIND("Grade 80",J123),0),1,IF(IFERROR(FIND("Grade 75",J123),0),2,"")))),""),Data!J123)</f>
        <v>5-1</v>
      </c>
      <c r="W123" t="s">
        <v>166</v>
      </c>
      <c r="X123">
        <v>6</v>
      </c>
      <c r="Y123" t="str">
        <f t="shared" si="4"/>
        <v>30</v>
      </c>
      <c r="Z123">
        <f t="shared" si="5"/>
        <v>0</v>
      </c>
      <c r="DE123" t="s">
        <v>831</v>
      </c>
      <c r="DF123" t="s">
        <v>66</v>
      </c>
      <c r="DG123" t="str">
        <f>VLOOKUP(W123,'Level Wise PSI'!$F$2:$G$12,2,FALSE)</f>
        <v>Double Lift</v>
      </c>
    </row>
    <row r="124" spans="1:111" x14ac:dyDescent="0.25">
      <c r="A124">
        <v>45</v>
      </c>
      <c r="B124" t="s">
        <v>674</v>
      </c>
      <c r="C124" s="15">
        <v>2429</v>
      </c>
      <c r="D124" s="15">
        <v>10000</v>
      </c>
      <c r="E124" t="str">
        <f>IF(B124=Level!$A$2,SD!$C$14,SD!$C$13)</f>
        <v>0-8</v>
      </c>
      <c r="F124" s="15" t="s">
        <v>763</v>
      </c>
      <c r="G124" t="s">
        <v>715</v>
      </c>
      <c r="H124" t="str">
        <f>RIGHT(VLOOKUP(B124,Level!A:C,3,FALSE),LEN(VLOOKUP(B124,Level!A:C,3,FALSE))-1)</f>
        <v>10-7</v>
      </c>
      <c r="I124" t="s">
        <v>716</v>
      </c>
      <c r="J124" t="str">
        <f>IF(AND(SD!$C$19=SD!$H$2,Grade!$G$1="Per level"),VLOOKUP(B124,Grade!$E$1:$F$200,2,FALSE),IF(AND(SD!$C$19=SD!$H$2,Grade!$G$1="Per Bar Size"),VLOOKUP(W124,Grade!$B$1:$C$12,2,0),SD!$C$19))</f>
        <v>A615 Grade 60</v>
      </c>
      <c r="K124" t="s">
        <v>66</v>
      </c>
      <c r="L124" s="24" t="str">
        <f>IFERROR(IF(A124&lt;&gt;A125,"",IF(DF124="No Lap","",IF(K125="Lap",U124,IF(K125="Coupler",_xlfn._xlws.FILTER(CCoupler,(CCName=SD!$C$8)*(CBSize=IF(A123=A124,W124&amp;W125,W124&amp;W124))*(CCMFM="Male")),"")))),"N/A")</f>
        <v>5-1</v>
      </c>
      <c r="M124" t="str">
        <f t="shared" si="3"/>
        <v/>
      </c>
      <c r="N124" t="s">
        <v>692</v>
      </c>
      <c r="O124" t="s">
        <v>693</v>
      </c>
      <c r="P124" t="s">
        <v>692</v>
      </c>
      <c r="Q124" t="str">
        <f>IF(AND(SD!$C$29=SD!$P$2,Grade!$O$1="Per level"),VLOOKUP(B124,Grade!$M$1:$N$200,2,FALSE),IF(AND(SD!$C$29=SD!$P$2,Grade!$O$1="Per Bar Size"),VLOOKUP(LEFT(N124,FIND("@",N124)-2),Grade!$J$1:$K$12,2,0),SD!$C$29))</f>
        <v>A615 Grade 60</v>
      </c>
      <c r="R124" t="s">
        <v>715</v>
      </c>
      <c r="S124" s="57">
        <v>124</v>
      </c>
      <c r="U124" t="str">
        <f>IF(Data!$J124="",IFERROR(INDEX(IF(SD!$C$11="Create",Lap!$A$3:$BF$14,IF(SD!$C$11="Per Uploaded File",Lap!$A$19:$BF$30,"")),MATCH(W124,Lap!$A$3:$A$14,0),MATCH(VALUE(D124),Lap!$A$3:$BF$3,0)+IF(IFERROR(FIND("Grade 60",J124),0)&gt;0,0,IF(IFERROR(FIND("Grade 80",J124),0),1,IF(IFERROR(FIND("Grade 75",J124),0),2,"")))),""),Data!J124)</f>
        <v>5-1</v>
      </c>
      <c r="W124" t="s">
        <v>166</v>
      </c>
      <c r="X124">
        <v>6</v>
      </c>
      <c r="Y124" t="str">
        <f t="shared" si="4"/>
        <v>30</v>
      </c>
      <c r="Z124">
        <f t="shared" si="5"/>
        <v>0</v>
      </c>
      <c r="DE124" t="s">
        <v>831</v>
      </c>
      <c r="DF124" t="s">
        <v>66</v>
      </c>
      <c r="DG124" t="str">
        <f>VLOOKUP(W124,'Level Wise PSI'!$F$2:$G$12,2,FALSE)</f>
        <v>Double Lift</v>
      </c>
    </row>
    <row r="125" spans="1:111" x14ac:dyDescent="0.25">
      <c r="A125">
        <v>45</v>
      </c>
      <c r="B125" t="s">
        <v>676</v>
      </c>
      <c r="C125" s="15">
        <v>2429</v>
      </c>
      <c r="D125" s="15">
        <v>10000</v>
      </c>
      <c r="E125" t="str">
        <f>IF(B125=Level!$A$2,SD!$C$14,SD!$C$13)</f>
        <v>0-8</v>
      </c>
      <c r="F125" s="15" t="s">
        <v>763</v>
      </c>
      <c r="G125" t="s">
        <v>715</v>
      </c>
      <c r="H125" t="str">
        <f>RIGHT(VLOOKUP(B125,Level!A:C,3,FALSE),LEN(VLOOKUP(B125,Level!A:C,3,FALSE))-1)</f>
        <v>10-7</v>
      </c>
      <c r="I125" t="s">
        <v>716</v>
      </c>
      <c r="J125" t="str">
        <f>IF(AND(SD!$C$19=SD!$H$2,Grade!$G$1="Per level"),VLOOKUP(B125,Grade!$E$1:$F$200,2,FALSE),IF(AND(SD!$C$19=SD!$H$2,Grade!$G$1="Per Bar Size"),VLOOKUP(W125,Grade!$B$1:$C$12,2,0),SD!$C$19))</f>
        <v>A615 Grade 60</v>
      </c>
      <c r="K125" t="s">
        <v>66</v>
      </c>
      <c r="L125" s="24" t="str">
        <f>IFERROR(IF(A125&lt;&gt;A126,"",IF(DF125="No Lap","",IF(K126="Lap",U125,IF(K126="Coupler",_xlfn._xlws.FILTER(CCoupler,(CCName=SD!$C$8)*(CBSize=IF(A124=A125,W125&amp;W126,W125&amp;W125))*(CCMFM="Male")),"")))),"N/A")</f>
        <v>5-1</v>
      </c>
      <c r="M125" t="str">
        <f t="shared" si="3"/>
        <v/>
      </c>
      <c r="N125" t="s">
        <v>692</v>
      </c>
      <c r="O125" t="s">
        <v>693</v>
      </c>
      <c r="P125" t="s">
        <v>692</v>
      </c>
      <c r="Q125" t="str">
        <f>IF(AND(SD!$C$29=SD!$P$2,Grade!$O$1="Per level"),VLOOKUP(B125,Grade!$M$1:$N$200,2,FALSE),IF(AND(SD!$C$29=SD!$P$2,Grade!$O$1="Per Bar Size"),VLOOKUP(LEFT(N125,FIND("@",N125)-2),Grade!$J$1:$K$12,2,0),SD!$C$29))</f>
        <v>A615 Grade 60</v>
      </c>
      <c r="R125" t="s">
        <v>715</v>
      </c>
      <c r="S125" s="57">
        <v>125</v>
      </c>
      <c r="U125" t="str">
        <f>IF(Data!$J125="",IFERROR(INDEX(IF(SD!$C$11="Create",Lap!$A$3:$BF$14,IF(SD!$C$11="Per Uploaded File",Lap!$A$19:$BF$30,"")),MATCH(W125,Lap!$A$3:$A$14,0),MATCH(VALUE(D125),Lap!$A$3:$BF$3,0)+IF(IFERROR(FIND("Grade 60",J125),0)&gt;0,0,IF(IFERROR(FIND("Grade 80",J125),0),1,IF(IFERROR(FIND("Grade 75",J125),0),2,"")))),""),Data!J125)</f>
        <v>5-1</v>
      </c>
      <c r="W125" t="s">
        <v>166</v>
      </c>
      <c r="X125">
        <v>6</v>
      </c>
      <c r="Y125" t="str">
        <f t="shared" si="4"/>
        <v>30</v>
      </c>
      <c r="Z125">
        <f t="shared" si="5"/>
        <v>0</v>
      </c>
      <c r="DE125" t="s">
        <v>831</v>
      </c>
      <c r="DF125" t="s">
        <v>66</v>
      </c>
      <c r="DG125" t="str">
        <f>VLOOKUP(W125,'Level Wise PSI'!$F$2:$G$12,2,FALSE)</f>
        <v>Double Lift</v>
      </c>
    </row>
    <row r="126" spans="1:111" x14ac:dyDescent="0.25">
      <c r="A126">
        <v>45</v>
      </c>
      <c r="B126" t="s">
        <v>678</v>
      </c>
      <c r="C126" s="15">
        <v>2429</v>
      </c>
      <c r="D126" s="15">
        <v>10000</v>
      </c>
      <c r="E126" t="str">
        <f>IF(B126=Level!$A$2,SD!$C$14,SD!$C$13)</f>
        <v>0-8</v>
      </c>
      <c r="F126" s="15" t="s">
        <v>763</v>
      </c>
      <c r="G126" t="s">
        <v>715</v>
      </c>
      <c r="H126" t="str">
        <f>RIGHT(VLOOKUP(B126,Level!A:C,3,FALSE),LEN(VLOOKUP(B126,Level!A:C,3,FALSE))-1)</f>
        <v>10-7</v>
      </c>
      <c r="I126" t="s">
        <v>716</v>
      </c>
      <c r="J126" t="str">
        <f>IF(AND(SD!$C$19=SD!$H$2,Grade!$G$1="Per level"),VLOOKUP(B126,Grade!$E$1:$F$200,2,FALSE),IF(AND(SD!$C$19=SD!$H$2,Grade!$G$1="Per Bar Size"),VLOOKUP(W126,Grade!$B$1:$C$12,2,0),SD!$C$19))</f>
        <v>A615 Grade 60</v>
      </c>
      <c r="K126" t="s">
        <v>66</v>
      </c>
      <c r="L126" s="24" t="str">
        <f>IFERROR(IF(A126&lt;&gt;A127,"",IF(DF126="No Lap","",IF(K127="Lap",U126,IF(K127="Coupler",_xlfn._xlws.FILTER(CCoupler,(CCName=SD!$C$8)*(CBSize=IF(A125=A126,W126&amp;W127,W126&amp;W126))*(CCMFM="Male")),"")))),"N/A")</f>
        <v>5-1</v>
      </c>
      <c r="M126" t="str">
        <f t="shared" si="3"/>
        <v/>
      </c>
      <c r="N126" t="s">
        <v>692</v>
      </c>
      <c r="O126" t="s">
        <v>693</v>
      </c>
      <c r="P126" t="s">
        <v>692</v>
      </c>
      <c r="Q126" t="str">
        <f>IF(AND(SD!$C$29=SD!$P$2,Grade!$O$1="Per level"),VLOOKUP(B126,Grade!$M$1:$N$200,2,FALSE),IF(AND(SD!$C$29=SD!$P$2,Grade!$O$1="Per Bar Size"),VLOOKUP(LEFT(N126,FIND("@",N126)-2),Grade!$J$1:$K$12,2,0),SD!$C$29))</f>
        <v>A615 Grade 60</v>
      </c>
      <c r="R126" t="s">
        <v>715</v>
      </c>
      <c r="S126" s="57">
        <v>126</v>
      </c>
      <c r="U126" t="str">
        <f>IF(Data!$J126="",IFERROR(INDEX(IF(SD!$C$11="Create",Lap!$A$3:$BF$14,IF(SD!$C$11="Per Uploaded File",Lap!$A$19:$BF$30,"")),MATCH(W126,Lap!$A$3:$A$14,0),MATCH(VALUE(D126),Lap!$A$3:$BF$3,0)+IF(IFERROR(FIND("Grade 60",J126),0)&gt;0,0,IF(IFERROR(FIND("Grade 80",J126),0),1,IF(IFERROR(FIND("Grade 75",J126),0),2,"")))),""),Data!J126)</f>
        <v>5-1</v>
      </c>
      <c r="W126" t="s">
        <v>166</v>
      </c>
      <c r="X126">
        <v>6</v>
      </c>
      <c r="Y126" t="str">
        <f t="shared" si="4"/>
        <v>30</v>
      </c>
      <c r="Z126">
        <f t="shared" si="5"/>
        <v>0</v>
      </c>
      <c r="DE126" t="s">
        <v>831</v>
      </c>
      <c r="DF126" t="s">
        <v>66</v>
      </c>
      <c r="DG126" t="str">
        <f>VLOOKUP(W126,'Level Wise PSI'!$F$2:$G$12,2,FALSE)</f>
        <v>Double Lift</v>
      </c>
    </row>
    <row r="127" spans="1:111" x14ac:dyDescent="0.25">
      <c r="A127">
        <v>45</v>
      </c>
      <c r="B127" t="s">
        <v>680</v>
      </c>
      <c r="C127" s="15">
        <v>2429</v>
      </c>
      <c r="D127" s="15">
        <v>10000</v>
      </c>
      <c r="E127" t="str">
        <f>IF(B127=Level!$A$2,SD!$C$14,SD!$C$13)</f>
        <v>0-8</v>
      </c>
      <c r="F127" s="15" t="s">
        <v>763</v>
      </c>
      <c r="G127" t="s">
        <v>715</v>
      </c>
      <c r="H127" t="str">
        <f>RIGHT(VLOOKUP(B127,Level!A:C,3,FALSE),LEN(VLOOKUP(B127,Level!A:C,3,FALSE))-1)</f>
        <v>10-7</v>
      </c>
      <c r="I127" t="s">
        <v>716</v>
      </c>
      <c r="J127" t="str">
        <f>IF(AND(SD!$C$19=SD!$H$2,Grade!$G$1="Per level"),VLOOKUP(B127,Grade!$E$1:$F$200,2,FALSE),IF(AND(SD!$C$19=SD!$H$2,Grade!$G$1="Per Bar Size"),VLOOKUP(W127,Grade!$B$1:$C$12,2,0),SD!$C$19))</f>
        <v>A615 Grade 60</v>
      </c>
      <c r="K127" t="s">
        <v>66</v>
      </c>
      <c r="L127" s="24" t="str">
        <f>IFERROR(IF(A127&lt;&gt;A128,"",IF(DF127="No Lap","",IF(K128="Lap",U127,IF(K128="Coupler",_xlfn._xlws.FILTER(CCoupler,(CCName=SD!$C$8)*(CBSize=IF(A126=A127,W127&amp;W128,W127&amp;W127))*(CCMFM="Male")),"")))),"N/A")</f>
        <v>5-1</v>
      </c>
      <c r="M127" t="str">
        <f t="shared" si="3"/>
        <v/>
      </c>
      <c r="N127" t="s">
        <v>692</v>
      </c>
      <c r="O127" t="s">
        <v>693</v>
      </c>
      <c r="P127" t="s">
        <v>692</v>
      </c>
      <c r="Q127" t="str">
        <f>IF(AND(SD!$C$29=SD!$P$2,Grade!$O$1="Per level"),VLOOKUP(B127,Grade!$M$1:$N$200,2,FALSE),IF(AND(SD!$C$29=SD!$P$2,Grade!$O$1="Per Bar Size"),VLOOKUP(LEFT(N127,FIND("@",N127)-2),Grade!$J$1:$K$12,2,0),SD!$C$29))</f>
        <v>A615 Grade 60</v>
      </c>
      <c r="R127" t="s">
        <v>715</v>
      </c>
      <c r="S127" s="57">
        <v>127</v>
      </c>
      <c r="U127" t="str">
        <f>IF(Data!$J127="",IFERROR(INDEX(IF(SD!$C$11="Create",Lap!$A$3:$BF$14,IF(SD!$C$11="Per Uploaded File",Lap!$A$19:$BF$30,"")),MATCH(W127,Lap!$A$3:$A$14,0),MATCH(VALUE(D127),Lap!$A$3:$BF$3,0)+IF(IFERROR(FIND("Grade 60",J127),0)&gt;0,0,IF(IFERROR(FIND("Grade 80",J127),0),1,IF(IFERROR(FIND("Grade 75",J127),0),2,"")))),""),Data!J127)</f>
        <v>5-1</v>
      </c>
      <c r="W127" t="s">
        <v>166</v>
      </c>
      <c r="X127">
        <v>6</v>
      </c>
      <c r="Y127" t="str">
        <f t="shared" si="4"/>
        <v>30</v>
      </c>
      <c r="Z127">
        <f t="shared" si="5"/>
        <v>0</v>
      </c>
      <c r="DE127" t="s">
        <v>831</v>
      </c>
      <c r="DF127" t="s">
        <v>66</v>
      </c>
      <c r="DG127" t="str">
        <f>VLOOKUP(W127,'Level Wise PSI'!$F$2:$G$12,2,FALSE)</f>
        <v>Double Lift</v>
      </c>
    </row>
    <row r="128" spans="1:111" x14ac:dyDescent="0.25">
      <c r="A128">
        <v>45</v>
      </c>
      <c r="B128" t="s">
        <v>682</v>
      </c>
      <c r="C128" s="15">
        <v>2429</v>
      </c>
      <c r="D128" s="15">
        <v>10000</v>
      </c>
      <c r="E128" t="str">
        <f>IF(B128=Level!$A$2,SD!$C$14,SD!$C$13)</f>
        <v>0-8</v>
      </c>
      <c r="F128" s="15" t="s">
        <v>763</v>
      </c>
      <c r="G128" t="s">
        <v>715</v>
      </c>
      <c r="H128" t="str">
        <f>RIGHT(VLOOKUP(B128,Level!A:C,3,FALSE),LEN(VLOOKUP(B128,Level!A:C,3,FALSE))-1)</f>
        <v>10-7</v>
      </c>
      <c r="I128" t="s">
        <v>717</v>
      </c>
      <c r="J128" t="str">
        <f>IF(AND(SD!$C$19=SD!$H$2,Grade!$G$1="Per level"),VLOOKUP(B128,Grade!$E$1:$F$200,2,FALSE),IF(AND(SD!$C$19=SD!$H$2,Grade!$G$1="Per Bar Size"),VLOOKUP(W128,Grade!$B$1:$C$12,2,0),SD!$C$19))</f>
        <v>A615 Grade 60</v>
      </c>
      <c r="K128" t="s">
        <v>66</v>
      </c>
      <c r="L128" s="24" t="str">
        <f>IFERROR(IF(A128&lt;&gt;A129,"",IF(DF128="No Lap","",IF(K129="Lap",U128,IF(K129="Coupler",_xlfn._xlws.FILTER(CCoupler,(CCName=SD!$C$8)*(CBSize=IF(A127=A128,W128&amp;W129,W128&amp;W128))*(CCMFM="Male")),"")))),"N/A")</f>
        <v/>
      </c>
      <c r="M128" t="str">
        <f t="shared" si="3"/>
        <v/>
      </c>
      <c r="N128" t="s">
        <v>692</v>
      </c>
      <c r="O128" t="s">
        <v>693</v>
      </c>
      <c r="P128" t="s">
        <v>692</v>
      </c>
      <c r="Q128" t="str">
        <f>IF(AND(SD!$C$29=SD!$P$2,Grade!$O$1="Per level"),VLOOKUP(B128,Grade!$M$1:$N$200,2,FALSE),IF(AND(SD!$C$29=SD!$P$2,Grade!$O$1="Per Bar Size"),VLOOKUP(LEFT(N128,FIND("@",N128)-2),Grade!$J$1:$K$12,2,0),SD!$C$29))</f>
        <v>A615 Grade 60</v>
      </c>
      <c r="R128" t="s">
        <v>715</v>
      </c>
      <c r="S128" s="57">
        <v>128</v>
      </c>
      <c r="U128" t="str">
        <f>IF(Data!$J128="",IFERROR(INDEX(IF(SD!$C$11="Create",Lap!$A$3:$BF$14,IF(SD!$C$11="Per Uploaded File",Lap!$A$19:$BF$30,"")),MATCH(W128,Lap!$A$3:$A$14,0),MATCH(VALUE(D128),Lap!$A$3:$BF$3,0)+IF(IFERROR(FIND("Grade 60",J128),0)&gt;0,0,IF(IFERROR(FIND("Grade 80",J128),0),1,IF(IFERROR(FIND("Grade 75",J128),0),2,"")))),""),Data!J128)</f>
        <v>4-0</v>
      </c>
      <c r="W128" t="s">
        <v>142</v>
      </c>
      <c r="X128">
        <v>10</v>
      </c>
      <c r="Y128" t="str">
        <f t="shared" si="4"/>
        <v>30</v>
      </c>
      <c r="Z128">
        <f t="shared" si="5"/>
        <v>0</v>
      </c>
      <c r="DE128" t="s">
        <v>831</v>
      </c>
      <c r="DF128" t="s">
        <v>66</v>
      </c>
      <c r="DG128" t="str">
        <f>VLOOKUP(W128,'Level Wise PSI'!$F$2:$G$12,2,FALSE)</f>
        <v>Double Lift</v>
      </c>
    </row>
    <row r="129" spans="1:111" x14ac:dyDescent="0.25">
      <c r="A129">
        <v>46</v>
      </c>
      <c r="B129" t="s">
        <v>658</v>
      </c>
      <c r="C129" s="15">
        <v>2429</v>
      </c>
      <c r="D129" s="15">
        <v>10000</v>
      </c>
      <c r="E129" s="15" t="s">
        <v>751</v>
      </c>
      <c r="F129" s="15" t="s">
        <v>763</v>
      </c>
      <c r="G129" t="s">
        <v>713</v>
      </c>
      <c r="H129" s="15" t="s">
        <v>760</v>
      </c>
      <c r="I129" t="s">
        <v>714</v>
      </c>
      <c r="J129" t="str">
        <f>IF(AND(SD!$C$19=SD!$H$2,Grade!$G$1="Per level"),VLOOKUP(B129,Grade!$E$1:$F$200,2,FALSE),IF(AND(SD!$C$19=SD!$H$2,Grade!$G$1="Per Bar Size"),VLOOKUP(W129,Grade!$B$1:$C$12,2,0),SD!$C$19))</f>
        <v>A615 Grade 60</v>
      </c>
      <c r="K129" t="s">
        <v>66</v>
      </c>
      <c r="L129" s="24" t="str">
        <f>IFERROR(IF(A129&lt;&gt;A130,"",IF(DF129="No Lap","",IF(K130="Lap",U129,IF(K130="Coupler",_xlfn._xlws.FILTER(CCoupler,(CCName=SD!$C$8)*(CBSize=IF(A128=A129,W129&amp;W130,W129&amp;W129))*(CCMFM="Male")),"")))),"N/A")</f>
        <v>5-1</v>
      </c>
      <c r="M129" t="str">
        <f t="shared" si="3"/>
        <v/>
      </c>
      <c r="N129" t="s">
        <v>692</v>
      </c>
      <c r="O129" t="s">
        <v>693</v>
      </c>
      <c r="P129" t="s">
        <v>692</v>
      </c>
      <c r="Q129" t="str">
        <f>IF(AND(SD!$C$29=SD!$P$2,Grade!$O$1="Per level"),VLOOKUP(B129,Grade!$M$1:$N$200,2,FALSE),IF(AND(SD!$C$29=SD!$P$2,Grade!$O$1="Per Bar Size"),VLOOKUP(LEFT(N129,FIND("@",N129)-2),Grade!$J$1:$K$12,2,0),SD!$C$29))</f>
        <v>A615 Grade 60</v>
      </c>
      <c r="R129" t="s">
        <v>713</v>
      </c>
      <c r="S129" s="57">
        <v>129</v>
      </c>
      <c r="U129" t="str">
        <f>IF(Data!$J129="",IFERROR(INDEX(IF(SD!$C$11="Create",Lap!$A$3:$BF$14,IF(SD!$C$11="Per Uploaded File",Lap!$A$19:$BF$30,"")),MATCH(W129,Lap!$A$3:$A$14,0),MATCH(VALUE(D129),Lap!$A$3:$BF$3,0)+IF(IFERROR(FIND("Grade 60",J129),0)&gt;0,0,IF(IFERROR(FIND("Grade 80",J129),0),1,IF(IFERROR(FIND("Grade 75",J129),0),2,"")))),""),Data!J129)</f>
        <v>5-1</v>
      </c>
      <c r="W129" t="s">
        <v>166</v>
      </c>
      <c r="X129">
        <v>10</v>
      </c>
      <c r="Y129" t="str">
        <f t="shared" si="4"/>
        <v>36</v>
      </c>
      <c r="Z129">
        <f t="shared" si="5"/>
        <v>0</v>
      </c>
      <c r="DE129" t="s">
        <v>831</v>
      </c>
      <c r="DF129" t="s">
        <v>66</v>
      </c>
      <c r="DG129" t="str">
        <f>VLOOKUP(W129,'Level Wise PSI'!$F$2:$G$12,2,FALSE)</f>
        <v>Double Lift</v>
      </c>
    </row>
    <row r="130" spans="1:111" x14ac:dyDescent="0.25">
      <c r="A130">
        <v>46</v>
      </c>
      <c r="B130" t="s">
        <v>661</v>
      </c>
      <c r="C130" s="15">
        <v>2429</v>
      </c>
      <c r="D130" s="15">
        <v>10000</v>
      </c>
      <c r="E130" t="str">
        <f>IF(B130=Level!$A$2,SD!$C$14,SD!$C$13)</f>
        <v>0-8</v>
      </c>
      <c r="F130" s="15" t="s">
        <v>763</v>
      </c>
      <c r="G130" t="s">
        <v>713</v>
      </c>
      <c r="H130" t="str">
        <f>RIGHT(VLOOKUP(B130,Level!A:C,3,FALSE),LEN(VLOOKUP(B130,Level!A:C,3,FALSE))-1)</f>
        <v>10-7</v>
      </c>
      <c r="I130" t="s">
        <v>714</v>
      </c>
      <c r="J130" t="str">
        <f>IF(AND(SD!$C$19=SD!$H$2,Grade!$G$1="Per level"),VLOOKUP(B130,Grade!$E$1:$F$200,2,FALSE),IF(AND(SD!$C$19=SD!$H$2,Grade!$G$1="Per Bar Size"),VLOOKUP(W130,Grade!$B$1:$C$12,2,0),SD!$C$19))</f>
        <v>A615 Grade 60</v>
      </c>
      <c r="K130" t="s">
        <v>66</v>
      </c>
      <c r="L130" s="24" t="str">
        <f>IFERROR(IF(A130&lt;&gt;A131,"",IF(DF130="No Lap","",IF(K131="Lap",U130,IF(K131="Coupler",_xlfn._xlws.FILTER(CCoupler,(CCName=SD!$C$8)*(CBSize=IF(A129=A130,W130&amp;W131,W130&amp;W130))*(CCMFM="Male")),"")))),"N/A")</f>
        <v>5-1</v>
      </c>
      <c r="M130" t="str">
        <f t="shared" ref="M130:M193" si="6">IF(A130=A131,IF(AND(IF(A130=A131,ABS(Y130-Y131),"0")&gt;6,IF(A130=A131,ABS(Z130-Z131),"0")&gt;6),I131,IF(OR(IF(A130=A131,ABS(Y130-Y131),"0")&gt;6,IF(A130=A131,ABS(Z130-Z131),"0")&gt;6),CONCATENATE(ROUNDUP(X131/2,0)," - ",W131),"")),"")</f>
        <v/>
      </c>
      <c r="N130" t="s">
        <v>692</v>
      </c>
      <c r="O130" t="s">
        <v>693</v>
      </c>
      <c r="P130" t="s">
        <v>692</v>
      </c>
      <c r="Q130" t="str">
        <f>IF(AND(SD!$C$29=SD!$P$2,Grade!$O$1="Per level"),VLOOKUP(B130,Grade!$M$1:$N$200,2,FALSE),IF(AND(SD!$C$29=SD!$P$2,Grade!$O$1="Per Bar Size"),VLOOKUP(LEFT(N130,FIND("@",N130)-2),Grade!$J$1:$K$12,2,0),SD!$C$29))</f>
        <v>A615 Grade 60</v>
      </c>
      <c r="R130" t="s">
        <v>713</v>
      </c>
      <c r="S130" s="57">
        <v>130</v>
      </c>
      <c r="U130" t="str">
        <f>IF(Data!$J130="",IFERROR(INDEX(IF(SD!$C$11="Create",Lap!$A$3:$BF$14,IF(SD!$C$11="Per Uploaded File",Lap!$A$19:$BF$30,"")),MATCH(W130,Lap!$A$3:$A$14,0),MATCH(VALUE(D130),Lap!$A$3:$BF$3,0)+IF(IFERROR(FIND("Grade 60",J130),0)&gt;0,0,IF(IFERROR(FIND("Grade 80",J130),0),1,IF(IFERROR(FIND("Grade 75",J130),0),2,"")))),""),Data!J130)</f>
        <v>5-1</v>
      </c>
      <c r="W130" t="s">
        <v>166</v>
      </c>
      <c r="X130">
        <v>10</v>
      </c>
      <c r="Y130" t="str">
        <f t="shared" ref="Y130:Y193" si="7">IFERROR(LEFT(G130,FIND(" dia",G130)-2),LEFT(G130,FIND("x",G130)-1))</f>
        <v>36</v>
      </c>
      <c r="Z130">
        <f t="shared" ref="Z130:Z193" si="8">IFERROR(IF(FIND("dia",G130)&gt;0,0,ERROR.TYPE(#VALUE!)),RIGHT(G130,LEN(G130)-FIND("x",G130)))</f>
        <v>0</v>
      </c>
      <c r="DE130" t="s">
        <v>831</v>
      </c>
      <c r="DF130" t="s">
        <v>66</v>
      </c>
      <c r="DG130" t="str">
        <f>VLOOKUP(W130,'Level Wise PSI'!$F$2:$G$12,2,FALSE)</f>
        <v>Double Lift</v>
      </c>
    </row>
    <row r="131" spans="1:111" x14ac:dyDescent="0.25">
      <c r="A131">
        <v>46</v>
      </c>
      <c r="B131" t="s">
        <v>664</v>
      </c>
      <c r="C131" s="15">
        <v>2429</v>
      </c>
      <c r="D131" s="15">
        <v>10000</v>
      </c>
      <c r="E131" t="str">
        <f>IF(B131=Level!$A$2,SD!$C$14,SD!$C$13)</f>
        <v>0-8</v>
      </c>
      <c r="F131" s="15" t="s">
        <v>763</v>
      </c>
      <c r="G131" t="s">
        <v>715</v>
      </c>
      <c r="H131" t="str">
        <f>RIGHT(VLOOKUP(B131,Level!A:C,3,FALSE),LEN(VLOOKUP(B131,Level!A:C,3,FALSE))-1)</f>
        <v>10-7</v>
      </c>
      <c r="I131" t="s">
        <v>716</v>
      </c>
      <c r="J131" t="str">
        <f>IF(AND(SD!$C$19=SD!$H$2,Grade!$G$1="Per level"),VLOOKUP(B131,Grade!$E$1:$F$200,2,FALSE),IF(AND(SD!$C$19=SD!$H$2,Grade!$G$1="Per Bar Size"),VLOOKUP(W131,Grade!$B$1:$C$12,2,0),SD!$C$19))</f>
        <v>A615 Grade 60</v>
      </c>
      <c r="K131" t="s">
        <v>66</v>
      </c>
      <c r="L131" s="24" t="str">
        <f>IFERROR(IF(A131&lt;&gt;A132,"",IF(DF131="No Lap","",IF(K132="Lap",U131,IF(K132="Coupler",_xlfn._xlws.FILTER(CCoupler,(CCName=SD!$C$8)*(CBSize=IF(A130=A131,W131&amp;W132,W131&amp;W131))*(CCMFM="Male")),"")))),"N/A")</f>
        <v>5-1</v>
      </c>
      <c r="M131" t="str">
        <f t="shared" si="6"/>
        <v/>
      </c>
      <c r="N131" t="s">
        <v>692</v>
      </c>
      <c r="O131" t="s">
        <v>693</v>
      </c>
      <c r="P131" t="s">
        <v>692</v>
      </c>
      <c r="Q131" t="str">
        <f>IF(AND(SD!$C$29=SD!$P$2,Grade!$O$1="Per level"),VLOOKUP(B131,Grade!$M$1:$N$200,2,FALSE),IF(AND(SD!$C$29=SD!$P$2,Grade!$O$1="Per Bar Size"),VLOOKUP(LEFT(N131,FIND("@",N131)-2),Grade!$J$1:$K$12,2,0),SD!$C$29))</f>
        <v>A615 Grade 60</v>
      </c>
      <c r="R131" t="s">
        <v>715</v>
      </c>
      <c r="S131" s="57">
        <v>131</v>
      </c>
      <c r="U131" t="str">
        <f>IF(Data!$J131="",IFERROR(INDEX(IF(SD!$C$11="Create",Lap!$A$3:$BF$14,IF(SD!$C$11="Per Uploaded File",Lap!$A$19:$BF$30,"")),MATCH(W131,Lap!$A$3:$A$14,0),MATCH(VALUE(D131),Lap!$A$3:$BF$3,0)+IF(IFERROR(FIND("Grade 60",J131),0)&gt;0,0,IF(IFERROR(FIND("Grade 80",J131),0),1,IF(IFERROR(FIND("Grade 75",J131),0),2,"")))),""),Data!J131)</f>
        <v>5-1</v>
      </c>
      <c r="W131" t="s">
        <v>166</v>
      </c>
      <c r="X131">
        <v>6</v>
      </c>
      <c r="Y131" t="str">
        <f t="shared" si="7"/>
        <v>30</v>
      </c>
      <c r="Z131">
        <f t="shared" si="8"/>
        <v>0</v>
      </c>
      <c r="DE131" t="s">
        <v>831</v>
      </c>
      <c r="DF131" t="s">
        <v>66</v>
      </c>
      <c r="DG131" t="str">
        <f>VLOOKUP(W131,'Level Wise PSI'!$F$2:$G$12,2,FALSE)</f>
        <v>Double Lift</v>
      </c>
    </row>
    <row r="132" spans="1:111" x14ac:dyDescent="0.25">
      <c r="A132">
        <v>46</v>
      </c>
      <c r="B132" t="s">
        <v>666</v>
      </c>
      <c r="C132" s="15">
        <v>2429</v>
      </c>
      <c r="D132" s="15">
        <v>10000</v>
      </c>
      <c r="E132" t="str">
        <f>IF(B132=Level!$A$2,SD!$C$14,SD!$C$13)</f>
        <v>0-8</v>
      </c>
      <c r="F132" s="15" t="s">
        <v>763</v>
      </c>
      <c r="G132" t="s">
        <v>715</v>
      </c>
      <c r="H132" t="str">
        <f>RIGHT(VLOOKUP(B132,Level!A:C,3,FALSE),LEN(VLOOKUP(B132,Level!A:C,3,FALSE))-1)</f>
        <v>10-7</v>
      </c>
      <c r="I132" t="s">
        <v>716</v>
      </c>
      <c r="J132" t="str">
        <f>IF(AND(SD!$C$19=SD!$H$2,Grade!$G$1="Per level"),VLOOKUP(B132,Grade!$E$1:$F$200,2,FALSE),IF(AND(SD!$C$19=SD!$H$2,Grade!$G$1="Per Bar Size"),VLOOKUP(W132,Grade!$B$1:$C$12,2,0),SD!$C$19))</f>
        <v>A615 Grade 60</v>
      </c>
      <c r="K132" t="s">
        <v>66</v>
      </c>
      <c r="L132" s="24" t="str">
        <f>IFERROR(IF(A132&lt;&gt;A133,"",IF(DF132="No Lap","",IF(K133="Lap",U132,IF(K133="Coupler",_xlfn._xlws.FILTER(CCoupler,(CCName=SD!$C$8)*(CBSize=IF(A131=A132,W132&amp;W133,W132&amp;W132))*(CCMFM="Male")),"")))),"N/A")</f>
        <v>5-1</v>
      </c>
      <c r="M132" t="str">
        <f t="shared" si="6"/>
        <v/>
      </c>
      <c r="N132" t="s">
        <v>692</v>
      </c>
      <c r="O132" t="s">
        <v>693</v>
      </c>
      <c r="P132" t="s">
        <v>692</v>
      </c>
      <c r="Q132" t="str">
        <f>IF(AND(SD!$C$29=SD!$P$2,Grade!$O$1="Per level"),VLOOKUP(B132,Grade!$M$1:$N$200,2,FALSE),IF(AND(SD!$C$29=SD!$P$2,Grade!$O$1="Per Bar Size"),VLOOKUP(LEFT(N132,FIND("@",N132)-2),Grade!$J$1:$K$12,2,0),SD!$C$29))</f>
        <v>A615 Grade 60</v>
      </c>
      <c r="R132" t="s">
        <v>715</v>
      </c>
      <c r="S132" s="57">
        <v>132</v>
      </c>
      <c r="U132" t="str">
        <f>IF(Data!$J132="",IFERROR(INDEX(IF(SD!$C$11="Create",Lap!$A$3:$BF$14,IF(SD!$C$11="Per Uploaded File",Lap!$A$19:$BF$30,"")),MATCH(W132,Lap!$A$3:$A$14,0),MATCH(VALUE(D132),Lap!$A$3:$BF$3,0)+IF(IFERROR(FIND("Grade 60",J132),0)&gt;0,0,IF(IFERROR(FIND("Grade 80",J132),0),1,IF(IFERROR(FIND("Grade 75",J132),0),2,"")))),""),Data!J132)</f>
        <v>5-1</v>
      </c>
      <c r="W132" t="s">
        <v>166</v>
      </c>
      <c r="X132">
        <v>6</v>
      </c>
      <c r="Y132" t="str">
        <f t="shared" si="7"/>
        <v>30</v>
      </c>
      <c r="Z132">
        <f t="shared" si="8"/>
        <v>0</v>
      </c>
      <c r="DE132" t="s">
        <v>831</v>
      </c>
      <c r="DF132" t="s">
        <v>66</v>
      </c>
      <c r="DG132" t="str">
        <f>VLOOKUP(W132,'Level Wise PSI'!$F$2:$G$12,2,FALSE)</f>
        <v>Double Lift</v>
      </c>
    </row>
    <row r="133" spans="1:111" x14ac:dyDescent="0.25">
      <c r="A133">
        <v>46</v>
      </c>
      <c r="B133" t="s">
        <v>668</v>
      </c>
      <c r="C133" s="15">
        <v>2429</v>
      </c>
      <c r="D133" s="15">
        <v>10000</v>
      </c>
      <c r="E133" t="str">
        <f>IF(B133=Level!$A$2,SD!$C$14,SD!$C$13)</f>
        <v>0-8</v>
      </c>
      <c r="F133" s="15" t="s">
        <v>763</v>
      </c>
      <c r="G133" t="s">
        <v>715</v>
      </c>
      <c r="H133" t="str">
        <f>RIGHT(VLOOKUP(B133,Level!A:C,3,FALSE),LEN(VLOOKUP(B133,Level!A:C,3,FALSE))-1)</f>
        <v>10-7</v>
      </c>
      <c r="I133" t="s">
        <v>716</v>
      </c>
      <c r="J133" t="str">
        <f>IF(AND(SD!$C$19=SD!$H$2,Grade!$G$1="Per level"),VLOOKUP(B133,Grade!$E$1:$F$200,2,FALSE),IF(AND(SD!$C$19=SD!$H$2,Grade!$G$1="Per Bar Size"),VLOOKUP(W133,Grade!$B$1:$C$12,2,0),SD!$C$19))</f>
        <v>A615 Grade 60</v>
      </c>
      <c r="K133" t="s">
        <v>66</v>
      </c>
      <c r="L133" s="24" t="str">
        <f>IFERROR(IF(A133&lt;&gt;A134,"",IF(DF133="No Lap","",IF(K134="Lap",U133,IF(K134="Coupler",_xlfn._xlws.FILTER(CCoupler,(CCName=SD!$C$8)*(CBSize=IF(A132=A133,W133&amp;W134,W133&amp;W133))*(CCMFM="Male")),"")))),"N/A")</f>
        <v>5-1</v>
      </c>
      <c r="M133" t="str">
        <f t="shared" si="6"/>
        <v/>
      </c>
      <c r="N133" t="s">
        <v>692</v>
      </c>
      <c r="O133" t="s">
        <v>693</v>
      </c>
      <c r="P133" t="s">
        <v>692</v>
      </c>
      <c r="Q133" t="str">
        <f>IF(AND(SD!$C$29=SD!$P$2,Grade!$O$1="Per level"),VLOOKUP(B133,Grade!$M$1:$N$200,2,FALSE),IF(AND(SD!$C$29=SD!$P$2,Grade!$O$1="Per Bar Size"),VLOOKUP(LEFT(N133,FIND("@",N133)-2),Grade!$J$1:$K$12,2,0),SD!$C$29))</f>
        <v>A615 Grade 60</v>
      </c>
      <c r="R133" t="s">
        <v>715</v>
      </c>
      <c r="S133" s="57">
        <v>133</v>
      </c>
      <c r="U133" t="str">
        <f>IF(Data!$J133="",IFERROR(INDEX(IF(SD!$C$11="Create",Lap!$A$3:$BF$14,IF(SD!$C$11="Per Uploaded File",Lap!$A$19:$BF$30,"")),MATCH(W133,Lap!$A$3:$A$14,0),MATCH(VALUE(D133),Lap!$A$3:$BF$3,0)+IF(IFERROR(FIND("Grade 60",J133),0)&gt;0,0,IF(IFERROR(FIND("Grade 80",J133),0),1,IF(IFERROR(FIND("Grade 75",J133),0),2,"")))),""),Data!J133)</f>
        <v>5-1</v>
      </c>
      <c r="W133" t="s">
        <v>166</v>
      </c>
      <c r="X133">
        <v>6</v>
      </c>
      <c r="Y133" t="str">
        <f t="shared" si="7"/>
        <v>30</v>
      </c>
      <c r="Z133">
        <f t="shared" si="8"/>
        <v>0</v>
      </c>
      <c r="DE133" t="s">
        <v>831</v>
      </c>
      <c r="DF133" t="s">
        <v>66</v>
      </c>
      <c r="DG133" t="str">
        <f>VLOOKUP(W133,'Level Wise PSI'!$F$2:$G$12,2,FALSE)</f>
        <v>Double Lift</v>
      </c>
    </row>
    <row r="134" spans="1:111" x14ac:dyDescent="0.25">
      <c r="A134">
        <v>46</v>
      </c>
      <c r="B134" t="s">
        <v>670</v>
      </c>
      <c r="C134" s="15">
        <v>2429</v>
      </c>
      <c r="D134" s="15">
        <v>10000</v>
      </c>
      <c r="E134" t="str">
        <f>IF(B134=Level!$A$2,SD!$C$14,SD!$C$13)</f>
        <v>0-8</v>
      </c>
      <c r="F134" s="15" t="s">
        <v>763</v>
      </c>
      <c r="G134" t="s">
        <v>715</v>
      </c>
      <c r="H134" t="str">
        <f>RIGHT(VLOOKUP(B134,Level!A:C,3,FALSE),LEN(VLOOKUP(B134,Level!A:C,3,FALSE))-1)</f>
        <v>10-7</v>
      </c>
      <c r="I134" t="s">
        <v>716</v>
      </c>
      <c r="J134" t="str">
        <f>IF(AND(SD!$C$19=SD!$H$2,Grade!$G$1="Per level"),VLOOKUP(B134,Grade!$E$1:$F$200,2,FALSE),IF(AND(SD!$C$19=SD!$H$2,Grade!$G$1="Per Bar Size"),VLOOKUP(W134,Grade!$B$1:$C$12,2,0),SD!$C$19))</f>
        <v>A615 Grade 60</v>
      </c>
      <c r="K134" t="s">
        <v>66</v>
      </c>
      <c r="L134" s="24" t="str">
        <f>IFERROR(IF(A134&lt;&gt;A135,"",IF(DF134="No Lap","",IF(K135="Lap",U134,IF(K135="Coupler",_xlfn._xlws.FILTER(CCoupler,(CCName=SD!$C$8)*(CBSize=IF(A133=A134,W134&amp;W135,W134&amp;W134))*(CCMFM="Male")),"")))),"N/A")</f>
        <v>5-1</v>
      </c>
      <c r="M134" t="str">
        <f t="shared" si="6"/>
        <v/>
      </c>
      <c r="N134" t="s">
        <v>692</v>
      </c>
      <c r="O134" t="s">
        <v>693</v>
      </c>
      <c r="P134" t="s">
        <v>692</v>
      </c>
      <c r="Q134" t="str">
        <f>IF(AND(SD!$C$29=SD!$P$2,Grade!$O$1="Per level"),VLOOKUP(B134,Grade!$M$1:$N$200,2,FALSE),IF(AND(SD!$C$29=SD!$P$2,Grade!$O$1="Per Bar Size"),VLOOKUP(LEFT(N134,FIND("@",N134)-2),Grade!$J$1:$K$12,2,0),SD!$C$29))</f>
        <v>A615 Grade 60</v>
      </c>
      <c r="R134" t="s">
        <v>715</v>
      </c>
      <c r="S134" s="57">
        <v>134</v>
      </c>
      <c r="U134" t="str">
        <f>IF(Data!$J134="",IFERROR(INDEX(IF(SD!$C$11="Create",Lap!$A$3:$BF$14,IF(SD!$C$11="Per Uploaded File",Lap!$A$19:$BF$30,"")),MATCH(W134,Lap!$A$3:$A$14,0),MATCH(VALUE(D134),Lap!$A$3:$BF$3,0)+IF(IFERROR(FIND("Grade 60",J134),0)&gt;0,0,IF(IFERROR(FIND("Grade 80",J134),0),1,IF(IFERROR(FIND("Grade 75",J134),0),2,"")))),""),Data!J134)</f>
        <v>5-1</v>
      </c>
      <c r="W134" t="s">
        <v>166</v>
      </c>
      <c r="X134">
        <v>6</v>
      </c>
      <c r="Y134" t="str">
        <f t="shared" si="7"/>
        <v>30</v>
      </c>
      <c r="Z134">
        <f t="shared" si="8"/>
        <v>0</v>
      </c>
      <c r="DE134" t="s">
        <v>831</v>
      </c>
      <c r="DF134" t="s">
        <v>66</v>
      </c>
      <c r="DG134" t="str">
        <f>VLOOKUP(W134,'Level Wise PSI'!$F$2:$G$12,2,FALSE)</f>
        <v>Double Lift</v>
      </c>
    </row>
    <row r="135" spans="1:111" x14ac:dyDescent="0.25">
      <c r="A135">
        <v>46</v>
      </c>
      <c r="B135" t="s">
        <v>672</v>
      </c>
      <c r="C135" s="15">
        <v>2429</v>
      </c>
      <c r="D135" s="15">
        <v>10000</v>
      </c>
      <c r="E135" t="str">
        <f>IF(B135=Level!$A$2,SD!$C$14,SD!$C$13)</f>
        <v>0-8</v>
      </c>
      <c r="F135" s="15" t="s">
        <v>763</v>
      </c>
      <c r="G135" t="s">
        <v>715</v>
      </c>
      <c r="H135" t="str">
        <f>RIGHT(VLOOKUP(B135,Level!A:C,3,FALSE),LEN(VLOOKUP(B135,Level!A:C,3,FALSE))-1)</f>
        <v>10-7</v>
      </c>
      <c r="I135" t="s">
        <v>716</v>
      </c>
      <c r="J135" t="str">
        <f>IF(AND(SD!$C$19=SD!$H$2,Grade!$G$1="Per level"),VLOOKUP(B135,Grade!$E$1:$F$200,2,FALSE),IF(AND(SD!$C$19=SD!$H$2,Grade!$G$1="Per Bar Size"),VLOOKUP(W135,Grade!$B$1:$C$12,2,0),SD!$C$19))</f>
        <v>A615 Grade 60</v>
      </c>
      <c r="K135" t="s">
        <v>66</v>
      </c>
      <c r="L135" s="24" t="str">
        <f>IFERROR(IF(A135&lt;&gt;A136,"",IF(DF135="No Lap","",IF(K136="Lap",U135,IF(K136="Coupler",_xlfn._xlws.FILTER(CCoupler,(CCName=SD!$C$8)*(CBSize=IF(A134=A135,W135&amp;W136,W135&amp;W135))*(CCMFM="Male")),"")))),"N/A")</f>
        <v>5-1</v>
      </c>
      <c r="M135" t="str">
        <f t="shared" si="6"/>
        <v/>
      </c>
      <c r="N135" t="s">
        <v>692</v>
      </c>
      <c r="O135" t="s">
        <v>693</v>
      </c>
      <c r="P135" t="s">
        <v>692</v>
      </c>
      <c r="Q135" t="str">
        <f>IF(AND(SD!$C$29=SD!$P$2,Grade!$O$1="Per level"),VLOOKUP(B135,Grade!$M$1:$N$200,2,FALSE),IF(AND(SD!$C$29=SD!$P$2,Grade!$O$1="Per Bar Size"),VLOOKUP(LEFT(N135,FIND("@",N135)-2),Grade!$J$1:$K$12,2,0),SD!$C$29))</f>
        <v>A615 Grade 60</v>
      </c>
      <c r="R135" t="s">
        <v>715</v>
      </c>
      <c r="S135" s="57">
        <v>135</v>
      </c>
      <c r="U135" t="str">
        <f>IF(Data!$J135="",IFERROR(INDEX(IF(SD!$C$11="Create",Lap!$A$3:$BF$14,IF(SD!$C$11="Per Uploaded File",Lap!$A$19:$BF$30,"")),MATCH(W135,Lap!$A$3:$A$14,0),MATCH(VALUE(D135),Lap!$A$3:$BF$3,0)+IF(IFERROR(FIND("Grade 60",J135),0)&gt;0,0,IF(IFERROR(FIND("Grade 80",J135),0),1,IF(IFERROR(FIND("Grade 75",J135),0),2,"")))),""),Data!J135)</f>
        <v>5-1</v>
      </c>
      <c r="W135" t="s">
        <v>166</v>
      </c>
      <c r="X135">
        <v>6</v>
      </c>
      <c r="Y135" t="str">
        <f t="shared" si="7"/>
        <v>30</v>
      </c>
      <c r="Z135">
        <f t="shared" si="8"/>
        <v>0</v>
      </c>
      <c r="DE135" t="s">
        <v>831</v>
      </c>
      <c r="DF135" t="s">
        <v>66</v>
      </c>
      <c r="DG135" t="str">
        <f>VLOOKUP(W135,'Level Wise PSI'!$F$2:$G$12,2,FALSE)</f>
        <v>Double Lift</v>
      </c>
    </row>
    <row r="136" spans="1:111" x14ac:dyDescent="0.25">
      <c r="A136">
        <v>46</v>
      </c>
      <c r="B136" t="s">
        <v>674</v>
      </c>
      <c r="C136" s="15">
        <v>2429</v>
      </c>
      <c r="D136" s="15">
        <v>10000</v>
      </c>
      <c r="E136" t="str">
        <f>IF(B136=Level!$A$2,SD!$C$14,SD!$C$13)</f>
        <v>0-8</v>
      </c>
      <c r="F136" s="15" t="s">
        <v>763</v>
      </c>
      <c r="G136" t="s">
        <v>715</v>
      </c>
      <c r="H136" t="str">
        <f>RIGHT(VLOOKUP(B136,Level!A:C,3,FALSE),LEN(VLOOKUP(B136,Level!A:C,3,FALSE))-1)</f>
        <v>10-7</v>
      </c>
      <c r="I136" t="s">
        <v>716</v>
      </c>
      <c r="J136" t="str">
        <f>IF(AND(SD!$C$19=SD!$H$2,Grade!$G$1="Per level"),VLOOKUP(B136,Grade!$E$1:$F$200,2,FALSE),IF(AND(SD!$C$19=SD!$H$2,Grade!$G$1="Per Bar Size"),VLOOKUP(W136,Grade!$B$1:$C$12,2,0),SD!$C$19))</f>
        <v>A615 Grade 60</v>
      </c>
      <c r="K136" t="s">
        <v>66</v>
      </c>
      <c r="L136" s="24" t="str">
        <f>IFERROR(IF(A136&lt;&gt;A137,"",IF(DF136="No Lap","",IF(K137="Lap",U136,IF(K137="Coupler",_xlfn._xlws.FILTER(CCoupler,(CCName=SD!$C$8)*(CBSize=IF(A135=A136,W136&amp;W137,W136&amp;W136))*(CCMFM="Male")),"")))),"N/A")</f>
        <v>5-1</v>
      </c>
      <c r="M136" t="str">
        <f t="shared" si="6"/>
        <v/>
      </c>
      <c r="N136" t="s">
        <v>692</v>
      </c>
      <c r="O136" t="s">
        <v>693</v>
      </c>
      <c r="P136" t="s">
        <v>692</v>
      </c>
      <c r="Q136" t="str">
        <f>IF(AND(SD!$C$29=SD!$P$2,Grade!$O$1="Per level"),VLOOKUP(B136,Grade!$M$1:$N$200,2,FALSE),IF(AND(SD!$C$29=SD!$P$2,Grade!$O$1="Per Bar Size"),VLOOKUP(LEFT(N136,FIND("@",N136)-2),Grade!$J$1:$K$12,2,0),SD!$C$29))</f>
        <v>A615 Grade 60</v>
      </c>
      <c r="R136" t="s">
        <v>715</v>
      </c>
      <c r="S136" s="57">
        <v>136</v>
      </c>
      <c r="U136" t="str">
        <f>IF(Data!$J136="",IFERROR(INDEX(IF(SD!$C$11="Create",Lap!$A$3:$BF$14,IF(SD!$C$11="Per Uploaded File",Lap!$A$19:$BF$30,"")),MATCH(W136,Lap!$A$3:$A$14,0),MATCH(VALUE(D136),Lap!$A$3:$BF$3,0)+IF(IFERROR(FIND("Grade 60",J136),0)&gt;0,0,IF(IFERROR(FIND("Grade 80",J136),0),1,IF(IFERROR(FIND("Grade 75",J136),0),2,"")))),""),Data!J136)</f>
        <v>5-1</v>
      </c>
      <c r="W136" t="s">
        <v>166</v>
      </c>
      <c r="X136">
        <v>6</v>
      </c>
      <c r="Y136" t="str">
        <f t="shared" si="7"/>
        <v>30</v>
      </c>
      <c r="Z136">
        <f t="shared" si="8"/>
        <v>0</v>
      </c>
      <c r="DE136" t="s">
        <v>831</v>
      </c>
      <c r="DF136" t="s">
        <v>66</v>
      </c>
      <c r="DG136" t="str">
        <f>VLOOKUP(W136,'Level Wise PSI'!$F$2:$G$12,2,FALSE)</f>
        <v>Double Lift</v>
      </c>
    </row>
    <row r="137" spans="1:111" x14ac:dyDescent="0.25">
      <c r="A137">
        <v>46</v>
      </c>
      <c r="B137" t="s">
        <v>676</v>
      </c>
      <c r="C137" s="15">
        <v>2429</v>
      </c>
      <c r="D137" s="15">
        <v>10000</v>
      </c>
      <c r="E137" t="str">
        <f>IF(B137=Level!$A$2,SD!$C$14,SD!$C$13)</f>
        <v>0-8</v>
      </c>
      <c r="F137" s="15" t="s">
        <v>763</v>
      </c>
      <c r="G137" t="s">
        <v>715</v>
      </c>
      <c r="H137" t="str">
        <f>RIGHT(VLOOKUP(B137,Level!A:C,3,FALSE),LEN(VLOOKUP(B137,Level!A:C,3,FALSE))-1)</f>
        <v>10-7</v>
      </c>
      <c r="I137" t="s">
        <v>716</v>
      </c>
      <c r="J137" t="str">
        <f>IF(AND(SD!$C$19=SD!$H$2,Grade!$G$1="Per level"),VLOOKUP(B137,Grade!$E$1:$F$200,2,FALSE),IF(AND(SD!$C$19=SD!$H$2,Grade!$G$1="Per Bar Size"),VLOOKUP(W137,Grade!$B$1:$C$12,2,0),SD!$C$19))</f>
        <v>A615 Grade 60</v>
      </c>
      <c r="K137" t="s">
        <v>66</v>
      </c>
      <c r="L137" s="24" t="str">
        <f>IFERROR(IF(A137&lt;&gt;A138,"",IF(DF137="No Lap","",IF(K138="Lap",U137,IF(K138="Coupler",_xlfn._xlws.FILTER(CCoupler,(CCName=SD!$C$8)*(CBSize=IF(A136=A137,W137&amp;W138,W137&amp;W137))*(CCMFM="Male")),"")))),"N/A")</f>
        <v>5-1</v>
      </c>
      <c r="M137" t="str">
        <f t="shared" si="6"/>
        <v/>
      </c>
      <c r="N137" t="s">
        <v>692</v>
      </c>
      <c r="O137" t="s">
        <v>693</v>
      </c>
      <c r="P137" t="s">
        <v>692</v>
      </c>
      <c r="Q137" t="str">
        <f>IF(AND(SD!$C$29=SD!$P$2,Grade!$O$1="Per level"),VLOOKUP(B137,Grade!$M$1:$N$200,2,FALSE),IF(AND(SD!$C$29=SD!$P$2,Grade!$O$1="Per Bar Size"),VLOOKUP(LEFT(N137,FIND("@",N137)-2),Grade!$J$1:$K$12,2,0),SD!$C$29))</f>
        <v>A615 Grade 60</v>
      </c>
      <c r="R137" t="s">
        <v>715</v>
      </c>
      <c r="S137" s="57">
        <v>137</v>
      </c>
      <c r="U137" t="str">
        <f>IF(Data!$J137="",IFERROR(INDEX(IF(SD!$C$11="Create",Lap!$A$3:$BF$14,IF(SD!$C$11="Per Uploaded File",Lap!$A$19:$BF$30,"")),MATCH(W137,Lap!$A$3:$A$14,0),MATCH(VALUE(D137),Lap!$A$3:$BF$3,0)+IF(IFERROR(FIND("Grade 60",J137),0)&gt;0,0,IF(IFERROR(FIND("Grade 80",J137),0),1,IF(IFERROR(FIND("Grade 75",J137),0),2,"")))),""),Data!J137)</f>
        <v>5-1</v>
      </c>
      <c r="W137" t="s">
        <v>166</v>
      </c>
      <c r="X137">
        <v>6</v>
      </c>
      <c r="Y137" t="str">
        <f t="shared" si="7"/>
        <v>30</v>
      </c>
      <c r="Z137">
        <f t="shared" si="8"/>
        <v>0</v>
      </c>
      <c r="DE137" t="s">
        <v>831</v>
      </c>
      <c r="DF137" t="s">
        <v>66</v>
      </c>
      <c r="DG137" t="str">
        <f>VLOOKUP(W137,'Level Wise PSI'!$F$2:$G$12,2,FALSE)</f>
        <v>Double Lift</v>
      </c>
    </row>
    <row r="138" spans="1:111" x14ac:dyDescent="0.25">
      <c r="A138">
        <v>46</v>
      </c>
      <c r="B138" t="s">
        <v>678</v>
      </c>
      <c r="C138" s="15">
        <v>2429</v>
      </c>
      <c r="D138" s="15">
        <v>10000</v>
      </c>
      <c r="E138" t="str">
        <f>IF(B138=Level!$A$2,SD!$C$14,SD!$C$13)</f>
        <v>0-8</v>
      </c>
      <c r="F138" s="15" t="s">
        <v>763</v>
      </c>
      <c r="G138" t="s">
        <v>715</v>
      </c>
      <c r="H138" t="str">
        <f>RIGHT(VLOOKUP(B138,Level!A:C,3,FALSE),LEN(VLOOKUP(B138,Level!A:C,3,FALSE))-1)</f>
        <v>10-7</v>
      </c>
      <c r="I138" t="s">
        <v>716</v>
      </c>
      <c r="J138" t="str">
        <f>IF(AND(SD!$C$19=SD!$H$2,Grade!$G$1="Per level"),VLOOKUP(B138,Grade!$E$1:$F$200,2,FALSE),IF(AND(SD!$C$19=SD!$H$2,Grade!$G$1="Per Bar Size"),VLOOKUP(W138,Grade!$B$1:$C$12,2,0),SD!$C$19))</f>
        <v>A615 Grade 60</v>
      </c>
      <c r="K138" t="s">
        <v>66</v>
      </c>
      <c r="L138" s="24" t="str">
        <f>IFERROR(IF(A138&lt;&gt;A139,"",IF(DF138="No Lap","",IF(K139="Lap",U138,IF(K139="Coupler",_xlfn._xlws.FILTER(CCoupler,(CCName=SD!$C$8)*(CBSize=IF(A137=A138,W138&amp;W139,W138&amp;W138))*(CCMFM="Male")),"")))),"N/A")</f>
        <v>5-1</v>
      </c>
      <c r="M138" t="str">
        <f t="shared" si="6"/>
        <v/>
      </c>
      <c r="N138" t="s">
        <v>692</v>
      </c>
      <c r="O138" t="s">
        <v>693</v>
      </c>
      <c r="P138" t="s">
        <v>692</v>
      </c>
      <c r="Q138" t="str">
        <f>IF(AND(SD!$C$29=SD!$P$2,Grade!$O$1="Per level"),VLOOKUP(B138,Grade!$M$1:$N$200,2,FALSE),IF(AND(SD!$C$29=SD!$P$2,Grade!$O$1="Per Bar Size"),VLOOKUP(LEFT(N138,FIND("@",N138)-2),Grade!$J$1:$K$12,2,0),SD!$C$29))</f>
        <v>A615 Grade 60</v>
      </c>
      <c r="R138" t="s">
        <v>715</v>
      </c>
      <c r="S138" s="57">
        <v>138</v>
      </c>
      <c r="U138" t="str">
        <f>IF(Data!$J138="",IFERROR(INDEX(IF(SD!$C$11="Create",Lap!$A$3:$BF$14,IF(SD!$C$11="Per Uploaded File",Lap!$A$19:$BF$30,"")),MATCH(W138,Lap!$A$3:$A$14,0),MATCH(VALUE(D138),Lap!$A$3:$BF$3,0)+IF(IFERROR(FIND("Grade 60",J138),0)&gt;0,0,IF(IFERROR(FIND("Grade 80",J138),0),1,IF(IFERROR(FIND("Grade 75",J138),0),2,"")))),""),Data!J138)</f>
        <v>5-1</v>
      </c>
      <c r="W138" t="s">
        <v>166</v>
      </c>
      <c r="X138">
        <v>6</v>
      </c>
      <c r="Y138" t="str">
        <f t="shared" si="7"/>
        <v>30</v>
      </c>
      <c r="Z138">
        <f t="shared" si="8"/>
        <v>0</v>
      </c>
      <c r="DE138" t="s">
        <v>831</v>
      </c>
      <c r="DF138" t="s">
        <v>66</v>
      </c>
      <c r="DG138" t="str">
        <f>VLOOKUP(W138,'Level Wise PSI'!$F$2:$G$12,2,FALSE)</f>
        <v>Double Lift</v>
      </c>
    </row>
    <row r="139" spans="1:111" x14ac:dyDescent="0.25">
      <c r="A139">
        <v>46</v>
      </c>
      <c r="B139" t="s">
        <v>680</v>
      </c>
      <c r="C139" s="15">
        <v>2429</v>
      </c>
      <c r="D139" s="15">
        <v>10000</v>
      </c>
      <c r="E139" t="str">
        <f>IF(B139=Level!$A$2,SD!$C$14,SD!$C$13)</f>
        <v>0-8</v>
      </c>
      <c r="F139" s="15" t="s">
        <v>763</v>
      </c>
      <c r="G139" t="s">
        <v>715</v>
      </c>
      <c r="H139" t="str">
        <f>RIGHT(VLOOKUP(B139,Level!A:C,3,FALSE),LEN(VLOOKUP(B139,Level!A:C,3,FALSE))-1)</f>
        <v>10-7</v>
      </c>
      <c r="I139" t="s">
        <v>716</v>
      </c>
      <c r="J139" t="str">
        <f>IF(AND(SD!$C$19=SD!$H$2,Grade!$G$1="Per level"),VLOOKUP(B139,Grade!$E$1:$F$200,2,FALSE),IF(AND(SD!$C$19=SD!$H$2,Grade!$G$1="Per Bar Size"),VLOOKUP(W139,Grade!$B$1:$C$12,2,0),SD!$C$19))</f>
        <v>A615 Grade 60</v>
      </c>
      <c r="K139" t="s">
        <v>66</v>
      </c>
      <c r="L139" s="24" t="str">
        <f>IFERROR(IF(A139&lt;&gt;A140,"",IF(DF139="No Lap","",IF(K140="Lap",U139,IF(K140="Coupler",_xlfn._xlws.FILTER(CCoupler,(CCName=SD!$C$8)*(CBSize=IF(A138=A139,W139&amp;W140,W139&amp;W139))*(CCMFM="Male")),"")))),"N/A")</f>
        <v>5-1</v>
      </c>
      <c r="M139" t="str">
        <f t="shared" si="6"/>
        <v/>
      </c>
      <c r="N139" t="s">
        <v>692</v>
      </c>
      <c r="O139" t="s">
        <v>693</v>
      </c>
      <c r="P139" t="s">
        <v>692</v>
      </c>
      <c r="Q139" t="str">
        <f>IF(AND(SD!$C$29=SD!$P$2,Grade!$O$1="Per level"),VLOOKUP(B139,Grade!$M$1:$N$200,2,FALSE),IF(AND(SD!$C$29=SD!$P$2,Grade!$O$1="Per Bar Size"),VLOOKUP(LEFT(N139,FIND("@",N139)-2),Grade!$J$1:$K$12,2,0),SD!$C$29))</f>
        <v>A615 Grade 60</v>
      </c>
      <c r="R139" t="s">
        <v>715</v>
      </c>
      <c r="S139" s="57">
        <v>139</v>
      </c>
      <c r="U139" t="str">
        <f>IF(Data!$J139="",IFERROR(INDEX(IF(SD!$C$11="Create",Lap!$A$3:$BF$14,IF(SD!$C$11="Per Uploaded File",Lap!$A$19:$BF$30,"")),MATCH(W139,Lap!$A$3:$A$14,0),MATCH(VALUE(D139),Lap!$A$3:$BF$3,0)+IF(IFERROR(FIND("Grade 60",J139),0)&gt;0,0,IF(IFERROR(FIND("Grade 80",J139),0),1,IF(IFERROR(FIND("Grade 75",J139),0),2,"")))),""),Data!J139)</f>
        <v>5-1</v>
      </c>
      <c r="W139" t="s">
        <v>166</v>
      </c>
      <c r="X139">
        <v>6</v>
      </c>
      <c r="Y139" t="str">
        <f t="shared" si="7"/>
        <v>30</v>
      </c>
      <c r="Z139">
        <f t="shared" si="8"/>
        <v>0</v>
      </c>
      <c r="DE139" t="s">
        <v>831</v>
      </c>
      <c r="DF139" t="s">
        <v>66</v>
      </c>
      <c r="DG139" t="str">
        <f>VLOOKUP(W139,'Level Wise PSI'!$F$2:$G$12,2,FALSE)</f>
        <v>Double Lift</v>
      </c>
    </row>
    <row r="140" spans="1:111" x14ac:dyDescent="0.25">
      <c r="A140">
        <v>46</v>
      </c>
      <c r="B140" t="s">
        <v>682</v>
      </c>
      <c r="C140" s="15">
        <v>2429</v>
      </c>
      <c r="D140" s="15">
        <v>10000</v>
      </c>
      <c r="E140" t="str">
        <f>IF(B140=Level!$A$2,SD!$C$14,SD!$C$13)</f>
        <v>0-8</v>
      </c>
      <c r="F140" s="15" t="s">
        <v>763</v>
      </c>
      <c r="G140" t="s">
        <v>715</v>
      </c>
      <c r="H140" t="str">
        <f>RIGHT(VLOOKUP(B140,Level!A:C,3,FALSE),LEN(VLOOKUP(B140,Level!A:C,3,FALSE))-1)</f>
        <v>10-7</v>
      </c>
      <c r="I140" t="s">
        <v>717</v>
      </c>
      <c r="J140" t="str">
        <f>IF(AND(SD!$C$19=SD!$H$2,Grade!$G$1="Per level"),VLOOKUP(B140,Grade!$E$1:$F$200,2,FALSE),IF(AND(SD!$C$19=SD!$H$2,Grade!$G$1="Per Bar Size"),VLOOKUP(W140,Grade!$B$1:$C$12,2,0),SD!$C$19))</f>
        <v>A615 Grade 60</v>
      </c>
      <c r="K140" t="s">
        <v>66</v>
      </c>
      <c r="L140" s="24" t="str">
        <f>IFERROR(IF(A140&lt;&gt;A141,"",IF(DF140="No Lap","",IF(K141="Lap",U140,IF(K141="Coupler",_xlfn._xlws.FILTER(CCoupler,(CCName=SD!$C$8)*(CBSize=IF(A139=A140,W140&amp;W141,W140&amp;W140))*(CCMFM="Male")),"")))),"N/A")</f>
        <v/>
      </c>
      <c r="M140" t="str">
        <f t="shared" si="6"/>
        <v/>
      </c>
      <c r="N140" t="s">
        <v>692</v>
      </c>
      <c r="O140" t="s">
        <v>693</v>
      </c>
      <c r="P140" t="s">
        <v>692</v>
      </c>
      <c r="Q140" t="str">
        <f>IF(AND(SD!$C$29=SD!$P$2,Grade!$O$1="Per level"),VLOOKUP(B140,Grade!$M$1:$N$200,2,FALSE),IF(AND(SD!$C$29=SD!$P$2,Grade!$O$1="Per Bar Size"),VLOOKUP(LEFT(N140,FIND("@",N140)-2),Grade!$J$1:$K$12,2,0),SD!$C$29))</f>
        <v>A615 Grade 60</v>
      </c>
      <c r="R140" t="s">
        <v>715</v>
      </c>
      <c r="S140" s="57">
        <v>140</v>
      </c>
      <c r="U140" t="str">
        <f>IF(Data!$J140="",IFERROR(INDEX(IF(SD!$C$11="Create",Lap!$A$3:$BF$14,IF(SD!$C$11="Per Uploaded File",Lap!$A$19:$BF$30,"")),MATCH(W140,Lap!$A$3:$A$14,0),MATCH(VALUE(D140),Lap!$A$3:$BF$3,0)+IF(IFERROR(FIND("Grade 60",J140),0)&gt;0,0,IF(IFERROR(FIND("Grade 80",J140),0),1,IF(IFERROR(FIND("Grade 75",J140),0),2,"")))),""),Data!J140)</f>
        <v>4-0</v>
      </c>
      <c r="W140" t="s">
        <v>142</v>
      </c>
      <c r="X140">
        <v>10</v>
      </c>
      <c r="Y140" t="str">
        <f t="shared" si="7"/>
        <v>30</v>
      </c>
      <c r="Z140">
        <f t="shared" si="8"/>
        <v>0</v>
      </c>
      <c r="DE140" t="s">
        <v>831</v>
      </c>
      <c r="DF140" t="s">
        <v>66</v>
      </c>
      <c r="DG140" t="str">
        <f>VLOOKUP(W140,'Level Wise PSI'!$F$2:$G$12,2,FALSE)</f>
        <v>Double Lift</v>
      </c>
    </row>
    <row r="141" spans="1:111" x14ac:dyDescent="0.25">
      <c r="A141">
        <v>47</v>
      </c>
      <c r="B141" t="s">
        <v>658</v>
      </c>
      <c r="C141" s="15">
        <v>2429</v>
      </c>
      <c r="D141" s="15">
        <v>10000</v>
      </c>
      <c r="E141" s="15" t="s">
        <v>751</v>
      </c>
      <c r="F141" s="15" t="s">
        <v>763</v>
      </c>
      <c r="G141" t="s">
        <v>713</v>
      </c>
      <c r="H141" s="15" t="s">
        <v>760</v>
      </c>
      <c r="I141" t="s">
        <v>714</v>
      </c>
      <c r="J141" t="str">
        <f>IF(AND(SD!$C$19=SD!$H$2,Grade!$G$1="Per level"),VLOOKUP(B141,Grade!$E$1:$F$200,2,FALSE),IF(AND(SD!$C$19=SD!$H$2,Grade!$G$1="Per Bar Size"),VLOOKUP(W141,Grade!$B$1:$C$12,2,0),SD!$C$19))</f>
        <v>A615 Grade 60</v>
      </c>
      <c r="K141" t="s">
        <v>66</v>
      </c>
      <c r="L141" s="24" t="str">
        <f>IFERROR(IF(A141&lt;&gt;A142,"",IF(DF141="No Lap","",IF(K142="Lap",U141,IF(K142="Coupler",_xlfn._xlws.FILTER(CCoupler,(CCName=SD!$C$8)*(CBSize=IF(A140=A141,W141&amp;W142,W141&amp;W141))*(CCMFM="Male")),"")))),"N/A")</f>
        <v>5-1</v>
      </c>
      <c r="M141" t="str">
        <f t="shared" si="6"/>
        <v/>
      </c>
      <c r="N141" t="s">
        <v>692</v>
      </c>
      <c r="O141" t="s">
        <v>693</v>
      </c>
      <c r="P141" t="s">
        <v>692</v>
      </c>
      <c r="Q141" t="str">
        <f>IF(AND(SD!$C$29=SD!$P$2,Grade!$O$1="Per level"),VLOOKUP(B141,Grade!$M$1:$N$200,2,FALSE),IF(AND(SD!$C$29=SD!$P$2,Grade!$O$1="Per Bar Size"),VLOOKUP(LEFT(N141,FIND("@",N141)-2),Grade!$J$1:$K$12,2,0),SD!$C$29))</f>
        <v>A615 Grade 60</v>
      </c>
      <c r="R141" t="s">
        <v>713</v>
      </c>
      <c r="S141" s="57">
        <v>141</v>
      </c>
      <c r="U141" t="str">
        <f>IF(Data!$J141="",IFERROR(INDEX(IF(SD!$C$11="Create",Lap!$A$3:$BF$14,IF(SD!$C$11="Per Uploaded File",Lap!$A$19:$BF$30,"")),MATCH(W141,Lap!$A$3:$A$14,0),MATCH(VALUE(D141),Lap!$A$3:$BF$3,0)+IF(IFERROR(FIND("Grade 60",J141),0)&gt;0,0,IF(IFERROR(FIND("Grade 80",J141),0),1,IF(IFERROR(FIND("Grade 75",J141),0),2,"")))),""),Data!J141)</f>
        <v>5-1</v>
      </c>
      <c r="W141" t="s">
        <v>166</v>
      </c>
      <c r="X141">
        <v>10</v>
      </c>
      <c r="Y141" t="str">
        <f t="shared" si="7"/>
        <v>36</v>
      </c>
      <c r="Z141">
        <f t="shared" si="8"/>
        <v>0</v>
      </c>
      <c r="DE141" t="s">
        <v>831</v>
      </c>
      <c r="DF141" t="s">
        <v>66</v>
      </c>
      <c r="DG141" t="str">
        <f>VLOOKUP(W141,'Level Wise PSI'!$F$2:$G$12,2,FALSE)</f>
        <v>Double Lift</v>
      </c>
    </row>
    <row r="142" spans="1:111" x14ac:dyDescent="0.25">
      <c r="A142">
        <v>47</v>
      </c>
      <c r="B142" t="s">
        <v>661</v>
      </c>
      <c r="C142" s="15">
        <v>2429</v>
      </c>
      <c r="D142" s="15">
        <v>10000</v>
      </c>
      <c r="E142" t="str">
        <f>IF(B142=Level!$A$2,SD!$C$14,SD!$C$13)</f>
        <v>0-8</v>
      </c>
      <c r="F142" s="15" t="s">
        <v>763</v>
      </c>
      <c r="G142" t="s">
        <v>713</v>
      </c>
      <c r="H142" t="str">
        <f>RIGHT(VLOOKUP(B142,Level!A:C,3,FALSE),LEN(VLOOKUP(B142,Level!A:C,3,FALSE))-1)</f>
        <v>10-7</v>
      </c>
      <c r="I142" t="s">
        <v>714</v>
      </c>
      <c r="J142" t="str">
        <f>IF(AND(SD!$C$19=SD!$H$2,Grade!$G$1="Per level"),VLOOKUP(B142,Grade!$E$1:$F$200,2,FALSE),IF(AND(SD!$C$19=SD!$H$2,Grade!$G$1="Per Bar Size"),VLOOKUP(W142,Grade!$B$1:$C$12,2,0),SD!$C$19))</f>
        <v>A615 Grade 60</v>
      </c>
      <c r="K142" t="s">
        <v>66</v>
      </c>
      <c r="L142" s="24" t="str">
        <f>IFERROR(IF(A142&lt;&gt;A143,"",IF(DF142="No Lap","",IF(K143="Lap",U142,IF(K143="Coupler",_xlfn._xlws.FILTER(CCoupler,(CCName=SD!$C$8)*(CBSize=IF(A141=A142,W142&amp;W143,W142&amp;W142))*(CCMFM="Male")),"")))),"N/A")</f>
        <v>5-1</v>
      </c>
      <c r="M142" t="str">
        <f t="shared" si="6"/>
        <v/>
      </c>
      <c r="N142" t="s">
        <v>692</v>
      </c>
      <c r="O142" t="s">
        <v>693</v>
      </c>
      <c r="P142" t="s">
        <v>692</v>
      </c>
      <c r="Q142" t="str">
        <f>IF(AND(SD!$C$29=SD!$P$2,Grade!$O$1="Per level"),VLOOKUP(B142,Grade!$M$1:$N$200,2,FALSE),IF(AND(SD!$C$29=SD!$P$2,Grade!$O$1="Per Bar Size"),VLOOKUP(LEFT(N142,FIND("@",N142)-2),Grade!$J$1:$K$12,2,0),SD!$C$29))</f>
        <v>A615 Grade 60</v>
      </c>
      <c r="R142" t="s">
        <v>713</v>
      </c>
      <c r="S142" s="57">
        <v>142</v>
      </c>
      <c r="U142" t="str">
        <f>IF(Data!$J142="",IFERROR(INDEX(IF(SD!$C$11="Create",Lap!$A$3:$BF$14,IF(SD!$C$11="Per Uploaded File",Lap!$A$19:$BF$30,"")),MATCH(W142,Lap!$A$3:$A$14,0),MATCH(VALUE(D142),Lap!$A$3:$BF$3,0)+IF(IFERROR(FIND("Grade 60",J142),0)&gt;0,0,IF(IFERROR(FIND("Grade 80",J142),0),1,IF(IFERROR(FIND("Grade 75",J142),0),2,"")))),""),Data!J142)</f>
        <v>5-1</v>
      </c>
      <c r="W142" t="s">
        <v>166</v>
      </c>
      <c r="X142">
        <v>10</v>
      </c>
      <c r="Y142" t="str">
        <f t="shared" si="7"/>
        <v>36</v>
      </c>
      <c r="Z142">
        <f t="shared" si="8"/>
        <v>0</v>
      </c>
      <c r="DE142" t="s">
        <v>831</v>
      </c>
      <c r="DF142" t="s">
        <v>66</v>
      </c>
      <c r="DG142" t="str">
        <f>VLOOKUP(W142,'Level Wise PSI'!$F$2:$G$12,2,FALSE)</f>
        <v>Double Lift</v>
      </c>
    </row>
    <row r="143" spans="1:111" x14ac:dyDescent="0.25">
      <c r="A143">
        <v>47</v>
      </c>
      <c r="B143" t="s">
        <v>664</v>
      </c>
      <c r="C143" s="15">
        <v>2429</v>
      </c>
      <c r="D143" s="15">
        <v>10000</v>
      </c>
      <c r="E143" t="str">
        <f>IF(B143=Level!$A$2,SD!$C$14,SD!$C$13)</f>
        <v>0-8</v>
      </c>
      <c r="F143" s="15" t="s">
        <v>763</v>
      </c>
      <c r="G143" t="s">
        <v>715</v>
      </c>
      <c r="H143" t="str">
        <f>RIGHT(VLOOKUP(B143,Level!A:C,3,FALSE),LEN(VLOOKUP(B143,Level!A:C,3,FALSE))-1)</f>
        <v>10-7</v>
      </c>
      <c r="I143" t="s">
        <v>716</v>
      </c>
      <c r="J143" t="str">
        <f>IF(AND(SD!$C$19=SD!$H$2,Grade!$G$1="Per level"),VLOOKUP(B143,Grade!$E$1:$F$200,2,FALSE),IF(AND(SD!$C$19=SD!$H$2,Grade!$G$1="Per Bar Size"),VLOOKUP(W143,Grade!$B$1:$C$12,2,0),SD!$C$19))</f>
        <v>A615 Grade 60</v>
      </c>
      <c r="K143" t="s">
        <v>66</v>
      </c>
      <c r="L143" s="24" t="str">
        <f>IFERROR(IF(A143&lt;&gt;A144,"",IF(DF143="No Lap","",IF(K144="Lap",U143,IF(K144="Coupler",_xlfn._xlws.FILTER(CCoupler,(CCName=SD!$C$8)*(CBSize=IF(A142=A143,W143&amp;W144,W143&amp;W143))*(CCMFM="Male")),"")))),"N/A")</f>
        <v>5-1</v>
      </c>
      <c r="M143" t="str">
        <f t="shared" si="6"/>
        <v/>
      </c>
      <c r="N143" t="s">
        <v>692</v>
      </c>
      <c r="O143" t="s">
        <v>693</v>
      </c>
      <c r="P143" t="s">
        <v>692</v>
      </c>
      <c r="Q143" t="str">
        <f>IF(AND(SD!$C$29=SD!$P$2,Grade!$O$1="Per level"),VLOOKUP(B143,Grade!$M$1:$N$200,2,FALSE),IF(AND(SD!$C$29=SD!$P$2,Grade!$O$1="Per Bar Size"),VLOOKUP(LEFT(N143,FIND("@",N143)-2),Grade!$J$1:$K$12,2,0),SD!$C$29))</f>
        <v>A615 Grade 60</v>
      </c>
      <c r="R143" t="s">
        <v>715</v>
      </c>
      <c r="S143" s="57">
        <v>143</v>
      </c>
      <c r="U143" t="str">
        <f>IF(Data!$J143="",IFERROR(INDEX(IF(SD!$C$11="Create",Lap!$A$3:$BF$14,IF(SD!$C$11="Per Uploaded File",Lap!$A$19:$BF$30,"")),MATCH(W143,Lap!$A$3:$A$14,0),MATCH(VALUE(D143),Lap!$A$3:$BF$3,0)+IF(IFERROR(FIND("Grade 60",J143),0)&gt;0,0,IF(IFERROR(FIND("Grade 80",J143),0),1,IF(IFERROR(FIND("Grade 75",J143),0),2,"")))),""),Data!J143)</f>
        <v>5-1</v>
      </c>
      <c r="W143" t="s">
        <v>166</v>
      </c>
      <c r="X143">
        <v>6</v>
      </c>
      <c r="Y143" t="str">
        <f t="shared" si="7"/>
        <v>30</v>
      </c>
      <c r="Z143">
        <f t="shared" si="8"/>
        <v>0</v>
      </c>
      <c r="DE143" t="s">
        <v>831</v>
      </c>
      <c r="DF143" t="s">
        <v>66</v>
      </c>
      <c r="DG143" t="str">
        <f>VLOOKUP(W143,'Level Wise PSI'!$F$2:$G$12,2,FALSE)</f>
        <v>Double Lift</v>
      </c>
    </row>
    <row r="144" spans="1:111" x14ac:dyDescent="0.25">
      <c r="A144">
        <v>47</v>
      </c>
      <c r="B144" t="s">
        <v>666</v>
      </c>
      <c r="C144" s="15">
        <v>2429</v>
      </c>
      <c r="D144" s="15">
        <v>10000</v>
      </c>
      <c r="E144" t="str">
        <f>IF(B144=Level!$A$2,SD!$C$14,SD!$C$13)</f>
        <v>0-8</v>
      </c>
      <c r="F144" s="15" t="s">
        <v>763</v>
      </c>
      <c r="G144" t="s">
        <v>715</v>
      </c>
      <c r="H144" t="str">
        <f>RIGHT(VLOOKUP(B144,Level!A:C,3,FALSE),LEN(VLOOKUP(B144,Level!A:C,3,FALSE))-1)</f>
        <v>10-7</v>
      </c>
      <c r="I144" t="s">
        <v>716</v>
      </c>
      <c r="J144" t="str">
        <f>IF(AND(SD!$C$19=SD!$H$2,Grade!$G$1="Per level"),VLOOKUP(B144,Grade!$E$1:$F$200,2,FALSE),IF(AND(SD!$C$19=SD!$H$2,Grade!$G$1="Per Bar Size"),VLOOKUP(W144,Grade!$B$1:$C$12,2,0),SD!$C$19))</f>
        <v>A615 Grade 60</v>
      </c>
      <c r="K144" t="s">
        <v>66</v>
      </c>
      <c r="L144" s="24" t="str">
        <f>IFERROR(IF(A144&lt;&gt;A145,"",IF(DF144="No Lap","",IF(K145="Lap",U144,IF(K145="Coupler",_xlfn._xlws.FILTER(CCoupler,(CCName=SD!$C$8)*(CBSize=IF(A143=A144,W144&amp;W145,W144&amp;W144))*(CCMFM="Male")),"")))),"N/A")</f>
        <v>5-1</v>
      </c>
      <c r="M144" t="str">
        <f t="shared" si="6"/>
        <v/>
      </c>
      <c r="N144" t="s">
        <v>692</v>
      </c>
      <c r="O144" t="s">
        <v>693</v>
      </c>
      <c r="P144" t="s">
        <v>692</v>
      </c>
      <c r="Q144" t="str">
        <f>IF(AND(SD!$C$29=SD!$P$2,Grade!$O$1="Per level"),VLOOKUP(B144,Grade!$M$1:$N$200,2,FALSE),IF(AND(SD!$C$29=SD!$P$2,Grade!$O$1="Per Bar Size"),VLOOKUP(LEFT(N144,FIND("@",N144)-2),Grade!$J$1:$K$12,2,0),SD!$C$29))</f>
        <v>A615 Grade 60</v>
      </c>
      <c r="R144" t="s">
        <v>715</v>
      </c>
      <c r="S144" s="57">
        <v>144</v>
      </c>
      <c r="U144" t="str">
        <f>IF(Data!$J144="",IFERROR(INDEX(IF(SD!$C$11="Create",Lap!$A$3:$BF$14,IF(SD!$C$11="Per Uploaded File",Lap!$A$19:$BF$30,"")),MATCH(W144,Lap!$A$3:$A$14,0),MATCH(VALUE(D144),Lap!$A$3:$BF$3,0)+IF(IFERROR(FIND("Grade 60",J144),0)&gt;0,0,IF(IFERROR(FIND("Grade 80",J144),0),1,IF(IFERROR(FIND("Grade 75",J144),0),2,"")))),""),Data!J144)</f>
        <v>5-1</v>
      </c>
      <c r="W144" t="s">
        <v>166</v>
      </c>
      <c r="X144">
        <v>6</v>
      </c>
      <c r="Y144" t="str">
        <f t="shared" si="7"/>
        <v>30</v>
      </c>
      <c r="Z144">
        <f t="shared" si="8"/>
        <v>0</v>
      </c>
      <c r="DE144" t="s">
        <v>831</v>
      </c>
      <c r="DF144" t="s">
        <v>66</v>
      </c>
      <c r="DG144" t="str">
        <f>VLOOKUP(W144,'Level Wise PSI'!$F$2:$G$12,2,FALSE)</f>
        <v>Double Lift</v>
      </c>
    </row>
    <row r="145" spans="1:111" x14ac:dyDescent="0.25">
      <c r="A145">
        <v>47</v>
      </c>
      <c r="B145" t="s">
        <v>668</v>
      </c>
      <c r="C145" s="15">
        <v>2429</v>
      </c>
      <c r="D145" s="15">
        <v>10000</v>
      </c>
      <c r="E145" t="str">
        <f>IF(B145=Level!$A$2,SD!$C$14,SD!$C$13)</f>
        <v>0-8</v>
      </c>
      <c r="F145" s="15" t="s">
        <v>763</v>
      </c>
      <c r="G145" t="s">
        <v>715</v>
      </c>
      <c r="H145" t="str">
        <f>RIGHT(VLOOKUP(B145,Level!A:C,3,FALSE),LEN(VLOOKUP(B145,Level!A:C,3,FALSE))-1)</f>
        <v>10-7</v>
      </c>
      <c r="I145" t="s">
        <v>716</v>
      </c>
      <c r="J145" t="str">
        <f>IF(AND(SD!$C$19=SD!$H$2,Grade!$G$1="Per level"),VLOOKUP(B145,Grade!$E$1:$F$200,2,FALSE),IF(AND(SD!$C$19=SD!$H$2,Grade!$G$1="Per Bar Size"),VLOOKUP(W145,Grade!$B$1:$C$12,2,0),SD!$C$19))</f>
        <v>A615 Grade 60</v>
      </c>
      <c r="K145" t="s">
        <v>66</v>
      </c>
      <c r="L145" s="24" t="str">
        <f>IFERROR(IF(A145&lt;&gt;A146,"",IF(DF145="No Lap","",IF(K146="Lap",U145,IF(K146="Coupler",_xlfn._xlws.FILTER(CCoupler,(CCName=SD!$C$8)*(CBSize=IF(A144=A145,W145&amp;W146,W145&amp;W145))*(CCMFM="Male")),"")))),"N/A")</f>
        <v>5-1</v>
      </c>
      <c r="M145" t="str">
        <f t="shared" si="6"/>
        <v/>
      </c>
      <c r="N145" t="s">
        <v>692</v>
      </c>
      <c r="O145" t="s">
        <v>693</v>
      </c>
      <c r="P145" t="s">
        <v>692</v>
      </c>
      <c r="Q145" t="str">
        <f>IF(AND(SD!$C$29=SD!$P$2,Grade!$O$1="Per level"),VLOOKUP(B145,Grade!$M$1:$N$200,2,FALSE),IF(AND(SD!$C$29=SD!$P$2,Grade!$O$1="Per Bar Size"),VLOOKUP(LEFT(N145,FIND("@",N145)-2),Grade!$J$1:$K$12,2,0),SD!$C$29))</f>
        <v>A615 Grade 60</v>
      </c>
      <c r="R145" t="s">
        <v>715</v>
      </c>
      <c r="S145" s="57">
        <v>145</v>
      </c>
      <c r="U145" t="str">
        <f>IF(Data!$J145="",IFERROR(INDEX(IF(SD!$C$11="Create",Lap!$A$3:$BF$14,IF(SD!$C$11="Per Uploaded File",Lap!$A$19:$BF$30,"")),MATCH(W145,Lap!$A$3:$A$14,0),MATCH(VALUE(D145),Lap!$A$3:$BF$3,0)+IF(IFERROR(FIND("Grade 60",J145),0)&gt;0,0,IF(IFERROR(FIND("Grade 80",J145),0),1,IF(IFERROR(FIND("Grade 75",J145),0),2,"")))),""),Data!J145)</f>
        <v>5-1</v>
      </c>
      <c r="W145" t="s">
        <v>166</v>
      </c>
      <c r="X145">
        <v>6</v>
      </c>
      <c r="Y145" t="str">
        <f t="shared" si="7"/>
        <v>30</v>
      </c>
      <c r="Z145">
        <f t="shared" si="8"/>
        <v>0</v>
      </c>
      <c r="DE145" t="s">
        <v>831</v>
      </c>
      <c r="DF145" t="s">
        <v>66</v>
      </c>
      <c r="DG145" t="str">
        <f>VLOOKUP(W145,'Level Wise PSI'!$F$2:$G$12,2,FALSE)</f>
        <v>Double Lift</v>
      </c>
    </row>
    <row r="146" spans="1:111" x14ac:dyDescent="0.25">
      <c r="A146">
        <v>47</v>
      </c>
      <c r="B146" t="s">
        <v>670</v>
      </c>
      <c r="C146" s="15">
        <v>2429</v>
      </c>
      <c r="D146" s="15">
        <v>10000</v>
      </c>
      <c r="E146" t="str">
        <f>IF(B146=Level!$A$2,SD!$C$14,SD!$C$13)</f>
        <v>0-8</v>
      </c>
      <c r="F146" s="15" t="s">
        <v>763</v>
      </c>
      <c r="G146" t="s">
        <v>715</v>
      </c>
      <c r="H146" t="str">
        <f>RIGHT(VLOOKUP(B146,Level!A:C,3,FALSE),LEN(VLOOKUP(B146,Level!A:C,3,FALSE))-1)</f>
        <v>10-7</v>
      </c>
      <c r="I146" t="s">
        <v>716</v>
      </c>
      <c r="J146" t="str">
        <f>IF(AND(SD!$C$19=SD!$H$2,Grade!$G$1="Per level"),VLOOKUP(B146,Grade!$E$1:$F$200,2,FALSE),IF(AND(SD!$C$19=SD!$H$2,Grade!$G$1="Per Bar Size"),VLOOKUP(W146,Grade!$B$1:$C$12,2,0),SD!$C$19))</f>
        <v>A615 Grade 60</v>
      </c>
      <c r="K146" t="s">
        <v>66</v>
      </c>
      <c r="L146" s="24" t="str">
        <f>IFERROR(IF(A146&lt;&gt;A147,"",IF(DF146="No Lap","",IF(K147="Lap",U146,IF(K147="Coupler",_xlfn._xlws.FILTER(CCoupler,(CCName=SD!$C$8)*(CBSize=IF(A145=A146,W146&amp;W147,W146&amp;W146))*(CCMFM="Male")),"")))),"N/A")</f>
        <v>5-1</v>
      </c>
      <c r="M146" t="str">
        <f t="shared" si="6"/>
        <v/>
      </c>
      <c r="N146" t="s">
        <v>692</v>
      </c>
      <c r="O146" t="s">
        <v>693</v>
      </c>
      <c r="P146" t="s">
        <v>692</v>
      </c>
      <c r="Q146" t="str">
        <f>IF(AND(SD!$C$29=SD!$P$2,Grade!$O$1="Per level"),VLOOKUP(B146,Grade!$M$1:$N$200,2,FALSE),IF(AND(SD!$C$29=SD!$P$2,Grade!$O$1="Per Bar Size"),VLOOKUP(LEFT(N146,FIND("@",N146)-2),Grade!$J$1:$K$12,2,0),SD!$C$29))</f>
        <v>A615 Grade 60</v>
      </c>
      <c r="R146" t="s">
        <v>715</v>
      </c>
      <c r="S146" s="57">
        <v>146</v>
      </c>
      <c r="U146" t="str">
        <f>IF(Data!$J146="",IFERROR(INDEX(IF(SD!$C$11="Create",Lap!$A$3:$BF$14,IF(SD!$C$11="Per Uploaded File",Lap!$A$19:$BF$30,"")),MATCH(W146,Lap!$A$3:$A$14,0),MATCH(VALUE(D146),Lap!$A$3:$BF$3,0)+IF(IFERROR(FIND("Grade 60",J146),0)&gt;0,0,IF(IFERROR(FIND("Grade 80",J146),0),1,IF(IFERROR(FIND("Grade 75",J146),0),2,"")))),""),Data!J146)</f>
        <v>5-1</v>
      </c>
      <c r="W146" t="s">
        <v>166</v>
      </c>
      <c r="X146">
        <v>6</v>
      </c>
      <c r="Y146" t="str">
        <f t="shared" si="7"/>
        <v>30</v>
      </c>
      <c r="Z146">
        <f t="shared" si="8"/>
        <v>0</v>
      </c>
      <c r="DE146" t="s">
        <v>831</v>
      </c>
      <c r="DF146" t="s">
        <v>66</v>
      </c>
      <c r="DG146" t="str">
        <f>VLOOKUP(W146,'Level Wise PSI'!$F$2:$G$12,2,FALSE)</f>
        <v>Double Lift</v>
      </c>
    </row>
    <row r="147" spans="1:111" x14ac:dyDescent="0.25">
      <c r="A147">
        <v>47</v>
      </c>
      <c r="B147" t="s">
        <v>672</v>
      </c>
      <c r="C147" s="15">
        <v>2429</v>
      </c>
      <c r="D147" s="15">
        <v>10000</v>
      </c>
      <c r="E147" t="str">
        <f>IF(B147=Level!$A$2,SD!$C$14,SD!$C$13)</f>
        <v>0-8</v>
      </c>
      <c r="F147" s="15" t="s">
        <v>763</v>
      </c>
      <c r="G147" t="s">
        <v>715</v>
      </c>
      <c r="H147" t="str">
        <f>RIGHT(VLOOKUP(B147,Level!A:C,3,FALSE),LEN(VLOOKUP(B147,Level!A:C,3,FALSE))-1)</f>
        <v>10-7</v>
      </c>
      <c r="I147" t="s">
        <v>716</v>
      </c>
      <c r="J147" t="str">
        <f>IF(AND(SD!$C$19=SD!$H$2,Grade!$G$1="Per level"),VLOOKUP(B147,Grade!$E$1:$F$200,2,FALSE),IF(AND(SD!$C$19=SD!$H$2,Grade!$G$1="Per Bar Size"),VLOOKUP(W147,Grade!$B$1:$C$12,2,0),SD!$C$19))</f>
        <v>A615 Grade 60</v>
      </c>
      <c r="K147" t="s">
        <v>66</v>
      </c>
      <c r="L147" s="24" t="str">
        <f>IFERROR(IF(A147&lt;&gt;A148,"",IF(DF147="No Lap","",IF(K148="Lap",U147,IF(K148="Coupler",_xlfn._xlws.FILTER(CCoupler,(CCName=SD!$C$8)*(CBSize=IF(A146=A147,W147&amp;W148,W147&amp;W147))*(CCMFM="Male")),"")))),"N/A")</f>
        <v>5-1</v>
      </c>
      <c r="M147" t="str">
        <f t="shared" si="6"/>
        <v/>
      </c>
      <c r="N147" t="s">
        <v>692</v>
      </c>
      <c r="O147" t="s">
        <v>693</v>
      </c>
      <c r="P147" t="s">
        <v>692</v>
      </c>
      <c r="Q147" t="str">
        <f>IF(AND(SD!$C$29=SD!$P$2,Grade!$O$1="Per level"),VLOOKUP(B147,Grade!$M$1:$N$200,2,FALSE),IF(AND(SD!$C$29=SD!$P$2,Grade!$O$1="Per Bar Size"),VLOOKUP(LEFT(N147,FIND("@",N147)-2),Grade!$J$1:$K$12,2,0),SD!$C$29))</f>
        <v>A615 Grade 60</v>
      </c>
      <c r="R147" t="s">
        <v>715</v>
      </c>
      <c r="S147" s="57">
        <v>147</v>
      </c>
      <c r="U147" t="str">
        <f>IF(Data!$J147="",IFERROR(INDEX(IF(SD!$C$11="Create",Lap!$A$3:$BF$14,IF(SD!$C$11="Per Uploaded File",Lap!$A$19:$BF$30,"")),MATCH(W147,Lap!$A$3:$A$14,0),MATCH(VALUE(D147),Lap!$A$3:$BF$3,0)+IF(IFERROR(FIND("Grade 60",J147),0)&gt;0,0,IF(IFERROR(FIND("Grade 80",J147),0),1,IF(IFERROR(FIND("Grade 75",J147),0),2,"")))),""),Data!J147)</f>
        <v>5-1</v>
      </c>
      <c r="W147" t="s">
        <v>166</v>
      </c>
      <c r="X147">
        <v>6</v>
      </c>
      <c r="Y147" t="str">
        <f t="shared" si="7"/>
        <v>30</v>
      </c>
      <c r="Z147">
        <f t="shared" si="8"/>
        <v>0</v>
      </c>
      <c r="DE147" t="s">
        <v>831</v>
      </c>
      <c r="DF147" t="s">
        <v>66</v>
      </c>
      <c r="DG147" t="str">
        <f>VLOOKUP(W147,'Level Wise PSI'!$F$2:$G$12,2,FALSE)</f>
        <v>Double Lift</v>
      </c>
    </row>
    <row r="148" spans="1:111" x14ac:dyDescent="0.25">
      <c r="A148">
        <v>47</v>
      </c>
      <c r="B148" t="s">
        <v>674</v>
      </c>
      <c r="C148" s="15">
        <v>2429</v>
      </c>
      <c r="D148" s="15">
        <v>10000</v>
      </c>
      <c r="E148" t="str">
        <f>IF(B148=Level!$A$2,SD!$C$14,SD!$C$13)</f>
        <v>0-8</v>
      </c>
      <c r="F148" s="15" t="s">
        <v>763</v>
      </c>
      <c r="G148" t="s">
        <v>715</v>
      </c>
      <c r="H148" t="str">
        <f>RIGHT(VLOOKUP(B148,Level!A:C,3,FALSE),LEN(VLOOKUP(B148,Level!A:C,3,FALSE))-1)</f>
        <v>10-7</v>
      </c>
      <c r="I148" t="s">
        <v>716</v>
      </c>
      <c r="J148" t="str">
        <f>IF(AND(SD!$C$19=SD!$H$2,Grade!$G$1="Per level"),VLOOKUP(B148,Grade!$E$1:$F$200,2,FALSE),IF(AND(SD!$C$19=SD!$H$2,Grade!$G$1="Per Bar Size"),VLOOKUP(W148,Grade!$B$1:$C$12,2,0),SD!$C$19))</f>
        <v>A615 Grade 60</v>
      </c>
      <c r="K148" t="s">
        <v>66</v>
      </c>
      <c r="L148" s="24" t="str">
        <f>IFERROR(IF(A148&lt;&gt;A149,"",IF(DF148="No Lap","",IF(K149="Lap",U148,IF(K149="Coupler",_xlfn._xlws.FILTER(CCoupler,(CCName=SD!$C$8)*(CBSize=IF(A147=A148,W148&amp;W149,W148&amp;W148))*(CCMFM="Male")),"")))),"N/A")</f>
        <v>5-1</v>
      </c>
      <c r="M148" t="str">
        <f t="shared" si="6"/>
        <v/>
      </c>
      <c r="N148" t="s">
        <v>692</v>
      </c>
      <c r="O148" t="s">
        <v>693</v>
      </c>
      <c r="P148" t="s">
        <v>692</v>
      </c>
      <c r="Q148" t="str">
        <f>IF(AND(SD!$C$29=SD!$P$2,Grade!$O$1="Per level"),VLOOKUP(B148,Grade!$M$1:$N$200,2,FALSE),IF(AND(SD!$C$29=SD!$P$2,Grade!$O$1="Per Bar Size"),VLOOKUP(LEFT(N148,FIND("@",N148)-2),Grade!$J$1:$K$12,2,0),SD!$C$29))</f>
        <v>A615 Grade 60</v>
      </c>
      <c r="R148" t="s">
        <v>715</v>
      </c>
      <c r="S148" s="57">
        <v>148</v>
      </c>
      <c r="U148" t="str">
        <f>IF(Data!$J148="",IFERROR(INDEX(IF(SD!$C$11="Create",Lap!$A$3:$BF$14,IF(SD!$C$11="Per Uploaded File",Lap!$A$19:$BF$30,"")),MATCH(W148,Lap!$A$3:$A$14,0),MATCH(VALUE(D148),Lap!$A$3:$BF$3,0)+IF(IFERROR(FIND("Grade 60",J148),0)&gt;0,0,IF(IFERROR(FIND("Grade 80",J148),0),1,IF(IFERROR(FIND("Grade 75",J148),0),2,"")))),""),Data!J148)</f>
        <v>5-1</v>
      </c>
      <c r="W148" t="s">
        <v>166</v>
      </c>
      <c r="X148">
        <v>6</v>
      </c>
      <c r="Y148" t="str">
        <f t="shared" si="7"/>
        <v>30</v>
      </c>
      <c r="Z148">
        <f t="shared" si="8"/>
        <v>0</v>
      </c>
      <c r="DE148" t="s">
        <v>831</v>
      </c>
      <c r="DF148" t="s">
        <v>66</v>
      </c>
      <c r="DG148" t="str">
        <f>VLOOKUP(W148,'Level Wise PSI'!$F$2:$G$12,2,FALSE)</f>
        <v>Double Lift</v>
      </c>
    </row>
    <row r="149" spans="1:111" x14ac:dyDescent="0.25">
      <c r="A149">
        <v>47</v>
      </c>
      <c r="B149" t="s">
        <v>676</v>
      </c>
      <c r="C149" s="15">
        <v>2429</v>
      </c>
      <c r="D149" s="15">
        <v>10000</v>
      </c>
      <c r="E149" t="str">
        <f>IF(B149=Level!$A$2,SD!$C$14,SD!$C$13)</f>
        <v>0-8</v>
      </c>
      <c r="F149" s="15" t="s">
        <v>763</v>
      </c>
      <c r="G149" t="s">
        <v>715</v>
      </c>
      <c r="H149" t="str">
        <f>RIGHT(VLOOKUP(B149,Level!A:C,3,FALSE),LEN(VLOOKUP(B149,Level!A:C,3,FALSE))-1)</f>
        <v>10-7</v>
      </c>
      <c r="I149" t="s">
        <v>716</v>
      </c>
      <c r="J149" t="str">
        <f>IF(AND(SD!$C$19=SD!$H$2,Grade!$G$1="Per level"),VLOOKUP(B149,Grade!$E$1:$F$200,2,FALSE),IF(AND(SD!$C$19=SD!$H$2,Grade!$G$1="Per Bar Size"),VLOOKUP(W149,Grade!$B$1:$C$12,2,0),SD!$C$19))</f>
        <v>A615 Grade 60</v>
      </c>
      <c r="K149" t="s">
        <v>66</v>
      </c>
      <c r="L149" s="24" t="str">
        <f>IFERROR(IF(A149&lt;&gt;A150,"",IF(DF149="No Lap","",IF(K150="Lap",U149,IF(K150="Coupler",_xlfn._xlws.FILTER(CCoupler,(CCName=SD!$C$8)*(CBSize=IF(A148=A149,W149&amp;W150,W149&amp;W149))*(CCMFM="Male")),"")))),"N/A")</f>
        <v>5-1</v>
      </c>
      <c r="M149" t="str">
        <f t="shared" si="6"/>
        <v/>
      </c>
      <c r="N149" t="s">
        <v>692</v>
      </c>
      <c r="O149" t="s">
        <v>693</v>
      </c>
      <c r="P149" t="s">
        <v>692</v>
      </c>
      <c r="Q149" t="str">
        <f>IF(AND(SD!$C$29=SD!$P$2,Grade!$O$1="Per level"),VLOOKUP(B149,Grade!$M$1:$N$200,2,FALSE),IF(AND(SD!$C$29=SD!$P$2,Grade!$O$1="Per Bar Size"),VLOOKUP(LEFT(N149,FIND("@",N149)-2),Grade!$J$1:$K$12,2,0),SD!$C$29))</f>
        <v>A615 Grade 60</v>
      </c>
      <c r="R149" t="s">
        <v>715</v>
      </c>
      <c r="S149" s="57">
        <v>149</v>
      </c>
      <c r="U149" t="str">
        <f>IF(Data!$J149="",IFERROR(INDEX(IF(SD!$C$11="Create",Lap!$A$3:$BF$14,IF(SD!$C$11="Per Uploaded File",Lap!$A$19:$BF$30,"")),MATCH(W149,Lap!$A$3:$A$14,0),MATCH(VALUE(D149),Lap!$A$3:$BF$3,0)+IF(IFERROR(FIND("Grade 60",J149),0)&gt;0,0,IF(IFERROR(FIND("Grade 80",J149),0),1,IF(IFERROR(FIND("Grade 75",J149),0),2,"")))),""),Data!J149)</f>
        <v>5-1</v>
      </c>
      <c r="W149" t="s">
        <v>166</v>
      </c>
      <c r="X149">
        <v>6</v>
      </c>
      <c r="Y149" t="str">
        <f t="shared" si="7"/>
        <v>30</v>
      </c>
      <c r="Z149">
        <f t="shared" si="8"/>
        <v>0</v>
      </c>
      <c r="DE149" t="s">
        <v>831</v>
      </c>
      <c r="DF149" t="s">
        <v>66</v>
      </c>
      <c r="DG149" t="str">
        <f>VLOOKUP(W149,'Level Wise PSI'!$F$2:$G$12,2,FALSE)</f>
        <v>Double Lift</v>
      </c>
    </row>
    <row r="150" spans="1:111" x14ac:dyDescent="0.25">
      <c r="A150">
        <v>47</v>
      </c>
      <c r="B150" t="s">
        <v>678</v>
      </c>
      <c r="C150" s="15">
        <v>2429</v>
      </c>
      <c r="D150" s="15">
        <v>10000</v>
      </c>
      <c r="E150" t="str">
        <f>IF(B150=Level!$A$2,SD!$C$14,SD!$C$13)</f>
        <v>0-8</v>
      </c>
      <c r="F150" s="15" t="s">
        <v>763</v>
      </c>
      <c r="G150" t="s">
        <v>715</v>
      </c>
      <c r="H150" t="str">
        <f>RIGHT(VLOOKUP(B150,Level!A:C,3,FALSE),LEN(VLOOKUP(B150,Level!A:C,3,FALSE))-1)</f>
        <v>10-7</v>
      </c>
      <c r="I150" t="s">
        <v>716</v>
      </c>
      <c r="J150" t="str">
        <f>IF(AND(SD!$C$19=SD!$H$2,Grade!$G$1="Per level"),VLOOKUP(B150,Grade!$E$1:$F$200,2,FALSE),IF(AND(SD!$C$19=SD!$H$2,Grade!$G$1="Per Bar Size"),VLOOKUP(W150,Grade!$B$1:$C$12,2,0),SD!$C$19))</f>
        <v>A615 Grade 60</v>
      </c>
      <c r="K150" t="s">
        <v>66</v>
      </c>
      <c r="L150" s="24" t="str">
        <f>IFERROR(IF(A150&lt;&gt;A151,"",IF(DF150="No Lap","",IF(K151="Lap",U150,IF(K151="Coupler",_xlfn._xlws.FILTER(CCoupler,(CCName=SD!$C$8)*(CBSize=IF(A149=A150,W150&amp;W151,W150&amp;W150))*(CCMFM="Male")),"")))),"N/A")</f>
        <v>5-1</v>
      </c>
      <c r="M150" t="str">
        <f t="shared" si="6"/>
        <v/>
      </c>
      <c r="N150" t="s">
        <v>692</v>
      </c>
      <c r="O150" t="s">
        <v>693</v>
      </c>
      <c r="P150" t="s">
        <v>692</v>
      </c>
      <c r="Q150" t="str">
        <f>IF(AND(SD!$C$29=SD!$P$2,Grade!$O$1="Per level"),VLOOKUP(B150,Grade!$M$1:$N$200,2,FALSE),IF(AND(SD!$C$29=SD!$P$2,Grade!$O$1="Per Bar Size"),VLOOKUP(LEFT(N150,FIND("@",N150)-2),Grade!$J$1:$K$12,2,0),SD!$C$29))</f>
        <v>A615 Grade 60</v>
      </c>
      <c r="R150" t="s">
        <v>715</v>
      </c>
      <c r="S150" s="57">
        <v>150</v>
      </c>
      <c r="U150" t="str">
        <f>IF(Data!$J150="",IFERROR(INDEX(IF(SD!$C$11="Create",Lap!$A$3:$BF$14,IF(SD!$C$11="Per Uploaded File",Lap!$A$19:$BF$30,"")),MATCH(W150,Lap!$A$3:$A$14,0),MATCH(VALUE(D150),Lap!$A$3:$BF$3,0)+IF(IFERROR(FIND("Grade 60",J150),0)&gt;0,0,IF(IFERROR(FIND("Grade 80",J150),0),1,IF(IFERROR(FIND("Grade 75",J150),0),2,"")))),""),Data!J150)</f>
        <v>5-1</v>
      </c>
      <c r="W150" t="s">
        <v>166</v>
      </c>
      <c r="X150">
        <v>6</v>
      </c>
      <c r="Y150" t="str">
        <f t="shared" si="7"/>
        <v>30</v>
      </c>
      <c r="Z150">
        <f t="shared" si="8"/>
        <v>0</v>
      </c>
      <c r="DE150" t="s">
        <v>831</v>
      </c>
      <c r="DF150" t="s">
        <v>66</v>
      </c>
      <c r="DG150" t="str">
        <f>VLOOKUP(W150,'Level Wise PSI'!$F$2:$G$12,2,FALSE)</f>
        <v>Double Lift</v>
      </c>
    </row>
    <row r="151" spans="1:111" x14ac:dyDescent="0.25">
      <c r="A151">
        <v>47</v>
      </c>
      <c r="B151" t="s">
        <v>680</v>
      </c>
      <c r="C151" s="15">
        <v>2429</v>
      </c>
      <c r="D151" s="15">
        <v>10000</v>
      </c>
      <c r="E151" t="str">
        <f>IF(B151=Level!$A$2,SD!$C$14,SD!$C$13)</f>
        <v>0-8</v>
      </c>
      <c r="F151" s="15" t="s">
        <v>763</v>
      </c>
      <c r="G151" t="s">
        <v>715</v>
      </c>
      <c r="H151" t="str">
        <f>RIGHT(VLOOKUP(B151,Level!A:C,3,FALSE),LEN(VLOOKUP(B151,Level!A:C,3,FALSE))-1)</f>
        <v>10-7</v>
      </c>
      <c r="I151" t="s">
        <v>716</v>
      </c>
      <c r="J151" t="str">
        <f>IF(AND(SD!$C$19=SD!$H$2,Grade!$G$1="Per level"),VLOOKUP(B151,Grade!$E$1:$F$200,2,FALSE),IF(AND(SD!$C$19=SD!$H$2,Grade!$G$1="Per Bar Size"),VLOOKUP(W151,Grade!$B$1:$C$12,2,0),SD!$C$19))</f>
        <v>A615 Grade 60</v>
      </c>
      <c r="K151" t="s">
        <v>66</v>
      </c>
      <c r="L151" s="24" t="str">
        <f>IFERROR(IF(A151&lt;&gt;A152,"",IF(DF151="No Lap","",IF(K152="Lap",U151,IF(K152="Coupler",_xlfn._xlws.FILTER(CCoupler,(CCName=SD!$C$8)*(CBSize=IF(A150=A151,W151&amp;W152,W151&amp;W151))*(CCMFM="Male")),"")))),"N/A")</f>
        <v>5-1</v>
      </c>
      <c r="M151" t="str">
        <f t="shared" si="6"/>
        <v/>
      </c>
      <c r="N151" t="s">
        <v>692</v>
      </c>
      <c r="O151" t="s">
        <v>693</v>
      </c>
      <c r="P151" t="s">
        <v>692</v>
      </c>
      <c r="Q151" t="str">
        <f>IF(AND(SD!$C$29=SD!$P$2,Grade!$O$1="Per level"),VLOOKUP(B151,Grade!$M$1:$N$200,2,FALSE),IF(AND(SD!$C$29=SD!$P$2,Grade!$O$1="Per Bar Size"),VLOOKUP(LEFT(N151,FIND("@",N151)-2),Grade!$J$1:$K$12,2,0),SD!$C$29))</f>
        <v>A615 Grade 60</v>
      </c>
      <c r="R151" t="s">
        <v>715</v>
      </c>
      <c r="S151" s="57">
        <v>151</v>
      </c>
      <c r="U151" t="str">
        <f>IF(Data!$J151="",IFERROR(INDEX(IF(SD!$C$11="Create",Lap!$A$3:$BF$14,IF(SD!$C$11="Per Uploaded File",Lap!$A$19:$BF$30,"")),MATCH(W151,Lap!$A$3:$A$14,0),MATCH(VALUE(D151),Lap!$A$3:$BF$3,0)+IF(IFERROR(FIND("Grade 60",J151),0)&gt;0,0,IF(IFERROR(FIND("Grade 80",J151),0),1,IF(IFERROR(FIND("Grade 75",J151),0),2,"")))),""),Data!J151)</f>
        <v>5-1</v>
      </c>
      <c r="W151" t="s">
        <v>166</v>
      </c>
      <c r="X151">
        <v>6</v>
      </c>
      <c r="Y151" t="str">
        <f t="shared" si="7"/>
        <v>30</v>
      </c>
      <c r="Z151">
        <f t="shared" si="8"/>
        <v>0</v>
      </c>
      <c r="DE151" t="s">
        <v>831</v>
      </c>
      <c r="DF151" t="s">
        <v>66</v>
      </c>
      <c r="DG151" t="str">
        <f>VLOOKUP(W151,'Level Wise PSI'!$F$2:$G$12,2,FALSE)</f>
        <v>Double Lift</v>
      </c>
    </row>
    <row r="152" spans="1:111" x14ac:dyDescent="0.25">
      <c r="A152">
        <v>47</v>
      </c>
      <c r="B152" t="s">
        <v>682</v>
      </c>
      <c r="C152" s="15">
        <v>2429</v>
      </c>
      <c r="D152" s="15">
        <v>10000</v>
      </c>
      <c r="E152" t="str">
        <f>IF(B152=Level!$A$2,SD!$C$14,SD!$C$13)</f>
        <v>0-8</v>
      </c>
      <c r="F152" s="15" t="s">
        <v>763</v>
      </c>
      <c r="G152" t="s">
        <v>715</v>
      </c>
      <c r="H152" t="str">
        <f>RIGHT(VLOOKUP(B152,Level!A:C,3,FALSE),LEN(VLOOKUP(B152,Level!A:C,3,FALSE))-1)</f>
        <v>10-7</v>
      </c>
      <c r="I152" t="s">
        <v>717</v>
      </c>
      <c r="J152" t="str">
        <f>IF(AND(SD!$C$19=SD!$H$2,Grade!$G$1="Per level"),VLOOKUP(B152,Grade!$E$1:$F$200,2,FALSE),IF(AND(SD!$C$19=SD!$H$2,Grade!$G$1="Per Bar Size"),VLOOKUP(W152,Grade!$B$1:$C$12,2,0),SD!$C$19))</f>
        <v>A615 Grade 60</v>
      </c>
      <c r="K152" t="s">
        <v>66</v>
      </c>
      <c r="L152" s="24" t="str">
        <f>IFERROR(IF(A152&lt;&gt;A153,"",IF(DF152="No Lap","",IF(K153="Lap",U152,IF(K153="Coupler",_xlfn._xlws.FILTER(CCoupler,(CCName=SD!$C$8)*(CBSize=IF(A151=A152,W152&amp;W153,W152&amp;W152))*(CCMFM="Male")),"")))),"N/A")</f>
        <v/>
      </c>
      <c r="M152" t="str">
        <f t="shared" si="6"/>
        <v/>
      </c>
      <c r="N152" t="s">
        <v>692</v>
      </c>
      <c r="O152" t="s">
        <v>693</v>
      </c>
      <c r="P152" t="s">
        <v>692</v>
      </c>
      <c r="Q152" t="str">
        <f>IF(AND(SD!$C$29=SD!$P$2,Grade!$O$1="Per level"),VLOOKUP(B152,Grade!$M$1:$N$200,2,FALSE),IF(AND(SD!$C$29=SD!$P$2,Grade!$O$1="Per Bar Size"),VLOOKUP(LEFT(N152,FIND("@",N152)-2),Grade!$J$1:$K$12,2,0),SD!$C$29))</f>
        <v>A615 Grade 60</v>
      </c>
      <c r="R152" t="s">
        <v>715</v>
      </c>
      <c r="S152" s="57">
        <v>152</v>
      </c>
      <c r="U152" t="str">
        <f>IF(Data!$J152="",IFERROR(INDEX(IF(SD!$C$11="Create",Lap!$A$3:$BF$14,IF(SD!$C$11="Per Uploaded File",Lap!$A$19:$BF$30,"")),MATCH(W152,Lap!$A$3:$A$14,0),MATCH(VALUE(D152),Lap!$A$3:$BF$3,0)+IF(IFERROR(FIND("Grade 60",J152),0)&gt;0,0,IF(IFERROR(FIND("Grade 80",J152),0),1,IF(IFERROR(FIND("Grade 75",J152),0),2,"")))),""),Data!J152)</f>
        <v>4-0</v>
      </c>
      <c r="W152" t="s">
        <v>142</v>
      </c>
      <c r="X152">
        <v>10</v>
      </c>
      <c r="Y152" t="str">
        <f t="shared" si="7"/>
        <v>30</v>
      </c>
      <c r="Z152">
        <f t="shared" si="8"/>
        <v>0</v>
      </c>
      <c r="DE152" t="s">
        <v>831</v>
      </c>
      <c r="DF152" t="s">
        <v>66</v>
      </c>
      <c r="DG152" t="str">
        <f>VLOOKUP(W152,'Level Wise PSI'!$F$2:$G$12,2,FALSE)</f>
        <v>Double Lift</v>
      </c>
    </row>
    <row r="153" spans="1:111" x14ac:dyDescent="0.25">
      <c r="A153">
        <v>48</v>
      </c>
      <c r="B153" t="s">
        <v>658</v>
      </c>
      <c r="C153" s="15">
        <v>2429</v>
      </c>
      <c r="D153" s="15">
        <v>10000</v>
      </c>
      <c r="E153" s="15" t="s">
        <v>762</v>
      </c>
      <c r="F153" s="15" t="s">
        <v>763</v>
      </c>
      <c r="G153" t="s">
        <v>727</v>
      </c>
      <c r="H153" s="15" t="s">
        <v>760</v>
      </c>
      <c r="I153" t="s">
        <v>724</v>
      </c>
      <c r="J153" t="str">
        <f>IF(AND(SD!$C$19=SD!$H$2,Grade!$G$1="Per level"),VLOOKUP(B153,Grade!$E$1:$F$200,2,FALSE),IF(AND(SD!$C$19=SD!$H$2,Grade!$G$1="Per Bar Size"),VLOOKUP(W153,Grade!$B$1:$C$12,2,0),SD!$C$19))</f>
        <v>A615 Grade 60</v>
      </c>
      <c r="K153" t="s">
        <v>66</v>
      </c>
      <c r="L153" s="24" t="str">
        <f>IFERROR(IF(A153&lt;&gt;A154,"",IF(DF153="No Lap","",IF(K154="Lap",U153,IF(K154="Coupler",_xlfn._xlws.FILTER(CCoupler,(CCName=SD!$C$8)*(CBSize=IF(A152=A153,W153&amp;W154,W153&amp;W153))*(CCMFM="Male")),"")))),"N/A")</f>
        <v>5-1</v>
      </c>
      <c r="M153" t="str">
        <f t="shared" si="6"/>
        <v>5 - #10</v>
      </c>
      <c r="N153" t="s">
        <v>692</v>
      </c>
      <c r="O153" t="s">
        <v>693</v>
      </c>
      <c r="P153" t="s">
        <v>692</v>
      </c>
      <c r="Q153" t="str">
        <f>IF(AND(SD!$C$29=SD!$P$2,Grade!$O$1="Per level"),VLOOKUP(B153,Grade!$M$1:$N$200,2,FALSE),IF(AND(SD!$C$29=SD!$P$2,Grade!$O$1="Per Bar Size"),VLOOKUP(LEFT(N153,FIND("@",N153)-2),Grade!$J$1:$K$12,2,0),SD!$C$29))</f>
        <v>A615 Grade 60</v>
      </c>
      <c r="R153" t="s">
        <v>701</v>
      </c>
      <c r="S153" s="57">
        <v>153</v>
      </c>
      <c r="U153" t="str">
        <f>IF(Data!$J153="",IFERROR(INDEX(IF(SD!$C$11="Create",Lap!$A$3:$BF$14,IF(SD!$C$11="Per Uploaded File",Lap!$A$19:$BF$30,"")),MATCH(W153,Lap!$A$3:$A$14,0),MATCH(VALUE(D153),Lap!$A$3:$BF$3,0)+IF(IFERROR(FIND("Grade 60",J153),0)&gt;0,0,IF(IFERROR(FIND("Grade 80",J153),0),1,IF(IFERROR(FIND("Grade 75",J153),0),2,"")))),""),Data!J153)</f>
        <v>5-1</v>
      </c>
      <c r="W153" t="s">
        <v>166</v>
      </c>
      <c r="X153">
        <v>12</v>
      </c>
      <c r="Y153" t="str">
        <f t="shared" si="7"/>
        <v xml:space="preserve">36 </v>
      </c>
      <c r="Z153" t="str">
        <f t="shared" si="8"/>
        <v xml:space="preserve"> 36</v>
      </c>
      <c r="DE153" t="s">
        <v>831</v>
      </c>
      <c r="DF153" t="s">
        <v>66</v>
      </c>
      <c r="DG153" t="str">
        <f>VLOOKUP(W153,'Level Wise PSI'!$F$2:$G$12,2,FALSE)</f>
        <v>Double Lift</v>
      </c>
    </row>
    <row r="154" spans="1:111" x14ac:dyDescent="0.25">
      <c r="A154">
        <v>48</v>
      </c>
      <c r="B154" t="s">
        <v>661</v>
      </c>
      <c r="C154" s="15">
        <v>2429</v>
      </c>
      <c r="D154" s="15">
        <v>10000</v>
      </c>
      <c r="E154" t="str">
        <f>IF(B154=Level!$A$2,SD!$C$14,SD!$C$13)</f>
        <v>0-8</v>
      </c>
      <c r="F154" s="15" t="s">
        <v>763</v>
      </c>
      <c r="G154" t="s">
        <v>713</v>
      </c>
      <c r="H154" t="str">
        <f>RIGHT(VLOOKUP(B154,Level!A:C,3,FALSE),LEN(VLOOKUP(B154,Level!A:C,3,FALSE))-1)</f>
        <v>10-7</v>
      </c>
      <c r="I154" t="s">
        <v>714</v>
      </c>
      <c r="J154" t="str">
        <f>IF(AND(SD!$C$19=SD!$H$2,Grade!$G$1="Per level"),VLOOKUP(B154,Grade!$E$1:$F$200,2,FALSE),IF(AND(SD!$C$19=SD!$H$2,Grade!$G$1="Per Bar Size"),VLOOKUP(W154,Grade!$B$1:$C$12,2,0),SD!$C$19))</f>
        <v>A615 Grade 60</v>
      </c>
      <c r="K154" t="s">
        <v>66</v>
      </c>
      <c r="L154" s="24" t="str">
        <f>IFERROR(IF(A154&lt;&gt;A155,"",IF(DF154="No Lap","",IF(K155="Lap",U154,IF(K155="Coupler",_xlfn._xlws.FILTER(CCoupler,(CCName=SD!$C$8)*(CBSize=IF(A153=A154,W154&amp;W155,W154&amp;W154))*(CCMFM="Male")),"")))),"N/A")</f>
        <v>5-1</v>
      </c>
      <c r="M154" t="str">
        <f t="shared" si="6"/>
        <v/>
      </c>
      <c r="N154" t="s">
        <v>692</v>
      </c>
      <c r="O154" t="s">
        <v>693</v>
      </c>
      <c r="P154" t="s">
        <v>692</v>
      </c>
      <c r="Q154" t="str">
        <f>IF(AND(SD!$C$29=SD!$P$2,Grade!$O$1="Per level"),VLOOKUP(B154,Grade!$M$1:$N$200,2,FALSE),IF(AND(SD!$C$29=SD!$P$2,Grade!$O$1="Per Bar Size"),VLOOKUP(LEFT(N154,FIND("@",N154)-2),Grade!$J$1:$K$12,2,0),SD!$C$29))</f>
        <v>A615 Grade 60</v>
      </c>
      <c r="R154" t="s">
        <v>713</v>
      </c>
      <c r="S154" s="57">
        <v>154</v>
      </c>
      <c r="U154" t="str">
        <f>IF(Data!$J154="",IFERROR(INDEX(IF(SD!$C$11="Create",Lap!$A$3:$BF$14,IF(SD!$C$11="Per Uploaded File",Lap!$A$19:$BF$30,"")),MATCH(W154,Lap!$A$3:$A$14,0),MATCH(VALUE(D154),Lap!$A$3:$BF$3,0)+IF(IFERROR(FIND("Grade 60",J154),0)&gt;0,0,IF(IFERROR(FIND("Grade 80",J154),0),1,IF(IFERROR(FIND("Grade 75",J154),0),2,"")))),""),Data!J154)</f>
        <v>5-1</v>
      </c>
      <c r="W154" t="s">
        <v>166</v>
      </c>
      <c r="X154">
        <v>10</v>
      </c>
      <c r="Y154" t="str">
        <f t="shared" si="7"/>
        <v>36</v>
      </c>
      <c r="Z154">
        <f t="shared" si="8"/>
        <v>0</v>
      </c>
      <c r="DE154" t="s">
        <v>831</v>
      </c>
      <c r="DF154" t="s">
        <v>66</v>
      </c>
      <c r="DG154" t="str">
        <f>VLOOKUP(W154,'Level Wise PSI'!$F$2:$G$12,2,FALSE)</f>
        <v>Double Lift</v>
      </c>
    </row>
    <row r="155" spans="1:111" x14ac:dyDescent="0.25">
      <c r="A155">
        <v>48</v>
      </c>
      <c r="B155" t="s">
        <v>664</v>
      </c>
      <c r="C155" s="15">
        <v>2429</v>
      </c>
      <c r="D155" s="15">
        <v>10000</v>
      </c>
      <c r="E155" t="str">
        <f>IF(B155=Level!$A$2,SD!$C$14,SD!$C$13)</f>
        <v>0-8</v>
      </c>
      <c r="F155" s="15" t="s">
        <v>763</v>
      </c>
      <c r="G155" t="s">
        <v>715</v>
      </c>
      <c r="H155" t="str">
        <f>RIGHT(VLOOKUP(B155,Level!A:C,3,FALSE),LEN(VLOOKUP(B155,Level!A:C,3,FALSE))-1)</f>
        <v>10-7</v>
      </c>
      <c r="I155" t="s">
        <v>716</v>
      </c>
      <c r="J155" t="str">
        <f>IF(AND(SD!$C$19=SD!$H$2,Grade!$G$1="Per level"),VLOOKUP(B155,Grade!$E$1:$F$200,2,FALSE),IF(AND(SD!$C$19=SD!$H$2,Grade!$G$1="Per Bar Size"),VLOOKUP(W155,Grade!$B$1:$C$12,2,0),SD!$C$19))</f>
        <v>A615 Grade 60</v>
      </c>
      <c r="K155" t="s">
        <v>66</v>
      </c>
      <c r="L155" s="24" t="str">
        <f>IFERROR(IF(A155&lt;&gt;A156,"",IF(DF155="No Lap","",IF(K156="Lap",U155,IF(K156="Coupler",_xlfn._xlws.FILTER(CCoupler,(CCName=SD!$C$8)*(CBSize=IF(A154=A155,W155&amp;W156,W155&amp;W155))*(CCMFM="Male")),"")))),"N/A")</f>
        <v>5-1</v>
      </c>
      <c r="M155" t="str">
        <f t="shared" si="6"/>
        <v/>
      </c>
      <c r="N155" t="s">
        <v>692</v>
      </c>
      <c r="O155" t="s">
        <v>693</v>
      </c>
      <c r="P155" t="s">
        <v>692</v>
      </c>
      <c r="Q155" t="str">
        <f>IF(AND(SD!$C$29=SD!$P$2,Grade!$O$1="Per level"),VLOOKUP(B155,Grade!$M$1:$N$200,2,FALSE),IF(AND(SD!$C$29=SD!$P$2,Grade!$O$1="Per Bar Size"),VLOOKUP(LEFT(N155,FIND("@",N155)-2),Grade!$J$1:$K$12,2,0),SD!$C$29))</f>
        <v>A615 Grade 60</v>
      </c>
      <c r="R155" t="s">
        <v>715</v>
      </c>
      <c r="S155" s="57">
        <v>155</v>
      </c>
      <c r="U155" t="str">
        <f>IF(Data!$J155="",IFERROR(INDEX(IF(SD!$C$11="Create",Lap!$A$3:$BF$14,IF(SD!$C$11="Per Uploaded File",Lap!$A$19:$BF$30,"")),MATCH(W155,Lap!$A$3:$A$14,0),MATCH(VALUE(D155),Lap!$A$3:$BF$3,0)+IF(IFERROR(FIND("Grade 60",J155),0)&gt;0,0,IF(IFERROR(FIND("Grade 80",J155),0),1,IF(IFERROR(FIND("Grade 75",J155),0),2,"")))),""),Data!J155)</f>
        <v>5-1</v>
      </c>
      <c r="W155" t="s">
        <v>166</v>
      </c>
      <c r="X155">
        <v>6</v>
      </c>
      <c r="Y155" t="str">
        <f t="shared" si="7"/>
        <v>30</v>
      </c>
      <c r="Z155">
        <f t="shared" si="8"/>
        <v>0</v>
      </c>
      <c r="DE155" t="s">
        <v>831</v>
      </c>
      <c r="DF155" t="s">
        <v>66</v>
      </c>
      <c r="DG155" t="str">
        <f>VLOOKUP(W155,'Level Wise PSI'!$F$2:$G$12,2,FALSE)</f>
        <v>Double Lift</v>
      </c>
    </row>
    <row r="156" spans="1:111" x14ac:dyDescent="0.25">
      <c r="A156">
        <v>48</v>
      </c>
      <c r="B156" t="s">
        <v>666</v>
      </c>
      <c r="C156" s="15">
        <v>2429</v>
      </c>
      <c r="D156" s="15">
        <v>10000</v>
      </c>
      <c r="E156" t="str">
        <f>IF(B156=Level!$A$2,SD!$C$14,SD!$C$13)</f>
        <v>0-8</v>
      </c>
      <c r="F156" s="15" t="s">
        <v>763</v>
      </c>
      <c r="G156" t="s">
        <v>715</v>
      </c>
      <c r="H156" t="str">
        <f>RIGHT(VLOOKUP(B156,Level!A:C,3,FALSE),LEN(VLOOKUP(B156,Level!A:C,3,FALSE))-1)</f>
        <v>10-7</v>
      </c>
      <c r="I156" t="s">
        <v>716</v>
      </c>
      <c r="J156" t="str">
        <f>IF(AND(SD!$C$19=SD!$H$2,Grade!$G$1="Per level"),VLOOKUP(B156,Grade!$E$1:$F$200,2,FALSE),IF(AND(SD!$C$19=SD!$H$2,Grade!$G$1="Per Bar Size"),VLOOKUP(W156,Grade!$B$1:$C$12,2,0),SD!$C$19))</f>
        <v>A615 Grade 60</v>
      </c>
      <c r="K156" t="s">
        <v>66</v>
      </c>
      <c r="L156" s="24" t="str">
        <f>IFERROR(IF(A156&lt;&gt;A157,"",IF(DF156="No Lap","",IF(K157="Lap",U156,IF(K157="Coupler",_xlfn._xlws.FILTER(CCoupler,(CCName=SD!$C$8)*(CBSize=IF(A155=A156,W156&amp;W157,W156&amp;W156))*(CCMFM="Male")),"")))),"N/A")</f>
        <v>5-1</v>
      </c>
      <c r="M156" t="str">
        <f t="shared" si="6"/>
        <v/>
      </c>
      <c r="N156" t="s">
        <v>692</v>
      </c>
      <c r="O156" t="s">
        <v>693</v>
      </c>
      <c r="P156" t="s">
        <v>692</v>
      </c>
      <c r="Q156" t="str">
        <f>IF(AND(SD!$C$29=SD!$P$2,Grade!$O$1="Per level"),VLOOKUP(B156,Grade!$M$1:$N$200,2,FALSE),IF(AND(SD!$C$29=SD!$P$2,Grade!$O$1="Per Bar Size"),VLOOKUP(LEFT(N156,FIND("@",N156)-2),Grade!$J$1:$K$12,2,0),SD!$C$29))</f>
        <v>A615 Grade 60</v>
      </c>
      <c r="R156" t="s">
        <v>715</v>
      </c>
      <c r="S156" s="57">
        <v>156</v>
      </c>
      <c r="U156" t="str">
        <f>IF(Data!$J156="",IFERROR(INDEX(IF(SD!$C$11="Create",Lap!$A$3:$BF$14,IF(SD!$C$11="Per Uploaded File",Lap!$A$19:$BF$30,"")),MATCH(W156,Lap!$A$3:$A$14,0),MATCH(VALUE(D156),Lap!$A$3:$BF$3,0)+IF(IFERROR(FIND("Grade 60",J156),0)&gt;0,0,IF(IFERROR(FIND("Grade 80",J156),0),1,IF(IFERROR(FIND("Grade 75",J156),0),2,"")))),""),Data!J156)</f>
        <v>5-1</v>
      </c>
      <c r="W156" t="s">
        <v>166</v>
      </c>
      <c r="X156">
        <v>6</v>
      </c>
      <c r="Y156" t="str">
        <f t="shared" si="7"/>
        <v>30</v>
      </c>
      <c r="Z156">
        <f t="shared" si="8"/>
        <v>0</v>
      </c>
      <c r="DE156" t="s">
        <v>831</v>
      </c>
      <c r="DF156" t="s">
        <v>66</v>
      </c>
      <c r="DG156" t="str">
        <f>VLOOKUP(W156,'Level Wise PSI'!$F$2:$G$12,2,FALSE)</f>
        <v>Double Lift</v>
      </c>
    </row>
    <row r="157" spans="1:111" x14ac:dyDescent="0.25">
      <c r="A157">
        <v>48</v>
      </c>
      <c r="B157" t="s">
        <v>668</v>
      </c>
      <c r="C157" s="15">
        <v>2429</v>
      </c>
      <c r="D157" s="15">
        <v>10000</v>
      </c>
      <c r="E157" t="str">
        <f>IF(B157=Level!$A$2,SD!$C$14,SD!$C$13)</f>
        <v>0-8</v>
      </c>
      <c r="F157" s="15" t="s">
        <v>763</v>
      </c>
      <c r="G157" t="s">
        <v>715</v>
      </c>
      <c r="H157" t="str">
        <f>RIGHT(VLOOKUP(B157,Level!A:C,3,FALSE),LEN(VLOOKUP(B157,Level!A:C,3,FALSE))-1)</f>
        <v>10-7</v>
      </c>
      <c r="I157" t="s">
        <v>716</v>
      </c>
      <c r="J157" t="str">
        <f>IF(AND(SD!$C$19=SD!$H$2,Grade!$G$1="Per level"),VLOOKUP(B157,Grade!$E$1:$F$200,2,FALSE),IF(AND(SD!$C$19=SD!$H$2,Grade!$G$1="Per Bar Size"),VLOOKUP(W157,Grade!$B$1:$C$12,2,0),SD!$C$19))</f>
        <v>A615 Grade 60</v>
      </c>
      <c r="K157" t="s">
        <v>66</v>
      </c>
      <c r="L157" s="24" t="str">
        <f>IFERROR(IF(A157&lt;&gt;A158,"",IF(DF157="No Lap","",IF(K158="Lap",U157,IF(K158="Coupler",_xlfn._xlws.FILTER(CCoupler,(CCName=SD!$C$8)*(CBSize=IF(A156=A157,W157&amp;W158,W157&amp;W157))*(CCMFM="Male")),"")))),"N/A")</f>
        <v>5-1</v>
      </c>
      <c r="M157" t="str">
        <f t="shared" si="6"/>
        <v/>
      </c>
      <c r="N157" t="s">
        <v>692</v>
      </c>
      <c r="O157" t="s">
        <v>693</v>
      </c>
      <c r="P157" t="s">
        <v>692</v>
      </c>
      <c r="Q157" t="str">
        <f>IF(AND(SD!$C$29=SD!$P$2,Grade!$O$1="Per level"),VLOOKUP(B157,Grade!$M$1:$N$200,2,FALSE),IF(AND(SD!$C$29=SD!$P$2,Grade!$O$1="Per Bar Size"),VLOOKUP(LEFT(N157,FIND("@",N157)-2),Grade!$J$1:$K$12,2,0),SD!$C$29))</f>
        <v>A615 Grade 60</v>
      </c>
      <c r="R157" t="s">
        <v>715</v>
      </c>
      <c r="S157" s="57">
        <v>157</v>
      </c>
      <c r="U157" t="str">
        <f>IF(Data!$J157="",IFERROR(INDEX(IF(SD!$C$11="Create",Lap!$A$3:$BF$14,IF(SD!$C$11="Per Uploaded File",Lap!$A$19:$BF$30,"")),MATCH(W157,Lap!$A$3:$A$14,0),MATCH(VALUE(D157),Lap!$A$3:$BF$3,0)+IF(IFERROR(FIND("Grade 60",J157),0)&gt;0,0,IF(IFERROR(FIND("Grade 80",J157),0),1,IF(IFERROR(FIND("Grade 75",J157),0),2,"")))),""),Data!J157)</f>
        <v>5-1</v>
      </c>
      <c r="W157" t="s">
        <v>166</v>
      </c>
      <c r="X157">
        <v>6</v>
      </c>
      <c r="Y157" t="str">
        <f t="shared" si="7"/>
        <v>30</v>
      </c>
      <c r="Z157">
        <f t="shared" si="8"/>
        <v>0</v>
      </c>
      <c r="DE157" t="s">
        <v>831</v>
      </c>
      <c r="DF157" t="s">
        <v>66</v>
      </c>
      <c r="DG157" t="str">
        <f>VLOOKUP(W157,'Level Wise PSI'!$F$2:$G$12,2,FALSE)</f>
        <v>Double Lift</v>
      </c>
    </row>
    <row r="158" spans="1:111" x14ac:dyDescent="0.25">
      <c r="A158">
        <v>48</v>
      </c>
      <c r="B158" t="s">
        <v>670</v>
      </c>
      <c r="C158" s="15">
        <v>2429</v>
      </c>
      <c r="D158" s="15">
        <v>10000</v>
      </c>
      <c r="E158" t="str">
        <f>IF(B158=Level!$A$2,SD!$C$14,SD!$C$13)</f>
        <v>0-8</v>
      </c>
      <c r="F158" s="15" t="s">
        <v>763</v>
      </c>
      <c r="G158" t="s">
        <v>715</v>
      </c>
      <c r="H158" t="str">
        <f>RIGHT(VLOOKUP(B158,Level!A:C,3,FALSE),LEN(VLOOKUP(B158,Level!A:C,3,FALSE))-1)</f>
        <v>10-7</v>
      </c>
      <c r="I158" t="s">
        <v>716</v>
      </c>
      <c r="J158" t="str">
        <f>IF(AND(SD!$C$19=SD!$H$2,Grade!$G$1="Per level"),VLOOKUP(B158,Grade!$E$1:$F$200,2,FALSE),IF(AND(SD!$C$19=SD!$H$2,Grade!$G$1="Per Bar Size"),VLOOKUP(W158,Grade!$B$1:$C$12,2,0),SD!$C$19))</f>
        <v>A615 Grade 60</v>
      </c>
      <c r="K158" t="s">
        <v>66</v>
      </c>
      <c r="L158" s="24" t="str">
        <f>IFERROR(IF(A158&lt;&gt;A159,"",IF(DF158="No Lap","",IF(K159="Lap",U158,IF(K159="Coupler",_xlfn._xlws.FILTER(CCoupler,(CCName=SD!$C$8)*(CBSize=IF(A157=A158,W158&amp;W159,W158&amp;W158))*(CCMFM="Male")),"")))),"N/A")</f>
        <v>5-1</v>
      </c>
      <c r="M158" t="str">
        <f t="shared" si="6"/>
        <v/>
      </c>
      <c r="N158" t="s">
        <v>692</v>
      </c>
      <c r="O158" t="s">
        <v>693</v>
      </c>
      <c r="P158" t="s">
        <v>692</v>
      </c>
      <c r="Q158" t="str">
        <f>IF(AND(SD!$C$29=SD!$P$2,Grade!$O$1="Per level"),VLOOKUP(B158,Grade!$M$1:$N$200,2,FALSE),IF(AND(SD!$C$29=SD!$P$2,Grade!$O$1="Per Bar Size"),VLOOKUP(LEFT(N158,FIND("@",N158)-2),Grade!$J$1:$K$12,2,0),SD!$C$29))</f>
        <v>A615 Grade 60</v>
      </c>
      <c r="R158" t="s">
        <v>715</v>
      </c>
      <c r="S158" s="57">
        <v>158</v>
      </c>
      <c r="U158" t="str">
        <f>IF(Data!$J158="",IFERROR(INDEX(IF(SD!$C$11="Create",Lap!$A$3:$BF$14,IF(SD!$C$11="Per Uploaded File",Lap!$A$19:$BF$30,"")),MATCH(W158,Lap!$A$3:$A$14,0),MATCH(VALUE(D158),Lap!$A$3:$BF$3,0)+IF(IFERROR(FIND("Grade 60",J158),0)&gt;0,0,IF(IFERROR(FIND("Grade 80",J158),0),1,IF(IFERROR(FIND("Grade 75",J158),0),2,"")))),""),Data!J158)</f>
        <v>5-1</v>
      </c>
      <c r="W158" t="s">
        <v>166</v>
      </c>
      <c r="X158">
        <v>6</v>
      </c>
      <c r="Y158" t="str">
        <f t="shared" si="7"/>
        <v>30</v>
      </c>
      <c r="Z158">
        <f t="shared" si="8"/>
        <v>0</v>
      </c>
      <c r="DE158" t="s">
        <v>831</v>
      </c>
      <c r="DF158" t="s">
        <v>66</v>
      </c>
      <c r="DG158" t="str">
        <f>VLOOKUP(W158,'Level Wise PSI'!$F$2:$G$12,2,FALSE)</f>
        <v>Double Lift</v>
      </c>
    </row>
    <row r="159" spans="1:111" x14ac:dyDescent="0.25">
      <c r="A159">
        <v>48</v>
      </c>
      <c r="B159" t="s">
        <v>672</v>
      </c>
      <c r="C159" s="15">
        <v>2429</v>
      </c>
      <c r="D159" s="15">
        <v>10000</v>
      </c>
      <c r="E159" t="str">
        <f>IF(B159=Level!$A$2,SD!$C$14,SD!$C$13)</f>
        <v>0-8</v>
      </c>
      <c r="F159" s="15" t="s">
        <v>763</v>
      </c>
      <c r="G159" t="s">
        <v>715</v>
      </c>
      <c r="H159" t="str">
        <f>RIGHT(VLOOKUP(B159,Level!A:C,3,FALSE),LEN(VLOOKUP(B159,Level!A:C,3,FALSE))-1)</f>
        <v>10-7</v>
      </c>
      <c r="I159" t="s">
        <v>716</v>
      </c>
      <c r="J159" t="str">
        <f>IF(AND(SD!$C$19=SD!$H$2,Grade!$G$1="Per level"),VLOOKUP(B159,Grade!$E$1:$F$200,2,FALSE),IF(AND(SD!$C$19=SD!$H$2,Grade!$G$1="Per Bar Size"),VLOOKUP(W159,Grade!$B$1:$C$12,2,0),SD!$C$19))</f>
        <v>A615 Grade 60</v>
      </c>
      <c r="K159" t="s">
        <v>66</v>
      </c>
      <c r="L159" s="24" t="str">
        <f>IFERROR(IF(A159&lt;&gt;A160,"",IF(DF159="No Lap","",IF(K160="Lap",U159,IF(K160="Coupler",_xlfn._xlws.FILTER(CCoupler,(CCName=SD!$C$8)*(CBSize=IF(A158=A159,W159&amp;W160,W159&amp;W159))*(CCMFM="Male")),"")))),"N/A")</f>
        <v>5-1</v>
      </c>
      <c r="M159" t="str">
        <f t="shared" si="6"/>
        <v/>
      </c>
      <c r="N159" t="s">
        <v>692</v>
      </c>
      <c r="O159" t="s">
        <v>693</v>
      </c>
      <c r="P159" t="s">
        <v>692</v>
      </c>
      <c r="Q159" t="str">
        <f>IF(AND(SD!$C$29=SD!$P$2,Grade!$O$1="Per level"),VLOOKUP(B159,Grade!$M$1:$N$200,2,FALSE),IF(AND(SD!$C$29=SD!$P$2,Grade!$O$1="Per Bar Size"),VLOOKUP(LEFT(N159,FIND("@",N159)-2),Grade!$J$1:$K$12,2,0),SD!$C$29))</f>
        <v>A615 Grade 60</v>
      </c>
      <c r="R159" t="s">
        <v>715</v>
      </c>
      <c r="S159" s="57">
        <v>159</v>
      </c>
      <c r="U159" t="str">
        <f>IF(Data!$J159="",IFERROR(INDEX(IF(SD!$C$11="Create",Lap!$A$3:$BF$14,IF(SD!$C$11="Per Uploaded File",Lap!$A$19:$BF$30,"")),MATCH(W159,Lap!$A$3:$A$14,0),MATCH(VALUE(D159),Lap!$A$3:$BF$3,0)+IF(IFERROR(FIND("Grade 60",J159),0)&gt;0,0,IF(IFERROR(FIND("Grade 80",J159),0),1,IF(IFERROR(FIND("Grade 75",J159),0),2,"")))),""),Data!J159)</f>
        <v>5-1</v>
      </c>
      <c r="W159" t="s">
        <v>166</v>
      </c>
      <c r="X159">
        <v>6</v>
      </c>
      <c r="Y159" t="str">
        <f t="shared" si="7"/>
        <v>30</v>
      </c>
      <c r="Z159">
        <f t="shared" si="8"/>
        <v>0</v>
      </c>
      <c r="DE159" t="s">
        <v>831</v>
      </c>
      <c r="DF159" t="s">
        <v>66</v>
      </c>
      <c r="DG159" t="str">
        <f>VLOOKUP(W159,'Level Wise PSI'!$F$2:$G$12,2,FALSE)</f>
        <v>Double Lift</v>
      </c>
    </row>
    <row r="160" spans="1:111" x14ac:dyDescent="0.25">
      <c r="A160">
        <v>48</v>
      </c>
      <c r="B160" t="s">
        <v>674</v>
      </c>
      <c r="C160" s="15">
        <v>2429</v>
      </c>
      <c r="D160" s="15">
        <v>10000</v>
      </c>
      <c r="E160" t="str">
        <f>IF(B160=Level!$A$2,SD!$C$14,SD!$C$13)</f>
        <v>0-8</v>
      </c>
      <c r="F160" s="15" t="s">
        <v>763</v>
      </c>
      <c r="G160" t="s">
        <v>715</v>
      </c>
      <c r="H160" t="str">
        <f>RIGHT(VLOOKUP(B160,Level!A:C,3,FALSE),LEN(VLOOKUP(B160,Level!A:C,3,FALSE))-1)</f>
        <v>10-7</v>
      </c>
      <c r="I160" t="s">
        <v>716</v>
      </c>
      <c r="J160" t="str">
        <f>IF(AND(SD!$C$19=SD!$H$2,Grade!$G$1="Per level"),VLOOKUP(B160,Grade!$E$1:$F$200,2,FALSE),IF(AND(SD!$C$19=SD!$H$2,Grade!$G$1="Per Bar Size"),VLOOKUP(W160,Grade!$B$1:$C$12,2,0),SD!$C$19))</f>
        <v>A615 Grade 60</v>
      </c>
      <c r="K160" t="s">
        <v>66</v>
      </c>
      <c r="L160" s="24" t="str">
        <f>IFERROR(IF(A160&lt;&gt;A161,"",IF(DF160="No Lap","",IF(K161="Lap",U160,IF(K161="Coupler",_xlfn._xlws.FILTER(CCoupler,(CCName=SD!$C$8)*(CBSize=IF(A159=A160,W160&amp;W161,W160&amp;W160))*(CCMFM="Male")),"")))),"N/A")</f>
        <v>5-1</v>
      </c>
      <c r="M160" t="str">
        <f t="shared" si="6"/>
        <v/>
      </c>
      <c r="N160" t="s">
        <v>692</v>
      </c>
      <c r="O160" t="s">
        <v>693</v>
      </c>
      <c r="P160" t="s">
        <v>692</v>
      </c>
      <c r="Q160" t="str">
        <f>IF(AND(SD!$C$29=SD!$P$2,Grade!$O$1="Per level"),VLOOKUP(B160,Grade!$M$1:$N$200,2,FALSE),IF(AND(SD!$C$29=SD!$P$2,Grade!$O$1="Per Bar Size"),VLOOKUP(LEFT(N160,FIND("@",N160)-2),Grade!$J$1:$K$12,2,0),SD!$C$29))</f>
        <v>A615 Grade 60</v>
      </c>
      <c r="R160" t="s">
        <v>715</v>
      </c>
      <c r="S160" s="57">
        <v>160</v>
      </c>
      <c r="U160" t="str">
        <f>IF(Data!$J160="",IFERROR(INDEX(IF(SD!$C$11="Create",Lap!$A$3:$BF$14,IF(SD!$C$11="Per Uploaded File",Lap!$A$19:$BF$30,"")),MATCH(W160,Lap!$A$3:$A$14,0),MATCH(VALUE(D160),Lap!$A$3:$BF$3,0)+IF(IFERROR(FIND("Grade 60",J160),0)&gt;0,0,IF(IFERROR(FIND("Grade 80",J160),0),1,IF(IFERROR(FIND("Grade 75",J160),0),2,"")))),""),Data!J160)</f>
        <v>5-1</v>
      </c>
      <c r="W160" t="s">
        <v>166</v>
      </c>
      <c r="X160">
        <v>6</v>
      </c>
      <c r="Y160" t="str">
        <f t="shared" si="7"/>
        <v>30</v>
      </c>
      <c r="Z160">
        <f t="shared" si="8"/>
        <v>0</v>
      </c>
      <c r="DE160" t="s">
        <v>831</v>
      </c>
      <c r="DF160" t="s">
        <v>66</v>
      </c>
      <c r="DG160" t="str">
        <f>VLOOKUP(W160,'Level Wise PSI'!$F$2:$G$12,2,FALSE)</f>
        <v>Double Lift</v>
      </c>
    </row>
    <row r="161" spans="1:111" x14ac:dyDescent="0.25">
      <c r="A161">
        <v>48</v>
      </c>
      <c r="B161" t="s">
        <v>676</v>
      </c>
      <c r="C161" s="15">
        <v>2429</v>
      </c>
      <c r="D161" s="15">
        <v>10000</v>
      </c>
      <c r="E161" t="str">
        <f>IF(B161=Level!$A$2,SD!$C$14,SD!$C$13)</f>
        <v>0-8</v>
      </c>
      <c r="F161" s="15" t="s">
        <v>763</v>
      </c>
      <c r="G161" t="s">
        <v>715</v>
      </c>
      <c r="H161" t="str">
        <f>RIGHT(VLOOKUP(B161,Level!A:C,3,FALSE),LEN(VLOOKUP(B161,Level!A:C,3,FALSE))-1)</f>
        <v>10-7</v>
      </c>
      <c r="I161" t="s">
        <v>716</v>
      </c>
      <c r="J161" t="str">
        <f>IF(AND(SD!$C$19=SD!$H$2,Grade!$G$1="Per level"),VLOOKUP(B161,Grade!$E$1:$F$200,2,FALSE),IF(AND(SD!$C$19=SD!$H$2,Grade!$G$1="Per Bar Size"),VLOOKUP(W161,Grade!$B$1:$C$12,2,0),SD!$C$19))</f>
        <v>A615 Grade 60</v>
      </c>
      <c r="K161" t="s">
        <v>66</v>
      </c>
      <c r="L161" s="24" t="str">
        <f>IFERROR(IF(A161&lt;&gt;A162,"",IF(DF161="No Lap","",IF(K162="Lap",U161,IF(K162="Coupler",_xlfn._xlws.FILTER(CCoupler,(CCName=SD!$C$8)*(CBSize=IF(A160=A161,W161&amp;W162,W161&amp;W161))*(CCMFM="Male")),"")))),"N/A")</f>
        <v>5-1</v>
      </c>
      <c r="M161" t="str">
        <f t="shared" si="6"/>
        <v/>
      </c>
      <c r="N161" t="s">
        <v>692</v>
      </c>
      <c r="O161" t="s">
        <v>693</v>
      </c>
      <c r="P161" t="s">
        <v>692</v>
      </c>
      <c r="Q161" t="str">
        <f>IF(AND(SD!$C$29=SD!$P$2,Grade!$O$1="Per level"),VLOOKUP(B161,Grade!$M$1:$N$200,2,FALSE),IF(AND(SD!$C$29=SD!$P$2,Grade!$O$1="Per Bar Size"),VLOOKUP(LEFT(N161,FIND("@",N161)-2),Grade!$J$1:$K$12,2,0),SD!$C$29))</f>
        <v>A615 Grade 60</v>
      </c>
      <c r="R161" t="s">
        <v>715</v>
      </c>
      <c r="S161" s="57">
        <v>161</v>
      </c>
      <c r="U161" t="str">
        <f>IF(Data!$J161="",IFERROR(INDEX(IF(SD!$C$11="Create",Lap!$A$3:$BF$14,IF(SD!$C$11="Per Uploaded File",Lap!$A$19:$BF$30,"")),MATCH(W161,Lap!$A$3:$A$14,0),MATCH(VALUE(D161),Lap!$A$3:$BF$3,0)+IF(IFERROR(FIND("Grade 60",J161),0)&gt;0,0,IF(IFERROR(FIND("Grade 80",J161),0),1,IF(IFERROR(FIND("Grade 75",J161),0),2,"")))),""),Data!J161)</f>
        <v>5-1</v>
      </c>
      <c r="W161" t="s">
        <v>166</v>
      </c>
      <c r="X161">
        <v>6</v>
      </c>
      <c r="Y161" t="str">
        <f t="shared" si="7"/>
        <v>30</v>
      </c>
      <c r="Z161">
        <f t="shared" si="8"/>
        <v>0</v>
      </c>
      <c r="DE161" t="s">
        <v>831</v>
      </c>
      <c r="DF161" t="s">
        <v>66</v>
      </c>
      <c r="DG161" t="str">
        <f>VLOOKUP(W161,'Level Wise PSI'!$F$2:$G$12,2,FALSE)</f>
        <v>Double Lift</v>
      </c>
    </row>
    <row r="162" spans="1:111" x14ac:dyDescent="0.25">
      <c r="A162">
        <v>48</v>
      </c>
      <c r="B162" t="s">
        <v>678</v>
      </c>
      <c r="C162" s="15">
        <v>2429</v>
      </c>
      <c r="D162" s="15">
        <v>10000</v>
      </c>
      <c r="E162" t="str">
        <f>IF(B162=Level!$A$2,SD!$C$14,SD!$C$13)</f>
        <v>0-8</v>
      </c>
      <c r="F162" s="15" t="s">
        <v>763</v>
      </c>
      <c r="G162" t="s">
        <v>715</v>
      </c>
      <c r="H162" t="str">
        <f>RIGHT(VLOOKUP(B162,Level!A:C,3,FALSE),LEN(VLOOKUP(B162,Level!A:C,3,FALSE))-1)</f>
        <v>10-7</v>
      </c>
      <c r="I162" t="s">
        <v>716</v>
      </c>
      <c r="J162" t="str">
        <f>IF(AND(SD!$C$19=SD!$H$2,Grade!$G$1="Per level"),VLOOKUP(B162,Grade!$E$1:$F$200,2,FALSE),IF(AND(SD!$C$19=SD!$H$2,Grade!$G$1="Per Bar Size"),VLOOKUP(W162,Grade!$B$1:$C$12,2,0),SD!$C$19))</f>
        <v>A615 Grade 60</v>
      </c>
      <c r="K162" t="s">
        <v>66</v>
      </c>
      <c r="L162" s="24" t="str">
        <f>IFERROR(IF(A162&lt;&gt;A163,"",IF(DF162="No Lap","",IF(K163="Lap",U162,IF(K163="Coupler",_xlfn._xlws.FILTER(CCoupler,(CCName=SD!$C$8)*(CBSize=IF(A161=A162,W162&amp;W163,W162&amp;W162))*(CCMFM="Male")),"")))),"N/A")</f>
        <v>5-1</v>
      </c>
      <c r="M162" t="str">
        <f t="shared" si="6"/>
        <v/>
      </c>
      <c r="N162" t="s">
        <v>692</v>
      </c>
      <c r="O162" t="s">
        <v>693</v>
      </c>
      <c r="P162" t="s">
        <v>692</v>
      </c>
      <c r="Q162" t="str">
        <f>IF(AND(SD!$C$29=SD!$P$2,Grade!$O$1="Per level"),VLOOKUP(B162,Grade!$M$1:$N$200,2,FALSE),IF(AND(SD!$C$29=SD!$P$2,Grade!$O$1="Per Bar Size"),VLOOKUP(LEFT(N162,FIND("@",N162)-2),Grade!$J$1:$K$12,2,0),SD!$C$29))</f>
        <v>A615 Grade 60</v>
      </c>
      <c r="R162" t="s">
        <v>715</v>
      </c>
      <c r="S162" s="57">
        <v>162</v>
      </c>
      <c r="U162" t="str">
        <f>IF(Data!$J162="",IFERROR(INDEX(IF(SD!$C$11="Create",Lap!$A$3:$BF$14,IF(SD!$C$11="Per Uploaded File",Lap!$A$19:$BF$30,"")),MATCH(W162,Lap!$A$3:$A$14,0),MATCH(VALUE(D162),Lap!$A$3:$BF$3,0)+IF(IFERROR(FIND("Grade 60",J162),0)&gt;0,0,IF(IFERROR(FIND("Grade 80",J162),0),1,IF(IFERROR(FIND("Grade 75",J162),0),2,"")))),""),Data!J162)</f>
        <v>5-1</v>
      </c>
      <c r="W162" t="s">
        <v>166</v>
      </c>
      <c r="X162">
        <v>6</v>
      </c>
      <c r="Y162" t="str">
        <f t="shared" si="7"/>
        <v>30</v>
      </c>
      <c r="Z162">
        <f t="shared" si="8"/>
        <v>0</v>
      </c>
      <c r="DE162" t="s">
        <v>831</v>
      </c>
      <c r="DF162" t="s">
        <v>66</v>
      </c>
      <c r="DG162" t="str">
        <f>VLOOKUP(W162,'Level Wise PSI'!$F$2:$G$12,2,FALSE)</f>
        <v>Double Lift</v>
      </c>
    </row>
    <row r="163" spans="1:111" x14ac:dyDescent="0.25">
      <c r="A163">
        <v>48</v>
      </c>
      <c r="B163" t="s">
        <v>680</v>
      </c>
      <c r="C163" s="15">
        <v>2429</v>
      </c>
      <c r="D163" s="15">
        <v>10000</v>
      </c>
      <c r="E163" t="str">
        <f>IF(B163=Level!$A$2,SD!$C$14,SD!$C$13)</f>
        <v>0-8</v>
      </c>
      <c r="F163" s="15" t="s">
        <v>763</v>
      </c>
      <c r="G163" t="s">
        <v>715</v>
      </c>
      <c r="H163" t="str">
        <f>RIGHT(VLOOKUP(B163,Level!A:C,3,FALSE),LEN(VLOOKUP(B163,Level!A:C,3,FALSE))-1)</f>
        <v>10-7</v>
      </c>
      <c r="I163" t="s">
        <v>716</v>
      </c>
      <c r="J163" t="str">
        <f>IF(AND(SD!$C$19=SD!$H$2,Grade!$G$1="Per level"),VLOOKUP(B163,Grade!$E$1:$F$200,2,FALSE),IF(AND(SD!$C$19=SD!$H$2,Grade!$G$1="Per Bar Size"),VLOOKUP(W163,Grade!$B$1:$C$12,2,0),SD!$C$19))</f>
        <v>A615 Grade 60</v>
      </c>
      <c r="K163" t="s">
        <v>66</v>
      </c>
      <c r="L163" s="24" t="str">
        <f>IFERROR(IF(A163&lt;&gt;A164,"",IF(DF163="No Lap","",IF(K164="Lap",U163,IF(K164="Coupler",_xlfn._xlws.FILTER(CCoupler,(CCName=SD!$C$8)*(CBSize=IF(A162=A163,W163&amp;W164,W163&amp;W163))*(CCMFM="Male")),"")))),"N/A")</f>
        <v>5-1</v>
      </c>
      <c r="M163" t="str">
        <f t="shared" si="6"/>
        <v/>
      </c>
      <c r="N163" t="s">
        <v>692</v>
      </c>
      <c r="O163" t="s">
        <v>693</v>
      </c>
      <c r="P163" t="s">
        <v>692</v>
      </c>
      <c r="Q163" t="str">
        <f>IF(AND(SD!$C$29=SD!$P$2,Grade!$O$1="Per level"),VLOOKUP(B163,Grade!$M$1:$N$200,2,FALSE),IF(AND(SD!$C$29=SD!$P$2,Grade!$O$1="Per Bar Size"),VLOOKUP(LEFT(N163,FIND("@",N163)-2),Grade!$J$1:$K$12,2,0),SD!$C$29))</f>
        <v>A615 Grade 60</v>
      </c>
      <c r="R163" t="s">
        <v>715</v>
      </c>
      <c r="S163" s="57">
        <v>163</v>
      </c>
      <c r="U163" t="str">
        <f>IF(Data!$J163="",IFERROR(INDEX(IF(SD!$C$11="Create",Lap!$A$3:$BF$14,IF(SD!$C$11="Per Uploaded File",Lap!$A$19:$BF$30,"")),MATCH(W163,Lap!$A$3:$A$14,0),MATCH(VALUE(D163),Lap!$A$3:$BF$3,0)+IF(IFERROR(FIND("Grade 60",J163),0)&gt;0,0,IF(IFERROR(FIND("Grade 80",J163),0),1,IF(IFERROR(FIND("Grade 75",J163),0),2,"")))),""),Data!J163)</f>
        <v>5-1</v>
      </c>
      <c r="W163" t="s">
        <v>166</v>
      </c>
      <c r="X163">
        <v>6</v>
      </c>
      <c r="Y163" t="str">
        <f t="shared" si="7"/>
        <v>30</v>
      </c>
      <c r="Z163">
        <f t="shared" si="8"/>
        <v>0</v>
      </c>
      <c r="DE163" t="s">
        <v>831</v>
      </c>
      <c r="DF163" t="s">
        <v>66</v>
      </c>
      <c r="DG163" t="str">
        <f>VLOOKUP(W163,'Level Wise PSI'!$F$2:$G$12,2,FALSE)</f>
        <v>Double Lift</v>
      </c>
    </row>
    <row r="164" spans="1:111" x14ac:dyDescent="0.25">
      <c r="A164">
        <v>48</v>
      </c>
      <c r="B164" t="s">
        <v>682</v>
      </c>
      <c r="C164" s="15">
        <v>2429</v>
      </c>
      <c r="D164" s="15">
        <v>10000</v>
      </c>
      <c r="E164" t="str">
        <f>IF(B164=Level!$A$2,SD!$C$14,SD!$C$13)</f>
        <v>0-8</v>
      </c>
      <c r="F164" s="15" t="s">
        <v>763</v>
      </c>
      <c r="G164" t="s">
        <v>715</v>
      </c>
      <c r="H164" t="str">
        <f>RIGHT(VLOOKUP(B164,Level!A:C,3,FALSE),LEN(VLOOKUP(B164,Level!A:C,3,FALSE))-1)</f>
        <v>10-7</v>
      </c>
      <c r="I164" t="s">
        <v>717</v>
      </c>
      <c r="J164" t="str">
        <f>IF(AND(SD!$C$19=SD!$H$2,Grade!$G$1="Per level"),VLOOKUP(B164,Grade!$E$1:$F$200,2,FALSE),IF(AND(SD!$C$19=SD!$H$2,Grade!$G$1="Per Bar Size"),VLOOKUP(W164,Grade!$B$1:$C$12,2,0),SD!$C$19))</f>
        <v>A615 Grade 60</v>
      </c>
      <c r="K164" t="s">
        <v>66</v>
      </c>
      <c r="L164" s="24" t="str">
        <f>IFERROR(IF(A164&lt;&gt;A165,"",IF(DF164="No Lap","",IF(K165="Lap",U164,IF(K165="Coupler",_xlfn._xlws.FILTER(CCoupler,(CCName=SD!$C$8)*(CBSize=IF(A163=A164,W164&amp;W165,W164&amp;W164))*(CCMFM="Male")),"")))),"N/A")</f>
        <v/>
      </c>
      <c r="M164" t="str">
        <f t="shared" si="6"/>
        <v/>
      </c>
      <c r="N164" t="s">
        <v>692</v>
      </c>
      <c r="O164" t="s">
        <v>693</v>
      </c>
      <c r="P164" t="s">
        <v>692</v>
      </c>
      <c r="Q164" t="str">
        <f>IF(AND(SD!$C$29=SD!$P$2,Grade!$O$1="Per level"),VLOOKUP(B164,Grade!$M$1:$N$200,2,FALSE),IF(AND(SD!$C$29=SD!$P$2,Grade!$O$1="Per Bar Size"),VLOOKUP(LEFT(N164,FIND("@",N164)-2),Grade!$J$1:$K$12,2,0),SD!$C$29))</f>
        <v>A615 Grade 60</v>
      </c>
      <c r="R164" t="s">
        <v>715</v>
      </c>
      <c r="S164" s="57">
        <v>164</v>
      </c>
      <c r="U164" t="str">
        <f>IF(Data!$J164="",IFERROR(INDEX(IF(SD!$C$11="Create",Lap!$A$3:$BF$14,IF(SD!$C$11="Per Uploaded File",Lap!$A$19:$BF$30,"")),MATCH(W164,Lap!$A$3:$A$14,0),MATCH(VALUE(D164),Lap!$A$3:$BF$3,0)+IF(IFERROR(FIND("Grade 60",J164),0)&gt;0,0,IF(IFERROR(FIND("Grade 80",J164),0),1,IF(IFERROR(FIND("Grade 75",J164),0),2,"")))),""),Data!J164)</f>
        <v>4-0</v>
      </c>
      <c r="W164" t="s">
        <v>142</v>
      </c>
      <c r="X164">
        <v>10</v>
      </c>
      <c r="Y164" t="str">
        <f t="shared" si="7"/>
        <v>30</v>
      </c>
      <c r="Z164">
        <f t="shared" si="8"/>
        <v>0</v>
      </c>
      <c r="DE164" t="s">
        <v>831</v>
      </c>
      <c r="DF164" t="s">
        <v>66</v>
      </c>
      <c r="DG164" t="str">
        <f>VLOOKUP(W164,'Level Wise PSI'!$F$2:$G$12,2,FALSE)</f>
        <v>Double Lift</v>
      </c>
    </row>
    <row r="165" spans="1:111" x14ac:dyDescent="0.25">
      <c r="A165">
        <v>49</v>
      </c>
      <c r="B165" t="s">
        <v>658</v>
      </c>
      <c r="C165" s="15">
        <v>2429</v>
      </c>
      <c r="D165" s="15">
        <v>10000</v>
      </c>
      <c r="E165" s="15" t="s">
        <v>748</v>
      </c>
      <c r="F165" s="15" t="s">
        <v>763</v>
      </c>
      <c r="G165" t="s">
        <v>728</v>
      </c>
      <c r="H165" s="15" t="s">
        <v>759</v>
      </c>
      <c r="I165" t="s">
        <v>696</v>
      </c>
      <c r="J165" t="str">
        <f>IF(AND(SD!$C$19=SD!$H$2,Grade!$G$1="Per level"),VLOOKUP(B165,Grade!$E$1:$F$200,2,FALSE),IF(AND(SD!$C$19=SD!$H$2,Grade!$G$1="Per Bar Size"),VLOOKUP(W165,Grade!$B$1:$C$12,2,0),SD!$C$19))</f>
        <v>A615 Grade 60</v>
      </c>
      <c r="K165" t="s">
        <v>66</v>
      </c>
      <c r="L165" s="24" t="str">
        <f>IFERROR(IF(A165&lt;&gt;A166,"",IF(DF165="No Lap","",IF(K166="Lap",U165,IF(K166="Coupler",_xlfn._xlws.FILTER(CCoupler,(CCName=SD!$C$8)*(CBSize=IF(A164=A165,W165&amp;W166,W165&amp;W165))*(CCMFM="Male")),"")))),"N/A")</f>
        <v/>
      </c>
      <c r="M165" t="str">
        <f t="shared" si="6"/>
        <v/>
      </c>
      <c r="N165" t="s">
        <v>692</v>
      </c>
      <c r="O165" t="s">
        <v>693</v>
      </c>
      <c r="P165" t="s">
        <v>692</v>
      </c>
      <c r="Q165" t="str">
        <f>IF(AND(SD!$C$29=SD!$P$2,Grade!$O$1="Per level"),VLOOKUP(B165,Grade!$M$1:$N$200,2,FALSE),IF(AND(SD!$C$29=SD!$P$2,Grade!$O$1="Per Bar Size"),VLOOKUP(LEFT(N165,FIND("@",N165)-2),Grade!$J$1:$K$12,2,0),SD!$C$29))</f>
        <v>A615 Grade 60</v>
      </c>
      <c r="R165" t="s">
        <v>698</v>
      </c>
      <c r="S165" s="57">
        <v>165</v>
      </c>
      <c r="U165" t="str">
        <f>IF(Data!$J165="",IFERROR(INDEX(IF(SD!$C$11="Create",Lap!$A$3:$BF$14,IF(SD!$C$11="Per Uploaded File",Lap!$A$19:$BF$30,"")),MATCH(W165,Lap!$A$3:$A$14,0),MATCH(VALUE(D165),Lap!$A$3:$BF$3,0)+IF(IFERROR(FIND("Grade 60",J165),0)&gt;0,0,IF(IFERROR(FIND("Grade 80",J165),0),1,IF(IFERROR(FIND("Grade 75",J165),0),2,"")))),""),Data!J165)</f>
        <v>3-6</v>
      </c>
      <c r="W165" t="s">
        <v>129</v>
      </c>
      <c r="X165">
        <v>6</v>
      </c>
      <c r="Y165" t="str">
        <f t="shared" si="7"/>
        <v xml:space="preserve">16 </v>
      </c>
      <c r="Z165" t="str">
        <f t="shared" si="8"/>
        <v xml:space="preserve"> 24</v>
      </c>
      <c r="DE165" t="s">
        <v>728</v>
      </c>
      <c r="DF165" t="s">
        <v>66</v>
      </c>
      <c r="DG165" t="str">
        <f>VLOOKUP(W165,'Level Wise PSI'!$F$2:$G$12,2,FALSE)</f>
        <v>Double Lift</v>
      </c>
    </row>
    <row r="166" spans="1:111" x14ac:dyDescent="0.25">
      <c r="A166">
        <v>5</v>
      </c>
      <c r="B166" t="s">
        <v>658</v>
      </c>
      <c r="C166" s="15">
        <v>2429</v>
      </c>
      <c r="D166" s="15">
        <v>10000</v>
      </c>
      <c r="E166" t="str">
        <f>IF(B166=Level!$A$2,SD!$C$14,SD!$C$13)</f>
        <v>3-0</v>
      </c>
      <c r="F166" s="15" t="s">
        <v>763</v>
      </c>
      <c r="G166" t="s">
        <v>690</v>
      </c>
      <c r="H166" s="15" t="s">
        <v>759</v>
      </c>
      <c r="I166" t="s">
        <v>691</v>
      </c>
      <c r="J166" t="str">
        <f>IF(AND(SD!$C$19=SD!$H$2,Grade!$G$1="Per level"),VLOOKUP(B166,Grade!$E$1:$F$200,2,FALSE),IF(AND(SD!$C$19=SD!$H$2,Grade!$G$1="Per Bar Size"),VLOOKUP(W166,Grade!$B$1:$C$12,2,0),SD!$C$19))</f>
        <v>A615 Grade 60</v>
      </c>
      <c r="K166" t="s">
        <v>66</v>
      </c>
      <c r="L166" s="24" t="str">
        <f>IFERROR(IF(A166&lt;&gt;A167,"",IF(DF166="No Lap","",IF(K167="Lap",U166,IF(K167="Coupler",_xlfn._xlws.FILTER(CCoupler,(CCName=SD!$C$8)*(CBSize=IF(A165=A166,W166&amp;W167,W166&amp;W166))*(CCMFM="Male")),"")))),"N/A")</f>
        <v/>
      </c>
      <c r="M166" t="str">
        <f t="shared" si="6"/>
        <v/>
      </c>
      <c r="N166" t="s">
        <v>692</v>
      </c>
      <c r="O166" t="s">
        <v>693</v>
      </c>
      <c r="P166" t="s">
        <v>692</v>
      </c>
      <c r="Q166" t="str">
        <f>IF(AND(SD!$C$29=SD!$P$2,Grade!$O$1="Per level"),VLOOKUP(B166,Grade!$M$1:$N$200,2,FALSE),IF(AND(SD!$C$29=SD!$P$2,Grade!$O$1="Per Bar Size"),VLOOKUP(LEFT(N166,FIND("@",N166)-2),Grade!$J$1:$K$12,2,0),SD!$C$29))</f>
        <v>A615 Grade 60</v>
      </c>
      <c r="R166" t="s">
        <v>694</v>
      </c>
      <c r="S166" s="57">
        <v>166</v>
      </c>
      <c r="U166" t="str">
        <f>IF(Data!$J166="",IFERROR(INDEX(IF(SD!$C$11="Create",Lap!$A$3:$BF$14,IF(SD!$C$11="Per Uploaded File",Lap!$A$19:$BF$30,"")),MATCH(W166,Lap!$A$3:$A$14,0),MATCH(VALUE(D166),Lap!$A$3:$BF$3,0)+IF(IFERROR(FIND("Grade 60",J166),0)&gt;0,0,IF(IFERROR(FIND("Grade 80",J166),0),1,IF(IFERROR(FIND("Grade 75",J166),0),2,"")))),""),Data!J166)</f>
        <v>3-6</v>
      </c>
      <c r="W166" t="s">
        <v>129</v>
      </c>
      <c r="X166">
        <v>14</v>
      </c>
      <c r="Y166" t="str">
        <f t="shared" si="7"/>
        <v xml:space="preserve">12 </v>
      </c>
      <c r="Z166" t="str">
        <f t="shared" si="8"/>
        <v xml:space="preserve"> 56</v>
      </c>
      <c r="DE166" t="s">
        <v>690</v>
      </c>
      <c r="DF166" t="s">
        <v>66</v>
      </c>
      <c r="DG166" t="str">
        <f>VLOOKUP(W166,'Level Wise PSI'!$F$2:$G$12,2,FALSE)</f>
        <v>Double Lift</v>
      </c>
    </row>
    <row r="167" spans="1:111" x14ac:dyDescent="0.25">
      <c r="A167">
        <v>50</v>
      </c>
      <c r="B167" t="s">
        <v>658</v>
      </c>
      <c r="C167" s="15">
        <v>2429</v>
      </c>
      <c r="D167" s="15">
        <v>10000</v>
      </c>
      <c r="E167" s="15" t="s">
        <v>742</v>
      </c>
      <c r="F167" s="15" t="s">
        <v>763</v>
      </c>
      <c r="G167" t="s">
        <v>706</v>
      </c>
      <c r="H167" s="15" t="s">
        <v>758</v>
      </c>
      <c r="I167" t="s">
        <v>696</v>
      </c>
      <c r="J167" t="str">
        <f>IF(AND(SD!$C$19=SD!$H$2,Grade!$G$1="Per level"),VLOOKUP(B167,Grade!$E$1:$F$200,2,FALSE),IF(AND(SD!$C$19=SD!$H$2,Grade!$G$1="Per Bar Size"),VLOOKUP(W167,Grade!$B$1:$C$12,2,0),SD!$C$19))</f>
        <v>A615 Grade 60</v>
      </c>
      <c r="K167" t="s">
        <v>66</v>
      </c>
      <c r="L167" s="24" t="str">
        <f>IFERROR(IF(A167&lt;&gt;A168,"",IF(DF167="No Lap","",IF(K168="Lap",U167,IF(K168="Coupler",_xlfn._xlws.FILTER(CCoupler,(CCName=SD!$C$8)*(CBSize=IF(A166=A167,W167&amp;W168,W167&amp;W167))*(CCMFM="Male")),"")))),"N/A")</f>
        <v/>
      </c>
      <c r="M167" t="str">
        <f t="shared" si="6"/>
        <v/>
      </c>
      <c r="N167" t="s">
        <v>692</v>
      </c>
      <c r="O167" t="s">
        <v>693</v>
      </c>
      <c r="P167" t="s">
        <v>692</v>
      </c>
      <c r="Q167" t="str">
        <f>IF(AND(SD!$C$29=SD!$P$2,Grade!$O$1="Per level"),VLOOKUP(B167,Grade!$M$1:$N$200,2,FALSE),IF(AND(SD!$C$29=SD!$P$2,Grade!$O$1="Per Bar Size"),VLOOKUP(LEFT(N167,FIND("@",N167)-2),Grade!$J$1:$K$12,2,0),SD!$C$29))</f>
        <v>A615 Grade 60</v>
      </c>
      <c r="R167" t="s">
        <v>698</v>
      </c>
      <c r="S167" s="57">
        <v>167</v>
      </c>
      <c r="U167" t="str">
        <f>IF(Data!$J167="",IFERROR(INDEX(IF(SD!$C$11="Create",Lap!$A$3:$BF$14,IF(SD!$C$11="Per Uploaded File",Lap!$A$19:$BF$30,"")),MATCH(W167,Lap!$A$3:$A$14,0),MATCH(VALUE(D167),Lap!$A$3:$BF$3,0)+IF(IFERROR(FIND("Grade 60",J167),0)&gt;0,0,IF(IFERROR(FIND("Grade 80",J167),0),1,IF(IFERROR(FIND("Grade 75",J167),0),2,"")))),""),Data!J167)</f>
        <v>3-6</v>
      </c>
      <c r="W167" t="s">
        <v>129</v>
      </c>
      <c r="X167">
        <v>6</v>
      </c>
      <c r="Y167" t="str">
        <f t="shared" si="7"/>
        <v xml:space="preserve">14 </v>
      </c>
      <c r="Z167" t="str">
        <f t="shared" si="8"/>
        <v xml:space="preserve"> 24</v>
      </c>
      <c r="DE167" t="s">
        <v>706</v>
      </c>
      <c r="DF167" t="s">
        <v>66</v>
      </c>
      <c r="DG167" t="str">
        <f>VLOOKUP(W167,'Level Wise PSI'!$F$2:$G$12,2,FALSE)</f>
        <v>Double Lift</v>
      </c>
    </row>
    <row r="168" spans="1:111" x14ac:dyDescent="0.25">
      <c r="A168">
        <v>51</v>
      </c>
      <c r="B168" t="s">
        <v>658</v>
      </c>
      <c r="C168" s="15">
        <v>2429</v>
      </c>
      <c r="D168" s="15">
        <v>10000</v>
      </c>
      <c r="E168" t="str">
        <f>IF(B168=Level!$A$2,SD!$C$14,SD!$C$13)</f>
        <v>3-0</v>
      </c>
      <c r="F168" s="15" t="s">
        <v>763</v>
      </c>
      <c r="G168" t="s">
        <v>706</v>
      </c>
      <c r="H168" s="15" t="s">
        <v>759</v>
      </c>
      <c r="I168" t="s">
        <v>696</v>
      </c>
      <c r="J168" t="str">
        <f>IF(AND(SD!$C$19=SD!$H$2,Grade!$G$1="Per level"),VLOOKUP(B168,Grade!$E$1:$F$200,2,FALSE),IF(AND(SD!$C$19=SD!$H$2,Grade!$G$1="Per Bar Size"),VLOOKUP(W168,Grade!$B$1:$C$12,2,0),SD!$C$19))</f>
        <v>A615 Grade 60</v>
      </c>
      <c r="K168" t="s">
        <v>66</v>
      </c>
      <c r="L168" s="24" t="str">
        <f>IFERROR(IF(A168&lt;&gt;A169,"",IF(DF168="No Lap","",IF(K169="Lap",U168,IF(K169="Coupler",_xlfn._xlws.FILTER(CCoupler,(CCName=SD!$C$8)*(CBSize=IF(A167=A168,W168&amp;W169,W168&amp;W168))*(CCMFM="Male")),"")))),"N/A")</f>
        <v/>
      </c>
      <c r="M168" t="str">
        <f t="shared" si="6"/>
        <v/>
      </c>
      <c r="N168" t="s">
        <v>692</v>
      </c>
      <c r="O168" t="s">
        <v>693</v>
      </c>
      <c r="P168" t="s">
        <v>692</v>
      </c>
      <c r="Q168" t="str">
        <f>IF(AND(SD!$C$29=SD!$P$2,Grade!$O$1="Per level"),VLOOKUP(B168,Grade!$M$1:$N$200,2,FALSE),IF(AND(SD!$C$29=SD!$P$2,Grade!$O$1="Per Bar Size"),VLOOKUP(LEFT(N168,FIND("@",N168)-2),Grade!$J$1:$K$12,2,0),SD!$C$29))</f>
        <v>A615 Grade 60</v>
      </c>
      <c r="R168" t="s">
        <v>698</v>
      </c>
      <c r="S168" s="57">
        <v>168</v>
      </c>
      <c r="U168" t="str">
        <f>IF(Data!$J168="",IFERROR(INDEX(IF(SD!$C$11="Create",Lap!$A$3:$BF$14,IF(SD!$C$11="Per Uploaded File",Lap!$A$19:$BF$30,"")),MATCH(W168,Lap!$A$3:$A$14,0),MATCH(VALUE(D168),Lap!$A$3:$BF$3,0)+IF(IFERROR(FIND("Grade 60",J168),0)&gt;0,0,IF(IFERROR(FIND("Grade 80",J168),0),1,IF(IFERROR(FIND("Grade 75",J168),0),2,"")))),""),Data!J168)</f>
        <v>3-6</v>
      </c>
      <c r="W168" t="s">
        <v>129</v>
      </c>
      <c r="X168">
        <v>6</v>
      </c>
      <c r="Y168" t="str">
        <f t="shared" si="7"/>
        <v xml:space="preserve">14 </v>
      </c>
      <c r="Z168" t="str">
        <f t="shared" si="8"/>
        <v xml:space="preserve"> 24</v>
      </c>
      <c r="DE168" t="s">
        <v>706</v>
      </c>
      <c r="DF168" t="s">
        <v>66</v>
      </c>
      <c r="DG168" t="str">
        <f>VLOOKUP(W168,'Level Wise PSI'!$F$2:$G$12,2,FALSE)</f>
        <v>Double Lift</v>
      </c>
    </row>
    <row r="169" spans="1:111" x14ac:dyDescent="0.25">
      <c r="A169">
        <v>52</v>
      </c>
      <c r="B169" t="s">
        <v>658</v>
      </c>
      <c r="C169" s="15">
        <v>2429</v>
      </c>
      <c r="D169" s="15">
        <v>10000</v>
      </c>
      <c r="E169" t="str">
        <f>IF(B169=Level!$A$2,SD!$C$14,SD!$C$13)</f>
        <v>3-0</v>
      </c>
      <c r="F169" s="15" t="s">
        <v>763</v>
      </c>
      <c r="G169" t="s">
        <v>729</v>
      </c>
      <c r="H169" s="15" t="s">
        <v>760</v>
      </c>
      <c r="I169" t="s">
        <v>708</v>
      </c>
      <c r="J169" t="str">
        <f>IF(AND(SD!$C$19=SD!$H$2,Grade!$G$1="Per level"),VLOOKUP(B169,Grade!$E$1:$F$200,2,FALSE),IF(AND(SD!$C$19=SD!$H$2,Grade!$G$1="Per Bar Size"),VLOOKUP(W169,Grade!$B$1:$C$12,2,0),SD!$C$19))</f>
        <v>A615 Grade 60</v>
      </c>
      <c r="K169" t="s">
        <v>66</v>
      </c>
      <c r="L169" s="24" t="str">
        <f>IFERROR(IF(A169&lt;&gt;A170,"",IF(DF169="No Lap","",IF(K170="Lap",U169,IF(K170="Coupler",_xlfn._xlws.FILTER(CCoupler,(CCName=SD!$C$8)*(CBSize=IF(A168=A169,W169&amp;W170,W169&amp;W169))*(CCMFM="Male")),"")))),"N/A")</f>
        <v/>
      </c>
      <c r="M169" t="str">
        <f t="shared" si="6"/>
        <v/>
      </c>
      <c r="N169" t="s">
        <v>692</v>
      </c>
      <c r="O169" t="s">
        <v>693</v>
      </c>
      <c r="P169" t="s">
        <v>692</v>
      </c>
      <c r="Q169" t="str">
        <f>IF(AND(SD!$C$29=SD!$P$2,Grade!$O$1="Per level"),VLOOKUP(B169,Grade!$M$1:$N$200,2,FALSE),IF(AND(SD!$C$29=SD!$P$2,Grade!$O$1="Per Bar Size"),VLOOKUP(LEFT(N169,FIND("@",N169)-2),Grade!$J$1:$K$12,2,0),SD!$C$29))</f>
        <v>A615 Grade 60</v>
      </c>
      <c r="R169" t="s">
        <v>729</v>
      </c>
      <c r="S169" s="57">
        <v>169</v>
      </c>
      <c r="U169" t="str">
        <f>IF(Data!$J169="",IFERROR(INDEX(IF(SD!$C$11="Create",Lap!$A$3:$BF$14,IF(SD!$C$11="Per Uploaded File",Lap!$A$19:$BF$30,"")),MATCH(W169,Lap!$A$3:$A$14,0),MATCH(VALUE(D169),Lap!$A$3:$BF$3,0)+IF(IFERROR(FIND("Grade 60",J169),0)&gt;0,0,IF(IFERROR(FIND("Grade 80",J169),0),1,IF(IFERROR(FIND("Grade 75",J169),0),2,"")))),""),Data!J169)</f>
        <v>3-6</v>
      </c>
      <c r="W169" t="s">
        <v>129</v>
      </c>
      <c r="X169">
        <v>8</v>
      </c>
      <c r="Y169" t="str">
        <f t="shared" si="7"/>
        <v>24</v>
      </c>
      <c r="Z169">
        <f t="shared" si="8"/>
        <v>0</v>
      </c>
      <c r="DE169" t="s">
        <v>729</v>
      </c>
      <c r="DF169" t="s">
        <v>66</v>
      </c>
      <c r="DG169" t="str">
        <f>VLOOKUP(W169,'Level Wise PSI'!$F$2:$G$12,2,FALSE)</f>
        <v>Double Lift</v>
      </c>
    </row>
    <row r="170" spans="1:111" x14ac:dyDescent="0.25">
      <c r="A170">
        <v>53</v>
      </c>
      <c r="B170" t="s">
        <v>658</v>
      </c>
      <c r="C170" s="15">
        <v>2429</v>
      </c>
      <c r="D170" s="15">
        <v>10000</v>
      </c>
      <c r="E170" t="str">
        <f>IF(B170=Level!$A$2,SD!$C$14,SD!$C$13)</f>
        <v>3-0</v>
      </c>
      <c r="F170" s="15" t="s">
        <v>763</v>
      </c>
      <c r="G170" t="s">
        <v>729</v>
      </c>
      <c r="H170" s="15" t="s">
        <v>760</v>
      </c>
      <c r="I170" t="s">
        <v>708</v>
      </c>
      <c r="J170" t="str">
        <f>IF(AND(SD!$C$19=SD!$H$2,Grade!$G$1="Per level"),VLOOKUP(B170,Grade!$E$1:$F$200,2,FALSE),IF(AND(SD!$C$19=SD!$H$2,Grade!$G$1="Per Bar Size"),VLOOKUP(W170,Grade!$B$1:$C$12,2,0),SD!$C$19))</f>
        <v>A615 Grade 60</v>
      </c>
      <c r="K170" t="s">
        <v>66</v>
      </c>
      <c r="L170" s="24" t="str">
        <f>IFERROR(IF(A170&lt;&gt;A171,"",IF(DF170="No Lap","",IF(K171="Lap",U170,IF(K171="Coupler",_xlfn._xlws.FILTER(CCoupler,(CCName=SD!$C$8)*(CBSize=IF(A169=A170,W170&amp;W171,W170&amp;W170))*(CCMFM="Male")),"")))),"N/A")</f>
        <v/>
      </c>
      <c r="M170" t="str">
        <f t="shared" si="6"/>
        <v/>
      </c>
      <c r="N170" t="s">
        <v>692</v>
      </c>
      <c r="O170" t="s">
        <v>693</v>
      </c>
      <c r="P170" t="s">
        <v>692</v>
      </c>
      <c r="Q170" t="str">
        <f>IF(AND(SD!$C$29=SD!$P$2,Grade!$O$1="Per level"),VLOOKUP(B170,Grade!$M$1:$N$200,2,FALSE),IF(AND(SD!$C$29=SD!$P$2,Grade!$O$1="Per Bar Size"),VLOOKUP(LEFT(N170,FIND("@",N170)-2),Grade!$J$1:$K$12,2,0),SD!$C$29))</f>
        <v>A615 Grade 60</v>
      </c>
      <c r="R170" t="s">
        <v>729</v>
      </c>
      <c r="S170" s="57">
        <v>170</v>
      </c>
      <c r="U170" t="str">
        <f>IF(Data!$J170="",IFERROR(INDEX(IF(SD!$C$11="Create",Lap!$A$3:$BF$14,IF(SD!$C$11="Per Uploaded File",Lap!$A$19:$BF$30,"")),MATCH(W170,Lap!$A$3:$A$14,0),MATCH(VALUE(D170),Lap!$A$3:$BF$3,0)+IF(IFERROR(FIND("Grade 60",J170),0)&gt;0,0,IF(IFERROR(FIND("Grade 80",J170),0),1,IF(IFERROR(FIND("Grade 75",J170),0),2,"")))),""),Data!J170)</f>
        <v>3-6</v>
      </c>
      <c r="W170" t="s">
        <v>129</v>
      </c>
      <c r="X170">
        <v>8</v>
      </c>
      <c r="Y170" t="str">
        <f t="shared" si="7"/>
        <v>24</v>
      </c>
      <c r="Z170">
        <f t="shared" si="8"/>
        <v>0</v>
      </c>
      <c r="DE170" t="s">
        <v>729</v>
      </c>
      <c r="DF170" t="s">
        <v>66</v>
      </c>
      <c r="DG170" t="str">
        <f>VLOOKUP(W170,'Level Wise PSI'!$F$2:$G$12,2,FALSE)</f>
        <v>Double Lift</v>
      </c>
    </row>
    <row r="171" spans="1:111" x14ac:dyDescent="0.25">
      <c r="A171">
        <v>54</v>
      </c>
      <c r="B171" t="s">
        <v>658</v>
      </c>
      <c r="C171" s="15">
        <v>2429</v>
      </c>
      <c r="D171" s="15">
        <v>10000</v>
      </c>
      <c r="E171" t="str">
        <f>IF(B171=Level!$A$2,SD!$C$14,SD!$C$13)</f>
        <v>3-0</v>
      </c>
      <c r="F171" s="15" t="s">
        <v>763</v>
      </c>
      <c r="G171" t="s">
        <v>729</v>
      </c>
      <c r="H171" s="15" t="s">
        <v>760</v>
      </c>
      <c r="I171" t="s">
        <v>708</v>
      </c>
      <c r="J171" t="str">
        <f>IF(AND(SD!$C$19=SD!$H$2,Grade!$G$1="Per level"),VLOOKUP(B171,Grade!$E$1:$F$200,2,FALSE),IF(AND(SD!$C$19=SD!$H$2,Grade!$G$1="Per Bar Size"),VLOOKUP(W171,Grade!$B$1:$C$12,2,0),SD!$C$19))</f>
        <v>A615 Grade 60</v>
      </c>
      <c r="K171" t="s">
        <v>66</v>
      </c>
      <c r="L171" s="24" t="str">
        <f>IFERROR(IF(A171&lt;&gt;A172,"",IF(DF171="No Lap","",IF(K172="Lap",U171,IF(K172="Coupler",_xlfn._xlws.FILTER(CCoupler,(CCName=SD!$C$8)*(CBSize=IF(A170=A171,W171&amp;W172,W171&amp;W171))*(CCMFM="Male")),"")))),"N/A")</f>
        <v/>
      </c>
      <c r="M171" t="str">
        <f t="shared" si="6"/>
        <v/>
      </c>
      <c r="N171" t="s">
        <v>692</v>
      </c>
      <c r="O171" t="s">
        <v>693</v>
      </c>
      <c r="P171" t="s">
        <v>692</v>
      </c>
      <c r="Q171" t="str">
        <f>IF(AND(SD!$C$29=SD!$P$2,Grade!$O$1="Per level"),VLOOKUP(B171,Grade!$M$1:$N$200,2,FALSE),IF(AND(SD!$C$29=SD!$P$2,Grade!$O$1="Per Bar Size"),VLOOKUP(LEFT(N171,FIND("@",N171)-2),Grade!$J$1:$K$12,2,0),SD!$C$29))</f>
        <v>A615 Grade 60</v>
      </c>
      <c r="R171" t="s">
        <v>729</v>
      </c>
      <c r="S171" s="57">
        <v>171</v>
      </c>
      <c r="U171" t="str">
        <f>IF(Data!$J171="",IFERROR(INDEX(IF(SD!$C$11="Create",Lap!$A$3:$BF$14,IF(SD!$C$11="Per Uploaded File",Lap!$A$19:$BF$30,"")),MATCH(W171,Lap!$A$3:$A$14,0),MATCH(VALUE(D171),Lap!$A$3:$BF$3,0)+IF(IFERROR(FIND("Grade 60",J171),0)&gt;0,0,IF(IFERROR(FIND("Grade 80",J171),0),1,IF(IFERROR(FIND("Grade 75",J171),0),2,"")))),""),Data!J171)</f>
        <v>3-6</v>
      </c>
      <c r="W171" t="s">
        <v>129</v>
      </c>
      <c r="X171">
        <v>8</v>
      </c>
      <c r="Y171" t="str">
        <f t="shared" si="7"/>
        <v>24</v>
      </c>
      <c r="Z171">
        <f t="shared" si="8"/>
        <v>0</v>
      </c>
      <c r="DE171" t="s">
        <v>729</v>
      </c>
      <c r="DF171" t="s">
        <v>66</v>
      </c>
      <c r="DG171" t="str">
        <f>VLOOKUP(W171,'Level Wise PSI'!$F$2:$G$12,2,FALSE)</f>
        <v>Double Lift</v>
      </c>
    </row>
    <row r="172" spans="1:111" x14ac:dyDescent="0.25">
      <c r="A172">
        <v>55</v>
      </c>
      <c r="B172" t="s">
        <v>658</v>
      </c>
      <c r="C172" s="15">
        <v>2429</v>
      </c>
      <c r="D172" s="15">
        <v>10000</v>
      </c>
      <c r="E172" t="str">
        <f>IF(B172=Level!$A$2,SD!$C$14,SD!$C$13)</f>
        <v>3-0</v>
      </c>
      <c r="F172" s="15" t="s">
        <v>763</v>
      </c>
      <c r="G172" t="s">
        <v>729</v>
      </c>
      <c r="H172" s="15" t="s">
        <v>760</v>
      </c>
      <c r="I172" t="s">
        <v>708</v>
      </c>
      <c r="J172" t="str">
        <f>IF(AND(SD!$C$19=SD!$H$2,Grade!$G$1="Per level"),VLOOKUP(B172,Grade!$E$1:$F$200,2,FALSE),IF(AND(SD!$C$19=SD!$H$2,Grade!$G$1="Per Bar Size"),VLOOKUP(W172,Grade!$B$1:$C$12,2,0),SD!$C$19))</f>
        <v>A615 Grade 60</v>
      </c>
      <c r="K172" t="s">
        <v>66</v>
      </c>
      <c r="L172" s="24" t="str">
        <f>IFERROR(IF(A172&lt;&gt;A173,"",IF(DF172="No Lap","",IF(K173="Lap",U172,IF(K173="Coupler",_xlfn._xlws.FILTER(CCoupler,(CCName=SD!$C$8)*(CBSize=IF(A171=A172,W172&amp;W173,W172&amp;W172))*(CCMFM="Male")),"")))),"N/A")</f>
        <v/>
      </c>
      <c r="M172" t="str">
        <f t="shared" si="6"/>
        <v/>
      </c>
      <c r="N172" t="s">
        <v>692</v>
      </c>
      <c r="O172" t="s">
        <v>693</v>
      </c>
      <c r="P172" t="s">
        <v>692</v>
      </c>
      <c r="Q172" t="str">
        <f>IF(AND(SD!$C$29=SD!$P$2,Grade!$O$1="Per level"),VLOOKUP(B172,Grade!$M$1:$N$200,2,FALSE),IF(AND(SD!$C$29=SD!$P$2,Grade!$O$1="Per Bar Size"),VLOOKUP(LEFT(N172,FIND("@",N172)-2),Grade!$J$1:$K$12,2,0),SD!$C$29))</f>
        <v>A615 Grade 60</v>
      </c>
      <c r="R172" t="s">
        <v>729</v>
      </c>
      <c r="S172" s="57">
        <v>172</v>
      </c>
      <c r="U172" t="str">
        <f>IF(Data!$J172="",IFERROR(INDEX(IF(SD!$C$11="Create",Lap!$A$3:$BF$14,IF(SD!$C$11="Per Uploaded File",Lap!$A$19:$BF$30,"")),MATCH(W172,Lap!$A$3:$A$14,0),MATCH(VALUE(D172),Lap!$A$3:$BF$3,0)+IF(IFERROR(FIND("Grade 60",J172),0)&gt;0,0,IF(IFERROR(FIND("Grade 80",J172),0),1,IF(IFERROR(FIND("Grade 75",J172),0),2,"")))),""),Data!J172)</f>
        <v>3-6</v>
      </c>
      <c r="W172" t="s">
        <v>129</v>
      </c>
      <c r="X172">
        <v>8</v>
      </c>
      <c r="Y172" t="str">
        <f t="shared" si="7"/>
        <v>24</v>
      </c>
      <c r="Z172">
        <f t="shared" si="8"/>
        <v>0</v>
      </c>
      <c r="DE172" t="s">
        <v>729</v>
      </c>
      <c r="DF172" t="s">
        <v>66</v>
      </c>
      <c r="DG172" t="str">
        <f>VLOOKUP(W172,'Level Wise PSI'!$F$2:$G$12,2,FALSE)</f>
        <v>Double Lift</v>
      </c>
    </row>
    <row r="173" spans="1:111" x14ac:dyDescent="0.25">
      <c r="A173">
        <v>56</v>
      </c>
      <c r="B173" t="s">
        <v>658</v>
      </c>
      <c r="C173" s="15">
        <v>2429</v>
      </c>
      <c r="D173" s="15">
        <v>10000</v>
      </c>
      <c r="E173" t="str">
        <f>IF(B173=Level!$A$2,SD!$C$14,SD!$C$13)</f>
        <v>3-0</v>
      </c>
      <c r="F173" s="15" t="s">
        <v>763</v>
      </c>
      <c r="G173" t="s">
        <v>718</v>
      </c>
      <c r="H173" s="15" t="s">
        <v>759</v>
      </c>
      <c r="I173" t="s">
        <v>719</v>
      </c>
      <c r="J173" t="str">
        <f>IF(AND(SD!$C$19=SD!$H$2,Grade!$G$1="Per level"),VLOOKUP(B173,Grade!$E$1:$F$200,2,FALSE),IF(AND(SD!$C$19=SD!$H$2,Grade!$G$1="Per Bar Size"),VLOOKUP(W173,Grade!$B$1:$C$12,2,0),SD!$C$19))</f>
        <v>A615 Grade 60</v>
      </c>
      <c r="K173" t="s">
        <v>66</v>
      </c>
      <c r="L173" s="24" t="str">
        <f>IFERROR(IF(A173&lt;&gt;A174,"",IF(DF173="No Lap","",IF(K174="Lap",U173,IF(K174="Coupler",_xlfn._xlws.FILTER(CCoupler,(CCName=SD!$C$8)*(CBSize=IF(A172=A173,W173&amp;W174,W173&amp;W173))*(CCMFM="Male")),"")))),"N/A")</f>
        <v/>
      </c>
      <c r="M173" t="str">
        <f t="shared" si="6"/>
        <v/>
      </c>
      <c r="N173" t="s">
        <v>692</v>
      </c>
      <c r="O173" t="s">
        <v>693</v>
      </c>
      <c r="P173" t="s">
        <v>692</v>
      </c>
      <c r="Q173" t="str">
        <f>IF(AND(SD!$C$29=SD!$P$2,Grade!$O$1="Per level"),VLOOKUP(B173,Grade!$M$1:$N$200,2,FALSE),IF(AND(SD!$C$29=SD!$P$2,Grade!$O$1="Per Bar Size"),VLOOKUP(LEFT(N173,FIND("@",N173)-2),Grade!$J$1:$K$12,2,0),SD!$C$29))</f>
        <v>A615 Grade 60</v>
      </c>
      <c r="R173" t="s">
        <v>720</v>
      </c>
      <c r="S173" s="57">
        <v>173</v>
      </c>
      <c r="U173" t="str">
        <f>IF(Data!$J173="",IFERROR(INDEX(IF(SD!$C$11="Create",Lap!$A$3:$BF$14,IF(SD!$C$11="Per Uploaded File",Lap!$A$19:$BF$30,"")),MATCH(W173,Lap!$A$3:$A$14,0),MATCH(VALUE(D173),Lap!$A$3:$BF$3,0)+IF(IFERROR(FIND("Grade 60",J173),0)&gt;0,0,IF(IFERROR(FIND("Grade 80",J173),0),1,IF(IFERROR(FIND("Grade 75",J173),0),2,"")))),""),Data!J173)</f>
        <v>3-6</v>
      </c>
      <c r="W173" t="s">
        <v>129</v>
      </c>
      <c r="X173">
        <v>10</v>
      </c>
      <c r="Y173" t="str">
        <f t="shared" si="7"/>
        <v xml:space="preserve">18 </v>
      </c>
      <c r="Z173" t="str">
        <f t="shared" si="8"/>
        <v xml:space="preserve"> 30</v>
      </c>
      <c r="DE173" t="s">
        <v>718</v>
      </c>
      <c r="DF173" t="s">
        <v>66</v>
      </c>
      <c r="DG173" t="str">
        <f>VLOOKUP(W173,'Level Wise PSI'!$F$2:$G$12,2,FALSE)</f>
        <v>Double Lift</v>
      </c>
    </row>
    <row r="174" spans="1:111" x14ac:dyDescent="0.25">
      <c r="A174">
        <v>57</v>
      </c>
      <c r="B174" t="s">
        <v>658</v>
      </c>
      <c r="C174" s="15">
        <v>2429</v>
      </c>
      <c r="D174" s="15">
        <v>10000</v>
      </c>
      <c r="E174" s="15" t="s">
        <v>749</v>
      </c>
      <c r="F174" s="15" t="s">
        <v>763</v>
      </c>
      <c r="G174" t="s">
        <v>706</v>
      </c>
      <c r="H174" s="15" t="s">
        <v>759</v>
      </c>
      <c r="I174" t="s">
        <v>696</v>
      </c>
      <c r="J174" t="str">
        <f>IF(AND(SD!$C$19=SD!$H$2,Grade!$G$1="Per level"),VLOOKUP(B174,Grade!$E$1:$F$200,2,FALSE),IF(AND(SD!$C$19=SD!$H$2,Grade!$G$1="Per Bar Size"),VLOOKUP(W174,Grade!$B$1:$C$12,2,0),SD!$C$19))</f>
        <v>A615 Grade 60</v>
      </c>
      <c r="K174" t="s">
        <v>66</v>
      </c>
      <c r="L174" s="24" t="str">
        <f>IFERROR(IF(A174&lt;&gt;A175,"",IF(DF174="No Lap","",IF(K175="Lap",U174,IF(K175="Coupler",_xlfn._xlws.FILTER(CCoupler,(CCName=SD!$C$8)*(CBSize=IF(A173=A174,W174&amp;W175,W174&amp;W174))*(CCMFM="Male")),"")))),"N/A")</f>
        <v/>
      </c>
      <c r="M174" t="str">
        <f t="shared" si="6"/>
        <v/>
      </c>
      <c r="N174" t="s">
        <v>692</v>
      </c>
      <c r="O174" t="s">
        <v>693</v>
      </c>
      <c r="P174" t="s">
        <v>692</v>
      </c>
      <c r="Q174" t="str">
        <f>IF(AND(SD!$C$29=SD!$P$2,Grade!$O$1="Per level"),VLOOKUP(B174,Grade!$M$1:$N$200,2,FALSE),IF(AND(SD!$C$29=SD!$P$2,Grade!$O$1="Per Bar Size"),VLOOKUP(LEFT(N174,FIND("@",N174)-2),Grade!$J$1:$K$12,2,0),SD!$C$29))</f>
        <v>A615 Grade 60</v>
      </c>
      <c r="R174" t="s">
        <v>698</v>
      </c>
      <c r="S174" s="57">
        <v>174</v>
      </c>
      <c r="U174" t="str">
        <f>IF(Data!$J174="",IFERROR(INDEX(IF(SD!$C$11="Create",Lap!$A$3:$BF$14,IF(SD!$C$11="Per Uploaded File",Lap!$A$19:$BF$30,"")),MATCH(W174,Lap!$A$3:$A$14,0),MATCH(VALUE(D174),Lap!$A$3:$BF$3,0)+IF(IFERROR(FIND("Grade 60",J174),0)&gt;0,0,IF(IFERROR(FIND("Grade 80",J174),0),1,IF(IFERROR(FIND("Grade 75",J174),0),2,"")))),""),Data!J174)</f>
        <v>3-6</v>
      </c>
      <c r="W174" t="s">
        <v>129</v>
      </c>
      <c r="X174">
        <v>6</v>
      </c>
      <c r="Y174" t="str">
        <f t="shared" si="7"/>
        <v xml:space="preserve">14 </v>
      </c>
      <c r="Z174" t="str">
        <f t="shared" si="8"/>
        <v xml:space="preserve"> 24</v>
      </c>
      <c r="DE174" t="s">
        <v>706</v>
      </c>
      <c r="DF174" t="s">
        <v>66</v>
      </c>
      <c r="DG174" t="str">
        <f>VLOOKUP(W174,'Level Wise PSI'!$F$2:$G$12,2,FALSE)</f>
        <v>Double Lift</v>
      </c>
    </row>
    <row r="175" spans="1:111" x14ac:dyDescent="0.25">
      <c r="A175">
        <v>58</v>
      </c>
      <c r="B175" t="s">
        <v>658</v>
      </c>
      <c r="C175" s="15">
        <v>2429</v>
      </c>
      <c r="D175" s="15">
        <v>10000</v>
      </c>
      <c r="E175" s="15" t="s">
        <v>744</v>
      </c>
      <c r="F175" s="15" t="s">
        <v>763</v>
      </c>
      <c r="G175" t="s">
        <v>706</v>
      </c>
      <c r="H175" s="15" t="s">
        <v>758</v>
      </c>
      <c r="I175" t="s">
        <v>696</v>
      </c>
      <c r="J175" t="str">
        <f>IF(AND(SD!$C$19=SD!$H$2,Grade!$G$1="Per level"),VLOOKUP(B175,Grade!$E$1:$F$200,2,FALSE),IF(AND(SD!$C$19=SD!$H$2,Grade!$G$1="Per Bar Size"),VLOOKUP(W175,Grade!$B$1:$C$12,2,0),SD!$C$19))</f>
        <v>A615 Grade 60</v>
      </c>
      <c r="K175" t="s">
        <v>66</v>
      </c>
      <c r="L175" s="24" t="str">
        <f>IFERROR(IF(A175&lt;&gt;A176,"",IF(DF175="No Lap","",IF(K176="Lap",U175,IF(K176="Coupler",_xlfn._xlws.FILTER(CCoupler,(CCName=SD!$C$8)*(CBSize=IF(A174=A175,W175&amp;W176,W175&amp;W175))*(CCMFM="Male")),"")))),"N/A")</f>
        <v/>
      </c>
      <c r="M175" t="str">
        <f t="shared" si="6"/>
        <v/>
      </c>
      <c r="N175" t="s">
        <v>692</v>
      </c>
      <c r="O175" t="s">
        <v>693</v>
      </c>
      <c r="P175" t="s">
        <v>692</v>
      </c>
      <c r="Q175" t="str">
        <f>IF(AND(SD!$C$29=SD!$P$2,Grade!$O$1="Per level"),VLOOKUP(B175,Grade!$M$1:$N$200,2,FALSE),IF(AND(SD!$C$29=SD!$P$2,Grade!$O$1="Per Bar Size"),VLOOKUP(LEFT(N175,FIND("@",N175)-2),Grade!$J$1:$K$12,2,0),SD!$C$29))</f>
        <v>A615 Grade 60</v>
      </c>
      <c r="R175" t="s">
        <v>698</v>
      </c>
      <c r="S175" s="57">
        <v>175</v>
      </c>
      <c r="U175" t="str">
        <f>IF(Data!$J175="",IFERROR(INDEX(IF(SD!$C$11="Create",Lap!$A$3:$BF$14,IF(SD!$C$11="Per Uploaded File",Lap!$A$19:$BF$30,"")),MATCH(W175,Lap!$A$3:$A$14,0),MATCH(VALUE(D175),Lap!$A$3:$BF$3,0)+IF(IFERROR(FIND("Grade 60",J175),0)&gt;0,0,IF(IFERROR(FIND("Grade 80",J175),0),1,IF(IFERROR(FIND("Grade 75",J175),0),2,"")))),""),Data!J175)</f>
        <v>3-6</v>
      </c>
      <c r="W175" t="s">
        <v>129</v>
      </c>
      <c r="X175">
        <v>6</v>
      </c>
      <c r="Y175" t="str">
        <f t="shared" si="7"/>
        <v xml:space="preserve">14 </v>
      </c>
      <c r="Z175" t="str">
        <f t="shared" si="8"/>
        <v xml:space="preserve"> 24</v>
      </c>
      <c r="DE175" t="s">
        <v>706</v>
      </c>
      <c r="DF175" t="s">
        <v>66</v>
      </c>
      <c r="DG175" t="str">
        <f>VLOOKUP(W175,'Level Wise PSI'!$F$2:$G$12,2,FALSE)</f>
        <v>Double Lift</v>
      </c>
    </row>
    <row r="176" spans="1:111" x14ac:dyDescent="0.25">
      <c r="A176">
        <v>59</v>
      </c>
      <c r="B176" t="s">
        <v>658</v>
      </c>
      <c r="C176" s="15">
        <v>2429</v>
      </c>
      <c r="D176" s="15">
        <v>10000</v>
      </c>
      <c r="E176" t="str">
        <f>IF(B176=Level!$A$2,SD!$C$14,SD!$C$13)</f>
        <v>3-0</v>
      </c>
      <c r="F176" s="15" t="s">
        <v>763</v>
      </c>
      <c r="G176" t="s">
        <v>706</v>
      </c>
      <c r="H176" s="15" t="s">
        <v>759</v>
      </c>
      <c r="I176" t="s">
        <v>696</v>
      </c>
      <c r="J176" t="str">
        <f>IF(AND(SD!$C$19=SD!$H$2,Grade!$G$1="Per level"),VLOOKUP(B176,Grade!$E$1:$F$200,2,FALSE),IF(AND(SD!$C$19=SD!$H$2,Grade!$G$1="Per Bar Size"),VLOOKUP(W176,Grade!$B$1:$C$12,2,0),SD!$C$19))</f>
        <v>A615 Grade 60</v>
      </c>
      <c r="K176" t="s">
        <v>66</v>
      </c>
      <c r="L176" s="24" t="str">
        <f>IFERROR(IF(A176&lt;&gt;A177,"",IF(DF176="No Lap","",IF(K177="Lap",U176,IF(K177="Coupler",_xlfn._xlws.FILTER(CCoupler,(CCName=SD!$C$8)*(CBSize=IF(A175=A176,W176&amp;W177,W176&amp;W176))*(CCMFM="Male")),"")))),"N/A")</f>
        <v/>
      </c>
      <c r="M176" t="str">
        <f t="shared" si="6"/>
        <v/>
      </c>
      <c r="N176" t="s">
        <v>692</v>
      </c>
      <c r="O176" t="s">
        <v>693</v>
      </c>
      <c r="P176" t="s">
        <v>692</v>
      </c>
      <c r="Q176" t="str">
        <f>IF(AND(SD!$C$29=SD!$P$2,Grade!$O$1="Per level"),VLOOKUP(B176,Grade!$M$1:$N$200,2,FALSE),IF(AND(SD!$C$29=SD!$P$2,Grade!$O$1="Per Bar Size"),VLOOKUP(LEFT(N176,FIND("@",N176)-2),Grade!$J$1:$K$12,2,0),SD!$C$29))</f>
        <v>A615 Grade 60</v>
      </c>
      <c r="R176" t="s">
        <v>698</v>
      </c>
      <c r="S176" s="57">
        <v>176</v>
      </c>
      <c r="U176" t="str">
        <f>IF(Data!$J176="",IFERROR(INDEX(IF(SD!$C$11="Create",Lap!$A$3:$BF$14,IF(SD!$C$11="Per Uploaded File",Lap!$A$19:$BF$30,"")),MATCH(W176,Lap!$A$3:$A$14,0),MATCH(VALUE(D176),Lap!$A$3:$BF$3,0)+IF(IFERROR(FIND("Grade 60",J176),0)&gt;0,0,IF(IFERROR(FIND("Grade 80",J176),0),1,IF(IFERROR(FIND("Grade 75",J176),0),2,"")))),""),Data!J176)</f>
        <v>3-6</v>
      </c>
      <c r="W176" t="s">
        <v>129</v>
      </c>
      <c r="X176">
        <v>6</v>
      </c>
      <c r="Y176" t="str">
        <f t="shared" si="7"/>
        <v xml:space="preserve">14 </v>
      </c>
      <c r="Z176" t="str">
        <f t="shared" si="8"/>
        <v xml:space="preserve"> 24</v>
      </c>
      <c r="DE176" t="s">
        <v>706</v>
      </c>
      <c r="DF176" t="s">
        <v>66</v>
      </c>
      <c r="DG176" t="str">
        <f>VLOOKUP(W176,'Level Wise PSI'!$F$2:$G$12,2,FALSE)</f>
        <v>Double Lift</v>
      </c>
    </row>
    <row r="177" spans="1:111" x14ac:dyDescent="0.25">
      <c r="A177">
        <v>6</v>
      </c>
      <c r="B177" t="s">
        <v>658</v>
      </c>
      <c r="C177" s="15">
        <v>2429</v>
      </c>
      <c r="D177" s="15">
        <v>10000</v>
      </c>
      <c r="E177" t="str">
        <f>IF(B177=Level!$A$2,SD!$C$14,SD!$C$13)</f>
        <v>3-0</v>
      </c>
      <c r="F177" s="15" t="s">
        <v>763</v>
      </c>
      <c r="G177" t="s">
        <v>699</v>
      </c>
      <c r="H177" s="15" t="s">
        <v>759</v>
      </c>
      <c r="I177" t="s">
        <v>700</v>
      </c>
      <c r="J177" t="str">
        <f>IF(AND(SD!$C$19=SD!$H$2,Grade!$G$1="Per level"),VLOOKUP(B177,Grade!$E$1:$F$200,2,FALSE),IF(AND(SD!$C$19=SD!$H$2,Grade!$G$1="Per Bar Size"),VLOOKUP(W177,Grade!$B$1:$C$12,2,0),SD!$C$19))</f>
        <v>A615 Grade 60</v>
      </c>
      <c r="K177" t="s">
        <v>66</v>
      </c>
      <c r="L177" s="24" t="str">
        <f>IFERROR(IF(A177&lt;&gt;A178,"",IF(DF177="No Lap","",IF(K178="Lap",U177,IF(K178="Coupler",_xlfn._xlws.FILTER(CCoupler,(CCName=SD!$C$8)*(CBSize=IF(A176=A177,W177&amp;W178,W177&amp;W177))*(CCMFM="Male")),"")))),"N/A")</f>
        <v/>
      </c>
      <c r="M177" t="str">
        <f t="shared" si="6"/>
        <v/>
      </c>
      <c r="N177" t="s">
        <v>692</v>
      </c>
      <c r="O177" t="s">
        <v>693</v>
      </c>
      <c r="P177" t="s">
        <v>692</v>
      </c>
      <c r="Q177" t="str">
        <f>IF(AND(SD!$C$29=SD!$P$2,Grade!$O$1="Per level"),VLOOKUP(B177,Grade!$M$1:$N$200,2,FALSE),IF(AND(SD!$C$29=SD!$P$2,Grade!$O$1="Per Bar Size"),VLOOKUP(LEFT(N177,FIND("@",N177)-2),Grade!$J$1:$K$12,2,0),SD!$C$29))</f>
        <v>A615 Grade 60</v>
      </c>
      <c r="R177" t="s">
        <v>701</v>
      </c>
      <c r="S177" s="57">
        <v>177</v>
      </c>
      <c r="U177" t="str">
        <f>IF(Data!$J177="",IFERROR(INDEX(IF(SD!$C$11="Create",Lap!$A$3:$BF$14,IF(SD!$C$11="Per Uploaded File",Lap!$A$19:$BF$30,"")),MATCH(W177,Lap!$A$3:$A$14,0),MATCH(VALUE(D177),Lap!$A$3:$BF$3,0)+IF(IFERROR(FIND("Grade 60",J177),0)&gt;0,0,IF(IFERROR(FIND("Grade 80",J177),0),1,IF(IFERROR(FIND("Grade 75",J177),0),2,"")))),""),Data!J177)</f>
        <v>4-6</v>
      </c>
      <c r="W177" t="s">
        <v>154</v>
      </c>
      <c r="X177">
        <v>12</v>
      </c>
      <c r="Y177" t="str">
        <f t="shared" si="7"/>
        <v xml:space="preserve">24 </v>
      </c>
      <c r="Z177" t="str">
        <f t="shared" si="8"/>
        <v xml:space="preserve"> 36</v>
      </c>
      <c r="DE177" t="s">
        <v>699</v>
      </c>
      <c r="DF177" t="s">
        <v>66</v>
      </c>
      <c r="DG177" t="str">
        <f>VLOOKUP(W177,'Level Wise PSI'!$F$2:$G$12,2,FALSE)</f>
        <v>Double Lift</v>
      </c>
    </row>
    <row r="178" spans="1:111" x14ac:dyDescent="0.25">
      <c r="A178">
        <v>60</v>
      </c>
      <c r="B178" t="s">
        <v>658</v>
      </c>
      <c r="C178" s="15">
        <v>2429</v>
      </c>
      <c r="D178" s="15">
        <v>10000</v>
      </c>
      <c r="E178" t="str">
        <f>IF(B178=Level!$A$2,SD!$C$14,SD!$C$13)</f>
        <v>3-0</v>
      </c>
      <c r="F178" s="15" t="s">
        <v>763</v>
      </c>
      <c r="G178" t="s">
        <v>690</v>
      </c>
      <c r="H178" s="15" t="s">
        <v>759</v>
      </c>
      <c r="I178" t="s">
        <v>691</v>
      </c>
      <c r="J178" t="str">
        <f>IF(AND(SD!$C$19=SD!$H$2,Grade!$G$1="Per level"),VLOOKUP(B178,Grade!$E$1:$F$200,2,FALSE),IF(AND(SD!$C$19=SD!$H$2,Grade!$G$1="Per Bar Size"),VLOOKUP(W178,Grade!$B$1:$C$12,2,0),SD!$C$19))</f>
        <v>A615 Grade 60</v>
      </c>
      <c r="K178" t="s">
        <v>66</v>
      </c>
      <c r="L178" s="24" t="str">
        <f>IFERROR(IF(A178&lt;&gt;A179,"",IF(DF178="No Lap","",IF(K179="Lap",U178,IF(K179="Coupler",_xlfn._xlws.FILTER(CCoupler,(CCName=SD!$C$8)*(CBSize=IF(A177=A178,W178&amp;W179,W178&amp;W178))*(CCMFM="Male")),"")))),"N/A")</f>
        <v/>
      </c>
      <c r="M178" t="str">
        <f t="shared" si="6"/>
        <v/>
      </c>
      <c r="N178" t="s">
        <v>692</v>
      </c>
      <c r="O178" t="s">
        <v>693</v>
      </c>
      <c r="P178" t="s">
        <v>692</v>
      </c>
      <c r="Q178" t="str">
        <f>IF(AND(SD!$C$29=SD!$P$2,Grade!$O$1="Per level"),VLOOKUP(B178,Grade!$M$1:$N$200,2,FALSE),IF(AND(SD!$C$29=SD!$P$2,Grade!$O$1="Per Bar Size"),VLOOKUP(LEFT(N178,FIND("@",N178)-2),Grade!$J$1:$K$12,2,0),SD!$C$29))</f>
        <v>A615 Grade 60</v>
      </c>
      <c r="R178" t="s">
        <v>694</v>
      </c>
      <c r="S178" s="57">
        <v>178</v>
      </c>
      <c r="U178" t="str">
        <f>IF(Data!$J178="",IFERROR(INDEX(IF(SD!$C$11="Create",Lap!$A$3:$BF$14,IF(SD!$C$11="Per Uploaded File",Lap!$A$19:$BF$30,"")),MATCH(W178,Lap!$A$3:$A$14,0),MATCH(VALUE(D178),Lap!$A$3:$BF$3,0)+IF(IFERROR(FIND("Grade 60",J178),0)&gt;0,0,IF(IFERROR(FIND("Grade 80",J178),0),1,IF(IFERROR(FIND("Grade 75",J178),0),2,"")))),""),Data!J178)</f>
        <v>3-6</v>
      </c>
      <c r="W178" t="s">
        <v>129</v>
      </c>
      <c r="X178">
        <v>14</v>
      </c>
      <c r="Y178" t="str">
        <f t="shared" si="7"/>
        <v xml:space="preserve">12 </v>
      </c>
      <c r="Z178" t="str">
        <f t="shared" si="8"/>
        <v xml:space="preserve"> 56</v>
      </c>
      <c r="DE178" t="s">
        <v>690</v>
      </c>
      <c r="DF178" t="s">
        <v>66</v>
      </c>
      <c r="DG178" t="str">
        <f>VLOOKUP(W178,'Level Wise PSI'!$F$2:$G$12,2,FALSE)</f>
        <v>Double Lift</v>
      </c>
    </row>
    <row r="179" spans="1:111" x14ac:dyDescent="0.25">
      <c r="A179">
        <v>61</v>
      </c>
      <c r="B179" t="s">
        <v>658</v>
      </c>
      <c r="C179" s="15">
        <v>2429</v>
      </c>
      <c r="D179" s="15">
        <v>10000</v>
      </c>
      <c r="E179" t="str">
        <f>IF(B179=Level!$A$2,SD!$C$14,SD!$C$13)</f>
        <v>3-0</v>
      </c>
      <c r="F179" s="15" t="s">
        <v>763</v>
      </c>
      <c r="G179" t="s">
        <v>706</v>
      </c>
      <c r="H179" s="15" t="s">
        <v>759</v>
      </c>
      <c r="I179" t="s">
        <v>696</v>
      </c>
      <c r="J179" t="str">
        <f>IF(AND(SD!$C$19=SD!$H$2,Grade!$G$1="Per level"),VLOOKUP(B179,Grade!$E$1:$F$200,2,FALSE),IF(AND(SD!$C$19=SD!$H$2,Grade!$G$1="Per Bar Size"),VLOOKUP(W179,Grade!$B$1:$C$12,2,0),SD!$C$19))</f>
        <v>A615 Grade 60</v>
      </c>
      <c r="K179" t="s">
        <v>66</v>
      </c>
      <c r="L179" s="24" t="str">
        <f>IFERROR(IF(A179&lt;&gt;A180,"",IF(DF179="No Lap","",IF(K180="Lap",U179,IF(K180="Coupler",_xlfn._xlws.FILTER(CCoupler,(CCName=SD!$C$8)*(CBSize=IF(A178=A179,W179&amp;W180,W179&amp;W179))*(CCMFM="Male")),"")))),"N/A")</f>
        <v/>
      </c>
      <c r="M179" t="str">
        <f t="shared" si="6"/>
        <v/>
      </c>
      <c r="N179" t="s">
        <v>692</v>
      </c>
      <c r="O179" t="s">
        <v>693</v>
      </c>
      <c r="P179" t="s">
        <v>692</v>
      </c>
      <c r="Q179" t="str">
        <f>IF(AND(SD!$C$29=SD!$P$2,Grade!$O$1="Per level"),VLOOKUP(B179,Grade!$M$1:$N$200,2,FALSE),IF(AND(SD!$C$29=SD!$P$2,Grade!$O$1="Per Bar Size"),VLOOKUP(LEFT(N179,FIND("@",N179)-2),Grade!$J$1:$K$12,2,0),SD!$C$29))</f>
        <v>A615 Grade 60</v>
      </c>
      <c r="R179" t="s">
        <v>698</v>
      </c>
      <c r="S179" s="57">
        <v>179</v>
      </c>
      <c r="U179" t="str">
        <f>IF(Data!$J179="",IFERROR(INDEX(IF(SD!$C$11="Create",Lap!$A$3:$BF$14,IF(SD!$C$11="Per Uploaded File",Lap!$A$19:$BF$30,"")),MATCH(W179,Lap!$A$3:$A$14,0),MATCH(VALUE(D179),Lap!$A$3:$BF$3,0)+IF(IFERROR(FIND("Grade 60",J179),0)&gt;0,0,IF(IFERROR(FIND("Grade 80",J179),0),1,IF(IFERROR(FIND("Grade 75",J179),0),2,"")))),""),Data!J179)</f>
        <v>3-6</v>
      </c>
      <c r="W179" t="s">
        <v>129</v>
      </c>
      <c r="X179">
        <v>6</v>
      </c>
      <c r="Y179" t="str">
        <f t="shared" si="7"/>
        <v xml:space="preserve">14 </v>
      </c>
      <c r="Z179" t="str">
        <f t="shared" si="8"/>
        <v xml:space="preserve"> 24</v>
      </c>
      <c r="DE179" t="s">
        <v>706</v>
      </c>
      <c r="DF179" t="s">
        <v>66</v>
      </c>
      <c r="DG179" t="str">
        <f>VLOOKUP(W179,'Level Wise PSI'!$F$2:$G$12,2,FALSE)</f>
        <v>Double Lift</v>
      </c>
    </row>
    <row r="180" spans="1:111" x14ac:dyDescent="0.25">
      <c r="A180">
        <v>62</v>
      </c>
      <c r="B180" t="s">
        <v>658</v>
      </c>
      <c r="C180" s="15">
        <v>2429</v>
      </c>
      <c r="D180" s="15">
        <v>10000</v>
      </c>
      <c r="E180" t="str">
        <f>IF(B180=Level!$A$2,SD!$C$14,SD!$C$13)</f>
        <v>3-0</v>
      </c>
      <c r="F180" s="15" t="s">
        <v>763</v>
      </c>
      <c r="G180" t="s">
        <v>706</v>
      </c>
      <c r="H180" s="15" t="s">
        <v>759</v>
      </c>
      <c r="I180" t="s">
        <v>696</v>
      </c>
      <c r="J180" t="str">
        <f>IF(AND(SD!$C$19=SD!$H$2,Grade!$G$1="Per level"),VLOOKUP(B180,Grade!$E$1:$F$200,2,FALSE),IF(AND(SD!$C$19=SD!$H$2,Grade!$G$1="Per Bar Size"),VLOOKUP(W180,Grade!$B$1:$C$12,2,0),SD!$C$19))</f>
        <v>A615 Grade 60</v>
      </c>
      <c r="K180" t="s">
        <v>66</v>
      </c>
      <c r="L180" s="24" t="str">
        <f>IFERROR(IF(A180&lt;&gt;A181,"",IF(DF180="No Lap","",IF(K181="Lap",U180,IF(K181="Coupler",_xlfn._xlws.FILTER(CCoupler,(CCName=SD!$C$8)*(CBSize=IF(A179=A180,W180&amp;W181,W180&amp;W180))*(CCMFM="Male")),"")))),"N/A")</f>
        <v/>
      </c>
      <c r="M180" t="str">
        <f t="shared" si="6"/>
        <v/>
      </c>
      <c r="N180" t="s">
        <v>692</v>
      </c>
      <c r="O180" t="s">
        <v>693</v>
      </c>
      <c r="P180" t="s">
        <v>692</v>
      </c>
      <c r="Q180" t="str">
        <f>IF(AND(SD!$C$29=SD!$P$2,Grade!$O$1="Per level"),VLOOKUP(B180,Grade!$M$1:$N$200,2,FALSE),IF(AND(SD!$C$29=SD!$P$2,Grade!$O$1="Per Bar Size"),VLOOKUP(LEFT(N180,FIND("@",N180)-2),Grade!$J$1:$K$12,2,0),SD!$C$29))</f>
        <v>A615 Grade 60</v>
      </c>
      <c r="R180" t="s">
        <v>698</v>
      </c>
      <c r="S180" s="57">
        <v>180</v>
      </c>
      <c r="U180" t="str">
        <f>IF(Data!$J180="",IFERROR(INDEX(IF(SD!$C$11="Create",Lap!$A$3:$BF$14,IF(SD!$C$11="Per Uploaded File",Lap!$A$19:$BF$30,"")),MATCH(W180,Lap!$A$3:$A$14,0),MATCH(VALUE(D180),Lap!$A$3:$BF$3,0)+IF(IFERROR(FIND("Grade 60",J180),0)&gt;0,0,IF(IFERROR(FIND("Grade 80",J180),0),1,IF(IFERROR(FIND("Grade 75",J180),0),2,"")))),""),Data!J180)</f>
        <v>3-6</v>
      </c>
      <c r="W180" t="s">
        <v>129</v>
      </c>
      <c r="X180">
        <v>6</v>
      </c>
      <c r="Y180" t="str">
        <f t="shared" si="7"/>
        <v xml:space="preserve">14 </v>
      </c>
      <c r="Z180" t="str">
        <f t="shared" si="8"/>
        <v xml:space="preserve"> 24</v>
      </c>
      <c r="DE180" t="s">
        <v>706</v>
      </c>
      <c r="DF180" t="s">
        <v>66</v>
      </c>
      <c r="DG180" t="str">
        <f>VLOOKUP(W180,'Level Wise PSI'!$F$2:$G$12,2,FALSE)</f>
        <v>Double Lift</v>
      </c>
    </row>
    <row r="181" spans="1:111" x14ac:dyDescent="0.25">
      <c r="A181">
        <v>63</v>
      </c>
      <c r="B181" t="s">
        <v>658</v>
      </c>
      <c r="C181" s="15">
        <v>2429</v>
      </c>
      <c r="D181" s="15">
        <v>10000</v>
      </c>
      <c r="E181" t="str">
        <f>IF(B181=Level!$A$2,SD!$C$14,SD!$C$13)</f>
        <v>3-0</v>
      </c>
      <c r="F181" s="15" t="s">
        <v>763</v>
      </c>
      <c r="G181" t="s">
        <v>690</v>
      </c>
      <c r="H181" s="15" t="s">
        <v>759</v>
      </c>
      <c r="I181" t="s">
        <v>691</v>
      </c>
      <c r="J181" t="str">
        <f>IF(AND(SD!$C$19=SD!$H$2,Grade!$G$1="Per level"),VLOOKUP(B181,Grade!$E$1:$F$200,2,FALSE),IF(AND(SD!$C$19=SD!$H$2,Grade!$G$1="Per Bar Size"),VLOOKUP(W181,Grade!$B$1:$C$12,2,0),SD!$C$19))</f>
        <v>A615 Grade 60</v>
      </c>
      <c r="K181" t="s">
        <v>66</v>
      </c>
      <c r="L181" s="24" t="str">
        <f>IFERROR(IF(A181&lt;&gt;A182,"",IF(DF181="No Lap","",IF(K182="Lap",U181,IF(K182="Coupler",_xlfn._xlws.FILTER(CCoupler,(CCName=SD!$C$8)*(CBSize=IF(A180=A181,W181&amp;W182,W181&amp;W181))*(CCMFM="Male")),"")))),"N/A")</f>
        <v/>
      </c>
      <c r="M181" t="str">
        <f t="shared" si="6"/>
        <v/>
      </c>
      <c r="N181" t="s">
        <v>692</v>
      </c>
      <c r="O181" t="s">
        <v>693</v>
      </c>
      <c r="P181" t="s">
        <v>692</v>
      </c>
      <c r="Q181" t="str">
        <f>IF(AND(SD!$C$29=SD!$P$2,Grade!$O$1="Per level"),VLOOKUP(B181,Grade!$M$1:$N$200,2,FALSE),IF(AND(SD!$C$29=SD!$P$2,Grade!$O$1="Per Bar Size"),VLOOKUP(LEFT(N181,FIND("@",N181)-2),Grade!$J$1:$K$12,2,0),SD!$C$29))</f>
        <v>A615 Grade 60</v>
      </c>
      <c r="R181" t="s">
        <v>694</v>
      </c>
      <c r="S181" s="57">
        <v>181</v>
      </c>
      <c r="U181" t="str">
        <f>IF(Data!$J181="",IFERROR(INDEX(IF(SD!$C$11="Create",Lap!$A$3:$BF$14,IF(SD!$C$11="Per Uploaded File",Lap!$A$19:$BF$30,"")),MATCH(W181,Lap!$A$3:$A$14,0),MATCH(VALUE(D181),Lap!$A$3:$BF$3,0)+IF(IFERROR(FIND("Grade 60",J181),0)&gt;0,0,IF(IFERROR(FIND("Grade 80",J181),0),1,IF(IFERROR(FIND("Grade 75",J181),0),2,"")))),""),Data!J181)</f>
        <v>3-6</v>
      </c>
      <c r="W181" t="s">
        <v>129</v>
      </c>
      <c r="X181">
        <v>14</v>
      </c>
      <c r="Y181" t="str">
        <f t="shared" si="7"/>
        <v xml:space="preserve">12 </v>
      </c>
      <c r="Z181" t="str">
        <f t="shared" si="8"/>
        <v xml:space="preserve"> 56</v>
      </c>
      <c r="DE181" t="s">
        <v>690</v>
      </c>
      <c r="DF181" t="s">
        <v>66</v>
      </c>
      <c r="DG181" t="str">
        <f>VLOOKUP(W181,'Level Wise PSI'!$F$2:$G$12,2,FALSE)</f>
        <v>Double Lift</v>
      </c>
    </row>
    <row r="182" spans="1:111" x14ac:dyDescent="0.25">
      <c r="A182">
        <v>64</v>
      </c>
      <c r="B182" t="s">
        <v>661</v>
      </c>
      <c r="C182" s="15">
        <v>2429</v>
      </c>
      <c r="D182" s="15">
        <v>10000</v>
      </c>
      <c r="E182" s="15" t="s">
        <v>748</v>
      </c>
      <c r="F182" s="15" t="s">
        <v>763</v>
      </c>
      <c r="G182" t="s">
        <v>713</v>
      </c>
      <c r="H182" t="str">
        <f>RIGHT(VLOOKUP(B182,Level!A:C,3,FALSE),LEN(VLOOKUP(B182,Level!A:C,3,FALSE))-1)</f>
        <v>10-7</v>
      </c>
      <c r="I182" t="s">
        <v>714</v>
      </c>
      <c r="J182" t="str">
        <f>IF(AND(SD!$C$19=SD!$H$2,Grade!$G$1="Per level"),VLOOKUP(B182,Grade!$E$1:$F$200,2,FALSE),IF(AND(SD!$C$19=SD!$H$2,Grade!$G$1="Per Bar Size"),VLOOKUP(W182,Grade!$B$1:$C$12,2,0),SD!$C$19))</f>
        <v>A615 Grade 60</v>
      </c>
      <c r="K182" t="s">
        <v>66</v>
      </c>
      <c r="L182" s="24" t="str">
        <f>IFERROR(IF(A182&lt;&gt;A183,"",IF(DF182="No Lap","",IF(K183="Lap",U182,IF(K183="Coupler",_xlfn._xlws.FILTER(CCoupler,(CCName=SD!$C$8)*(CBSize=IF(A181=A182,W182&amp;W183,W182&amp;W182))*(CCMFM="Male")),"")))),"N/A")</f>
        <v>5-1</v>
      </c>
      <c r="M182" t="str">
        <f t="shared" si="6"/>
        <v/>
      </c>
      <c r="N182" t="s">
        <v>692</v>
      </c>
      <c r="O182" t="s">
        <v>693</v>
      </c>
      <c r="P182" t="s">
        <v>692</v>
      </c>
      <c r="Q182" t="str">
        <f>IF(AND(SD!$C$29=SD!$P$2,Grade!$O$1="Per level"),VLOOKUP(B182,Grade!$M$1:$N$200,2,FALSE),IF(AND(SD!$C$29=SD!$P$2,Grade!$O$1="Per Bar Size"),VLOOKUP(LEFT(N182,FIND("@",N182)-2),Grade!$J$1:$K$12,2,0),SD!$C$29))</f>
        <v>A615 Grade 60</v>
      </c>
      <c r="R182" t="s">
        <v>713</v>
      </c>
      <c r="S182" s="57">
        <v>182</v>
      </c>
      <c r="U182" t="str">
        <f>IF(Data!$J182="",IFERROR(INDEX(IF(SD!$C$11="Create",Lap!$A$3:$BF$14,IF(SD!$C$11="Per Uploaded File",Lap!$A$19:$BF$30,"")),MATCH(W182,Lap!$A$3:$A$14,0),MATCH(VALUE(D182),Lap!$A$3:$BF$3,0)+IF(IFERROR(FIND("Grade 60",J182),0)&gt;0,0,IF(IFERROR(FIND("Grade 80",J182),0),1,IF(IFERROR(FIND("Grade 75",J182),0),2,"")))),""),Data!J182)</f>
        <v>5-1</v>
      </c>
      <c r="W182" t="s">
        <v>166</v>
      </c>
      <c r="X182">
        <v>10</v>
      </c>
      <c r="Y182" t="str">
        <f t="shared" si="7"/>
        <v>36</v>
      </c>
      <c r="Z182">
        <f t="shared" si="8"/>
        <v>0</v>
      </c>
      <c r="DE182" t="s">
        <v>831</v>
      </c>
      <c r="DF182" t="s">
        <v>66</v>
      </c>
      <c r="DG182" t="str">
        <f>VLOOKUP(W182,'Level Wise PSI'!$F$2:$G$12,2,FALSE)</f>
        <v>Double Lift</v>
      </c>
    </row>
    <row r="183" spans="1:111" x14ac:dyDescent="0.25">
      <c r="A183">
        <v>64</v>
      </c>
      <c r="B183" t="s">
        <v>664</v>
      </c>
      <c r="C183" s="15">
        <v>2429</v>
      </c>
      <c r="D183" s="15">
        <v>10000</v>
      </c>
      <c r="E183" t="str">
        <f>IF(B183=Level!$A$2,SD!$C$14,SD!$C$13)</f>
        <v>0-8</v>
      </c>
      <c r="F183" s="15" t="s">
        <v>763</v>
      </c>
      <c r="G183" t="s">
        <v>715</v>
      </c>
      <c r="H183" t="str">
        <f>RIGHT(VLOOKUP(B183,Level!A:C,3,FALSE),LEN(VLOOKUP(B183,Level!A:C,3,FALSE))-1)</f>
        <v>10-7</v>
      </c>
      <c r="I183" t="s">
        <v>716</v>
      </c>
      <c r="J183" t="str">
        <f>IF(AND(SD!$C$19=SD!$H$2,Grade!$G$1="Per level"),VLOOKUP(B183,Grade!$E$1:$F$200,2,FALSE),IF(AND(SD!$C$19=SD!$H$2,Grade!$G$1="Per Bar Size"),VLOOKUP(W183,Grade!$B$1:$C$12,2,0),SD!$C$19))</f>
        <v>A615 Grade 60</v>
      </c>
      <c r="K183" t="s">
        <v>66</v>
      </c>
      <c r="L183" s="24" t="str">
        <f>IFERROR(IF(A183&lt;&gt;A184,"",IF(DF183="No Lap","",IF(K184="Lap",U183,IF(K184="Coupler",_xlfn._xlws.FILTER(CCoupler,(CCName=SD!$C$8)*(CBSize=IF(A182=A183,W183&amp;W184,W183&amp;W183))*(CCMFM="Male")),"")))),"N/A")</f>
        <v>5-1</v>
      </c>
      <c r="M183" t="str">
        <f t="shared" si="6"/>
        <v/>
      </c>
      <c r="N183" t="s">
        <v>692</v>
      </c>
      <c r="O183" t="s">
        <v>693</v>
      </c>
      <c r="P183" t="s">
        <v>692</v>
      </c>
      <c r="Q183" t="str">
        <f>IF(AND(SD!$C$29=SD!$P$2,Grade!$O$1="Per level"),VLOOKUP(B183,Grade!$M$1:$N$200,2,FALSE),IF(AND(SD!$C$29=SD!$P$2,Grade!$O$1="Per Bar Size"),VLOOKUP(LEFT(N183,FIND("@",N183)-2),Grade!$J$1:$K$12,2,0),SD!$C$29))</f>
        <v>A615 Grade 60</v>
      </c>
      <c r="R183" t="s">
        <v>715</v>
      </c>
      <c r="S183" s="57">
        <v>183</v>
      </c>
      <c r="U183" t="str">
        <f>IF(Data!$J183="",IFERROR(INDEX(IF(SD!$C$11="Create",Lap!$A$3:$BF$14,IF(SD!$C$11="Per Uploaded File",Lap!$A$19:$BF$30,"")),MATCH(W183,Lap!$A$3:$A$14,0),MATCH(VALUE(D183),Lap!$A$3:$BF$3,0)+IF(IFERROR(FIND("Grade 60",J183),0)&gt;0,0,IF(IFERROR(FIND("Grade 80",J183),0),1,IF(IFERROR(FIND("Grade 75",J183),0),2,"")))),""),Data!J183)</f>
        <v>5-1</v>
      </c>
      <c r="W183" t="s">
        <v>166</v>
      </c>
      <c r="X183">
        <v>6</v>
      </c>
      <c r="Y183" t="str">
        <f t="shared" si="7"/>
        <v>30</v>
      </c>
      <c r="Z183">
        <f t="shared" si="8"/>
        <v>0</v>
      </c>
      <c r="DE183" t="s">
        <v>831</v>
      </c>
      <c r="DF183" t="s">
        <v>66</v>
      </c>
      <c r="DG183" t="str">
        <f>VLOOKUP(W183,'Level Wise PSI'!$F$2:$G$12,2,FALSE)</f>
        <v>Double Lift</v>
      </c>
    </row>
    <row r="184" spans="1:111" x14ac:dyDescent="0.25">
      <c r="A184">
        <v>64</v>
      </c>
      <c r="B184" t="s">
        <v>666</v>
      </c>
      <c r="C184" s="15">
        <v>2429</v>
      </c>
      <c r="D184" s="15">
        <v>10000</v>
      </c>
      <c r="E184" t="str">
        <f>IF(B184=Level!$A$2,SD!$C$14,SD!$C$13)</f>
        <v>0-8</v>
      </c>
      <c r="F184" s="15" t="s">
        <v>763</v>
      </c>
      <c r="G184" t="s">
        <v>715</v>
      </c>
      <c r="H184" t="str">
        <f>RIGHT(VLOOKUP(B184,Level!A:C,3,FALSE),LEN(VLOOKUP(B184,Level!A:C,3,FALSE))-1)</f>
        <v>10-7</v>
      </c>
      <c r="I184" t="s">
        <v>716</v>
      </c>
      <c r="J184" t="str">
        <f>IF(AND(SD!$C$19=SD!$H$2,Grade!$G$1="Per level"),VLOOKUP(B184,Grade!$E$1:$F$200,2,FALSE),IF(AND(SD!$C$19=SD!$H$2,Grade!$G$1="Per Bar Size"),VLOOKUP(W184,Grade!$B$1:$C$12,2,0),SD!$C$19))</f>
        <v>A615 Grade 60</v>
      </c>
      <c r="K184" t="s">
        <v>66</v>
      </c>
      <c r="L184" s="24" t="str">
        <f>IFERROR(IF(A184&lt;&gt;A185,"",IF(DF184="No Lap","",IF(K185="Lap",U184,IF(K185="Coupler",_xlfn._xlws.FILTER(CCoupler,(CCName=SD!$C$8)*(CBSize=IF(A183=A184,W184&amp;W185,W184&amp;W184))*(CCMFM="Male")),"")))),"N/A")</f>
        <v>5-1</v>
      </c>
      <c r="M184" t="str">
        <f t="shared" si="6"/>
        <v/>
      </c>
      <c r="N184" t="s">
        <v>692</v>
      </c>
      <c r="O184" t="s">
        <v>693</v>
      </c>
      <c r="P184" t="s">
        <v>692</v>
      </c>
      <c r="Q184" t="str">
        <f>IF(AND(SD!$C$29=SD!$P$2,Grade!$O$1="Per level"),VLOOKUP(B184,Grade!$M$1:$N$200,2,FALSE),IF(AND(SD!$C$29=SD!$P$2,Grade!$O$1="Per Bar Size"),VLOOKUP(LEFT(N184,FIND("@",N184)-2),Grade!$J$1:$K$12,2,0),SD!$C$29))</f>
        <v>A615 Grade 60</v>
      </c>
      <c r="R184" t="s">
        <v>715</v>
      </c>
      <c r="S184" s="57">
        <v>184</v>
      </c>
      <c r="U184" t="str">
        <f>IF(Data!$J184="",IFERROR(INDEX(IF(SD!$C$11="Create",Lap!$A$3:$BF$14,IF(SD!$C$11="Per Uploaded File",Lap!$A$19:$BF$30,"")),MATCH(W184,Lap!$A$3:$A$14,0),MATCH(VALUE(D184),Lap!$A$3:$BF$3,0)+IF(IFERROR(FIND("Grade 60",J184),0)&gt;0,0,IF(IFERROR(FIND("Grade 80",J184),0),1,IF(IFERROR(FIND("Grade 75",J184),0),2,"")))),""),Data!J184)</f>
        <v>5-1</v>
      </c>
      <c r="W184" t="s">
        <v>166</v>
      </c>
      <c r="X184">
        <v>6</v>
      </c>
      <c r="Y184" t="str">
        <f t="shared" si="7"/>
        <v>30</v>
      </c>
      <c r="Z184">
        <f t="shared" si="8"/>
        <v>0</v>
      </c>
      <c r="DE184" t="s">
        <v>831</v>
      </c>
      <c r="DF184" t="s">
        <v>66</v>
      </c>
      <c r="DG184" t="str">
        <f>VLOOKUP(W184,'Level Wise PSI'!$F$2:$G$12,2,FALSE)</f>
        <v>Double Lift</v>
      </c>
    </row>
    <row r="185" spans="1:111" x14ac:dyDescent="0.25">
      <c r="A185">
        <v>64</v>
      </c>
      <c r="B185" t="s">
        <v>668</v>
      </c>
      <c r="C185" s="15">
        <v>2429</v>
      </c>
      <c r="D185" s="15">
        <v>10000</v>
      </c>
      <c r="E185" t="str">
        <f>IF(B185=Level!$A$2,SD!$C$14,SD!$C$13)</f>
        <v>0-8</v>
      </c>
      <c r="F185" s="15" t="s">
        <v>763</v>
      </c>
      <c r="G185" t="s">
        <v>715</v>
      </c>
      <c r="H185" t="str">
        <f>RIGHT(VLOOKUP(B185,Level!A:C,3,FALSE),LEN(VLOOKUP(B185,Level!A:C,3,FALSE))-1)</f>
        <v>10-7</v>
      </c>
      <c r="I185" t="s">
        <v>716</v>
      </c>
      <c r="J185" t="str">
        <f>IF(AND(SD!$C$19=SD!$H$2,Grade!$G$1="Per level"),VLOOKUP(B185,Grade!$E$1:$F$200,2,FALSE),IF(AND(SD!$C$19=SD!$H$2,Grade!$G$1="Per Bar Size"),VLOOKUP(W185,Grade!$B$1:$C$12,2,0),SD!$C$19))</f>
        <v>A615 Grade 60</v>
      </c>
      <c r="K185" t="s">
        <v>66</v>
      </c>
      <c r="L185" s="24" t="str">
        <f>IFERROR(IF(A185&lt;&gt;A186,"",IF(DF185="No Lap","",IF(K186="Lap",U185,IF(K186="Coupler",_xlfn._xlws.FILTER(CCoupler,(CCName=SD!$C$8)*(CBSize=IF(A184=A185,W185&amp;W186,W185&amp;W185))*(CCMFM="Male")),"")))),"N/A")</f>
        <v>5-1</v>
      </c>
      <c r="M185" t="str">
        <f t="shared" si="6"/>
        <v/>
      </c>
      <c r="N185" t="s">
        <v>692</v>
      </c>
      <c r="O185" t="s">
        <v>693</v>
      </c>
      <c r="P185" t="s">
        <v>692</v>
      </c>
      <c r="Q185" t="str">
        <f>IF(AND(SD!$C$29=SD!$P$2,Grade!$O$1="Per level"),VLOOKUP(B185,Grade!$M$1:$N$200,2,FALSE),IF(AND(SD!$C$29=SD!$P$2,Grade!$O$1="Per Bar Size"),VLOOKUP(LEFT(N185,FIND("@",N185)-2),Grade!$J$1:$K$12,2,0),SD!$C$29))</f>
        <v>A615 Grade 60</v>
      </c>
      <c r="R185" t="s">
        <v>715</v>
      </c>
      <c r="S185" s="57">
        <v>185</v>
      </c>
      <c r="U185" t="str">
        <f>IF(Data!$J185="",IFERROR(INDEX(IF(SD!$C$11="Create",Lap!$A$3:$BF$14,IF(SD!$C$11="Per Uploaded File",Lap!$A$19:$BF$30,"")),MATCH(W185,Lap!$A$3:$A$14,0),MATCH(VALUE(D185),Lap!$A$3:$BF$3,0)+IF(IFERROR(FIND("Grade 60",J185),0)&gt;0,0,IF(IFERROR(FIND("Grade 80",J185),0),1,IF(IFERROR(FIND("Grade 75",J185),0),2,"")))),""),Data!J185)</f>
        <v>5-1</v>
      </c>
      <c r="W185" t="s">
        <v>166</v>
      </c>
      <c r="X185">
        <v>6</v>
      </c>
      <c r="Y185" t="str">
        <f t="shared" si="7"/>
        <v>30</v>
      </c>
      <c r="Z185">
        <f t="shared" si="8"/>
        <v>0</v>
      </c>
      <c r="DE185" t="s">
        <v>831</v>
      </c>
      <c r="DF185" t="s">
        <v>66</v>
      </c>
      <c r="DG185" t="str">
        <f>VLOOKUP(W185,'Level Wise PSI'!$F$2:$G$12,2,FALSE)</f>
        <v>Double Lift</v>
      </c>
    </row>
    <row r="186" spans="1:111" x14ac:dyDescent="0.25">
      <c r="A186">
        <v>64</v>
      </c>
      <c r="B186" t="s">
        <v>670</v>
      </c>
      <c r="C186" s="15">
        <v>2429</v>
      </c>
      <c r="D186" s="15">
        <v>10000</v>
      </c>
      <c r="E186" t="str">
        <f>IF(B186=Level!$A$2,SD!$C$14,SD!$C$13)</f>
        <v>0-8</v>
      </c>
      <c r="F186" s="15" t="s">
        <v>763</v>
      </c>
      <c r="G186" t="s">
        <v>715</v>
      </c>
      <c r="H186" t="str">
        <f>RIGHT(VLOOKUP(B186,Level!A:C,3,FALSE),LEN(VLOOKUP(B186,Level!A:C,3,FALSE))-1)</f>
        <v>10-7</v>
      </c>
      <c r="I186" t="s">
        <v>716</v>
      </c>
      <c r="J186" t="str">
        <f>IF(AND(SD!$C$19=SD!$H$2,Grade!$G$1="Per level"),VLOOKUP(B186,Grade!$E$1:$F$200,2,FALSE),IF(AND(SD!$C$19=SD!$H$2,Grade!$G$1="Per Bar Size"),VLOOKUP(W186,Grade!$B$1:$C$12,2,0),SD!$C$19))</f>
        <v>A615 Grade 60</v>
      </c>
      <c r="K186" t="s">
        <v>66</v>
      </c>
      <c r="L186" s="24" t="str">
        <f>IFERROR(IF(A186&lt;&gt;A187,"",IF(DF186="No Lap","",IF(K187="Lap",U186,IF(K187="Coupler",_xlfn._xlws.FILTER(CCoupler,(CCName=SD!$C$8)*(CBSize=IF(A185=A186,W186&amp;W187,W186&amp;W186))*(CCMFM="Male")),"")))),"N/A")</f>
        <v>5-1</v>
      </c>
      <c r="M186" t="str">
        <f t="shared" si="6"/>
        <v/>
      </c>
      <c r="N186" t="s">
        <v>692</v>
      </c>
      <c r="O186" t="s">
        <v>693</v>
      </c>
      <c r="P186" t="s">
        <v>692</v>
      </c>
      <c r="Q186" t="str">
        <f>IF(AND(SD!$C$29=SD!$P$2,Grade!$O$1="Per level"),VLOOKUP(B186,Grade!$M$1:$N$200,2,FALSE),IF(AND(SD!$C$29=SD!$P$2,Grade!$O$1="Per Bar Size"),VLOOKUP(LEFT(N186,FIND("@",N186)-2),Grade!$J$1:$K$12,2,0),SD!$C$29))</f>
        <v>A615 Grade 60</v>
      </c>
      <c r="R186" t="s">
        <v>715</v>
      </c>
      <c r="S186" s="57">
        <v>186</v>
      </c>
      <c r="U186" t="str">
        <f>IF(Data!$J186="",IFERROR(INDEX(IF(SD!$C$11="Create",Lap!$A$3:$BF$14,IF(SD!$C$11="Per Uploaded File",Lap!$A$19:$BF$30,"")),MATCH(W186,Lap!$A$3:$A$14,0),MATCH(VALUE(D186),Lap!$A$3:$BF$3,0)+IF(IFERROR(FIND("Grade 60",J186),0)&gt;0,0,IF(IFERROR(FIND("Grade 80",J186),0),1,IF(IFERROR(FIND("Grade 75",J186),0),2,"")))),""),Data!J186)</f>
        <v>5-1</v>
      </c>
      <c r="W186" t="s">
        <v>166</v>
      </c>
      <c r="X186">
        <v>6</v>
      </c>
      <c r="Y186" t="str">
        <f t="shared" si="7"/>
        <v>30</v>
      </c>
      <c r="Z186">
        <f t="shared" si="8"/>
        <v>0</v>
      </c>
      <c r="DE186" t="s">
        <v>831</v>
      </c>
      <c r="DF186" t="s">
        <v>66</v>
      </c>
      <c r="DG186" t="str">
        <f>VLOOKUP(W186,'Level Wise PSI'!$F$2:$G$12,2,FALSE)</f>
        <v>Double Lift</v>
      </c>
    </row>
    <row r="187" spans="1:111" x14ac:dyDescent="0.25">
      <c r="A187">
        <v>64</v>
      </c>
      <c r="B187" t="s">
        <v>672</v>
      </c>
      <c r="C187" s="15">
        <v>2429</v>
      </c>
      <c r="D187" s="15">
        <v>10000</v>
      </c>
      <c r="E187" t="str">
        <f>IF(B187=Level!$A$2,SD!$C$14,SD!$C$13)</f>
        <v>0-8</v>
      </c>
      <c r="F187" s="15" t="s">
        <v>763</v>
      </c>
      <c r="G187" t="s">
        <v>715</v>
      </c>
      <c r="H187" t="str">
        <f>RIGHT(VLOOKUP(B187,Level!A:C,3,FALSE),LEN(VLOOKUP(B187,Level!A:C,3,FALSE))-1)</f>
        <v>10-7</v>
      </c>
      <c r="I187" t="s">
        <v>716</v>
      </c>
      <c r="J187" t="str">
        <f>IF(AND(SD!$C$19=SD!$H$2,Grade!$G$1="Per level"),VLOOKUP(B187,Grade!$E$1:$F$200,2,FALSE),IF(AND(SD!$C$19=SD!$H$2,Grade!$G$1="Per Bar Size"),VLOOKUP(W187,Grade!$B$1:$C$12,2,0),SD!$C$19))</f>
        <v>A615 Grade 60</v>
      </c>
      <c r="K187" t="s">
        <v>66</v>
      </c>
      <c r="L187" s="24" t="str">
        <f>IFERROR(IF(A187&lt;&gt;A188,"",IF(DF187="No Lap","",IF(K188="Lap",U187,IF(K188="Coupler",_xlfn._xlws.FILTER(CCoupler,(CCName=SD!$C$8)*(CBSize=IF(A186=A187,W187&amp;W188,W187&amp;W187))*(CCMFM="Male")),"")))),"N/A")</f>
        <v>5-1</v>
      </c>
      <c r="M187" t="str">
        <f t="shared" si="6"/>
        <v/>
      </c>
      <c r="N187" t="s">
        <v>692</v>
      </c>
      <c r="O187" t="s">
        <v>693</v>
      </c>
      <c r="P187" t="s">
        <v>692</v>
      </c>
      <c r="Q187" t="str">
        <f>IF(AND(SD!$C$29=SD!$P$2,Grade!$O$1="Per level"),VLOOKUP(B187,Grade!$M$1:$N$200,2,FALSE),IF(AND(SD!$C$29=SD!$P$2,Grade!$O$1="Per Bar Size"),VLOOKUP(LEFT(N187,FIND("@",N187)-2),Grade!$J$1:$K$12,2,0),SD!$C$29))</f>
        <v>A615 Grade 60</v>
      </c>
      <c r="R187" t="s">
        <v>715</v>
      </c>
      <c r="S187" s="57">
        <v>187</v>
      </c>
      <c r="U187" t="str">
        <f>IF(Data!$J187="",IFERROR(INDEX(IF(SD!$C$11="Create",Lap!$A$3:$BF$14,IF(SD!$C$11="Per Uploaded File",Lap!$A$19:$BF$30,"")),MATCH(W187,Lap!$A$3:$A$14,0),MATCH(VALUE(D187),Lap!$A$3:$BF$3,0)+IF(IFERROR(FIND("Grade 60",J187),0)&gt;0,0,IF(IFERROR(FIND("Grade 80",J187),0),1,IF(IFERROR(FIND("Grade 75",J187),0),2,"")))),""),Data!J187)</f>
        <v>5-1</v>
      </c>
      <c r="W187" t="s">
        <v>166</v>
      </c>
      <c r="X187">
        <v>6</v>
      </c>
      <c r="Y187" t="str">
        <f t="shared" si="7"/>
        <v>30</v>
      </c>
      <c r="Z187">
        <f t="shared" si="8"/>
        <v>0</v>
      </c>
      <c r="DE187" t="s">
        <v>831</v>
      </c>
      <c r="DF187" t="s">
        <v>66</v>
      </c>
      <c r="DG187" t="str">
        <f>VLOOKUP(W187,'Level Wise PSI'!$F$2:$G$12,2,FALSE)</f>
        <v>Double Lift</v>
      </c>
    </row>
    <row r="188" spans="1:111" x14ac:dyDescent="0.25">
      <c r="A188">
        <v>64</v>
      </c>
      <c r="B188" t="s">
        <v>674</v>
      </c>
      <c r="C188" s="15">
        <v>2429</v>
      </c>
      <c r="D188" s="15">
        <v>10000</v>
      </c>
      <c r="E188" t="str">
        <f>IF(B188=Level!$A$2,SD!$C$14,SD!$C$13)</f>
        <v>0-8</v>
      </c>
      <c r="F188" s="15" t="s">
        <v>763</v>
      </c>
      <c r="G188" t="s">
        <v>715</v>
      </c>
      <c r="H188" t="str">
        <f>RIGHT(VLOOKUP(B188,Level!A:C,3,FALSE),LEN(VLOOKUP(B188,Level!A:C,3,FALSE))-1)</f>
        <v>10-7</v>
      </c>
      <c r="I188" t="s">
        <v>716</v>
      </c>
      <c r="J188" t="str">
        <f>IF(AND(SD!$C$19=SD!$H$2,Grade!$G$1="Per level"),VLOOKUP(B188,Grade!$E$1:$F$200,2,FALSE),IF(AND(SD!$C$19=SD!$H$2,Grade!$G$1="Per Bar Size"),VLOOKUP(W188,Grade!$B$1:$C$12,2,0),SD!$C$19))</f>
        <v>A615 Grade 60</v>
      </c>
      <c r="K188" t="s">
        <v>66</v>
      </c>
      <c r="L188" s="24" t="str">
        <f>IFERROR(IF(A188&lt;&gt;A189,"",IF(DF188="No Lap","",IF(K189="Lap",U188,IF(K189="Coupler",_xlfn._xlws.FILTER(CCoupler,(CCName=SD!$C$8)*(CBSize=IF(A187=A188,W188&amp;W189,W188&amp;W188))*(CCMFM="Male")),"")))),"N/A")</f>
        <v>5-1</v>
      </c>
      <c r="M188" t="str">
        <f t="shared" si="6"/>
        <v/>
      </c>
      <c r="N188" t="s">
        <v>692</v>
      </c>
      <c r="O188" t="s">
        <v>693</v>
      </c>
      <c r="P188" t="s">
        <v>692</v>
      </c>
      <c r="Q188" t="str">
        <f>IF(AND(SD!$C$29=SD!$P$2,Grade!$O$1="Per level"),VLOOKUP(B188,Grade!$M$1:$N$200,2,FALSE),IF(AND(SD!$C$29=SD!$P$2,Grade!$O$1="Per Bar Size"),VLOOKUP(LEFT(N188,FIND("@",N188)-2),Grade!$J$1:$K$12,2,0),SD!$C$29))</f>
        <v>A615 Grade 60</v>
      </c>
      <c r="R188" t="s">
        <v>715</v>
      </c>
      <c r="S188" s="57">
        <v>188</v>
      </c>
      <c r="U188" t="str">
        <f>IF(Data!$J188="",IFERROR(INDEX(IF(SD!$C$11="Create",Lap!$A$3:$BF$14,IF(SD!$C$11="Per Uploaded File",Lap!$A$19:$BF$30,"")),MATCH(W188,Lap!$A$3:$A$14,0),MATCH(VALUE(D188),Lap!$A$3:$BF$3,0)+IF(IFERROR(FIND("Grade 60",J188),0)&gt;0,0,IF(IFERROR(FIND("Grade 80",J188),0),1,IF(IFERROR(FIND("Grade 75",J188),0),2,"")))),""),Data!J188)</f>
        <v>5-1</v>
      </c>
      <c r="W188" t="s">
        <v>166</v>
      </c>
      <c r="X188">
        <v>6</v>
      </c>
      <c r="Y188" t="str">
        <f t="shared" si="7"/>
        <v>30</v>
      </c>
      <c r="Z188">
        <f t="shared" si="8"/>
        <v>0</v>
      </c>
      <c r="DE188" t="s">
        <v>831</v>
      </c>
      <c r="DF188" t="s">
        <v>66</v>
      </c>
      <c r="DG188" t="str">
        <f>VLOOKUP(W188,'Level Wise PSI'!$F$2:$G$12,2,FALSE)</f>
        <v>Double Lift</v>
      </c>
    </row>
    <row r="189" spans="1:111" x14ac:dyDescent="0.25">
      <c r="A189">
        <v>64</v>
      </c>
      <c r="B189" t="s">
        <v>676</v>
      </c>
      <c r="C189" s="15">
        <v>2429</v>
      </c>
      <c r="D189" s="15">
        <v>10000</v>
      </c>
      <c r="E189" t="str">
        <f>IF(B189=Level!$A$2,SD!$C$14,SD!$C$13)</f>
        <v>0-8</v>
      </c>
      <c r="F189" s="15" t="s">
        <v>763</v>
      </c>
      <c r="G189" t="s">
        <v>715</v>
      </c>
      <c r="H189" t="str">
        <f>RIGHT(VLOOKUP(B189,Level!A:C,3,FALSE),LEN(VLOOKUP(B189,Level!A:C,3,FALSE))-1)</f>
        <v>10-7</v>
      </c>
      <c r="I189" t="s">
        <v>716</v>
      </c>
      <c r="J189" t="str">
        <f>IF(AND(SD!$C$19=SD!$H$2,Grade!$G$1="Per level"),VLOOKUP(B189,Grade!$E$1:$F$200,2,FALSE),IF(AND(SD!$C$19=SD!$H$2,Grade!$G$1="Per Bar Size"),VLOOKUP(W189,Grade!$B$1:$C$12,2,0),SD!$C$19))</f>
        <v>A615 Grade 60</v>
      </c>
      <c r="K189" t="s">
        <v>66</v>
      </c>
      <c r="L189" s="24" t="str">
        <f>IFERROR(IF(A189&lt;&gt;A190,"",IF(DF189="No Lap","",IF(K190="Lap",U189,IF(K190="Coupler",_xlfn._xlws.FILTER(CCoupler,(CCName=SD!$C$8)*(CBSize=IF(A188=A189,W189&amp;W190,W189&amp;W189))*(CCMFM="Male")),"")))),"N/A")</f>
        <v>5-1</v>
      </c>
      <c r="M189" t="str">
        <f t="shared" si="6"/>
        <v/>
      </c>
      <c r="N189" t="s">
        <v>692</v>
      </c>
      <c r="O189" t="s">
        <v>693</v>
      </c>
      <c r="P189" t="s">
        <v>692</v>
      </c>
      <c r="Q189" t="str">
        <f>IF(AND(SD!$C$29=SD!$P$2,Grade!$O$1="Per level"),VLOOKUP(B189,Grade!$M$1:$N$200,2,FALSE),IF(AND(SD!$C$29=SD!$P$2,Grade!$O$1="Per Bar Size"),VLOOKUP(LEFT(N189,FIND("@",N189)-2),Grade!$J$1:$K$12,2,0),SD!$C$29))</f>
        <v>A615 Grade 60</v>
      </c>
      <c r="R189" t="s">
        <v>715</v>
      </c>
      <c r="S189" s="57">
        <v>189</v>
      </c>
      <c r="U189" t="str">
        <f>IF(Data!$J189="",IFERROR(INDEX(IF(SD!$C$11="Create",Lap!$A$3:$BF$14,IF(SD!$C$11="Per Uploaded File",Lap!$A$19:$BF$30,"")),MATCH(W189,Lap!$A$3:$A$14,0),MATCH(VALUE(D189),Lap!$A$3:$BF$3,0)+IF(IFERROR(FIND("Grade 60",J189),0)&gt;0,0,IF(IFERROR(FIND("Grade 80",J189),0),1,IF(IFERROR(FIND("Grade 75",J189),0),2,"")))),""),Data!J189)</f>
        <v>5-1</v>
      </c>
      <c r="W189" t="s">
        <v>166</v>
      </c>
      <c r="X189">
        <v>6</v>
      </c>
      <c r="Y189" t="str">
        <f t="shared" si="7"/>
        <v>30</v>
      </c>
      <c r="Z189">
        <f t="shared" si="8"/>
        <v>0</v>
      </c>
      <c r="DE189" t="s">
        <v>831</v>
      </c>
      <c r="DF189" t="s">
        <v>66</v>
      </c>
      <c r="DG189" t="str">
        <f>VLOOKUP(W189,'Level Wise PSI'!$F$2:$G$12,2,FALSE)</f>
        <v>Double Lift</v>
      </c>
    </row>
    <row r="190" spans="1:111" x14ac:dyDescent="0.25">
      <c r="A190">
        <v>64</v>
      </c>
      <c r="B190" t="s">
        <v>678</v>
      </c>
      <c r="C190" s="15">
        <v>2429</v>
      </c>
      <c r="D190" s="15">
        <v>10000</v>
      </c>
      <c r="E190" t="str">
        <f>IF(B190=Level!$A$2,SD!$C$14,SD!$C$13)</f>
        <v>0-8</v>
      </c>
      <c r="F190" s="15" t="s">
        <v>763</v>
      </c>
      <c r="G190" t="s">
        <v>715</v>
      </c>
      <c r="H190" t="str">
        <f>RIGHT(VLOOKUP(B190,Level!A:C,3,FALSE),LEN(VLOOKUP(B190,Level!A:C,3,FALSE))-1)</f>
        <v>10-7</v>
      </c>
      <c r="I190" t="s">
        <v>716</v>
      </c>
      <c r="J190" t="str">
        <f>IF(AND(SD!$C$19=SD!$H$2,Grade!$G$1="Per level"),VLOOKUP(B190,Grade!$E$1:$F$200,2,FALSE),IF(AND(SD!$C$19=SD!$H$2,Grade!$G$1="Per Bar Size"),VLOOKUP(W190,Grade!$B$1:$C$12,2,0),SD!$C$19))</f>
        <v>A615 Grade 60</v>
      </c>
      <c r="K190" t="s">
        <v>66</v>
      </c>
      <c r="L190" s="24" t="str">
        <f>IFERROR(IF(A190&lt;&gt;A191,"",IF(DF190="No Lap","",IF(K191="Lap",U190,IF(K191="Coupler",_xlfn._xlws.FILTER(CCoupler,(CCName=SD!$C$8)*(CBSize=IF(A189=A190,W190&amp;W191,W190&amp;W190))*(CCMFM="Male")),"")))),"N/A")</f>
        <v>5-1</v>
      </c>
      <c r="M190" t="str">
        <f t="shared" si="6"/>
        <v/>
      </c>
      <c r="N190" t="s">
        <v>692</v>
      </c>
      <c r="O190" t="s">
        <v>693</v>
      </c>
      <c r="P190" t="s">
        <v>692</v>
      </c>
      <c r="Q190" t="str">
        <f>IF(AND(SD!$C$29=SD!$P$2,Grade!$O$1="Per level"),VLOOKUP(B190,Grade!$M$1:$N$200,2,FALSE),IF(AND(SD!$C$29=SD!$P$2,Grade!$O$1="Per Bar Size"),VLOOKUP(LEFT(N190,FIND("@",N190)-2),Grade!$J$1:$K$12,2,0),SD!$C$29))</f>
        <v>A615 Grade 60</v>
      </c>
      <c r="R190" t="s">
        <v>715</v>
      </c>
      <c r="S190" s="57">
        <v>190</v>
      </c>
      <c r="U190" t="str">
        <f>IF(Data!$J190="",IFERROR(INDEX(IF(SD!$C$11="Create",Lap!$A$3:$BF$14,IF(SD!$C$11="Per Uploaded File",Lap!$A$19:$BF$30,"")),MATCH(W190,Lap!$A$3:$A$14,0),MATCH(VALUE(D190),Lap!$A$3:$BF$3,0)+IF(IFERROR(FIND("Grade 60",J190),0)&gt;0,0,IF(IFERROR(FIND("Grade 80",J190),0),1,IF(IFERROR(FIND("Grade 75",J190),0),2,"")))),""),Data!J190)</f>
        <v>5-1</v>
      </c>
      <c r="W190" t="s">
        <v>166</v>
      </c>
      <c r="X190">
        <v>6</v>
      </c>
      <c r="Y190" t="str">
        <f t="shared" si="7"/>
        <v>30</v>
      </c>
      <c r="Z190">
        <f t="shared" si="8"/>
        <v>0</v>
      </c>
      <c r="DE190" t="s">
        <v>831</v>
      </c>
      <c r="DF190" t="s">
        <v>66</v>
      </c>
      <c r="DG190" t="str">
        <f>VLOOKUP(W190,'Level Wise PSI'!$F$2:$G$12,2,FALSE)</f>
        <v>Double Lift</v>
      </c>
    </row>
    <row r="191" spans="1:111" x14ac:dyDescent="0.25">
      <c r="A191">
        <v>64</v>
      </c>
      <c r="B191" t="s">
        <v>680</v>
      </c>
      <c r="C191" s="15">
        <v>2429</v>
      </c>
      <c r="D191" s="15">
        <v>10000</v>
      </c>
      <c r="E191" t="str">
        <f>IF(B191=Level!$A$2,SD!$C$14,SD!$C$13)</f>
        <v>0-8</v>
      </c>
      <c r="F191" s="15" t="s">
        <v>763</v>
      </c>
      <c r="G191" t="s">
        <v>715</v>
      </c>
      <c r="H191" t="str">
        <f>RIGHT(VLOOKUP(B191,Level!A:C,3,FALSE),LEN(VLOOKUP(B191,Level!A:C,3,FALSE))-1)</f>
        <v>10-7</v>
      </c>
      <c r="I191" t="s">
        <v>716</v>
      </c>
      <c r="J191" t="str">
        <f>IF(AND(SD!$C$19=SD!$H$2,Grade!$G$1="Per level"),VLOOKUP(B191,Grade!$E$1:$F$200,2,FALSE),IF(AND(SD!$C$19=SD!$H$2,Grade!$G$1="Per Bar Size"),VLOOKUP(W191,Grade!$B$1:$C$12,2,0),SD!$C$19))</f>
        <v>A615 Grade 60</v>
      </c>
      <c r="K191" t="s">
        <v>66</v>
      </c>
      <c r="L191" s="24" t="str">
        <f>IFERROR(IF(A191&lt;&gt;A192,"",IF(DF191="No Lap","",IF(K192="Lap",U191,IF(K192="Coupler",_xlfn._xlws.FILTER(CCoupler,(CCName=SD!$C$8)*(CBSize=IF(A190=A191,W191&amp;W192,W191&amp;W191))*(CCMFM="Male")),"")))),"N/A")</f>
        <v>5-1</v>
      </c>
      <c r="M191" t="str">
        <f t="shared" si="6"/>
        <v/>
      </c>
      <c r="N191" t="s">
        <v>692</v>
      </c>
      <c r="O191" t="s">
        <v>693</v>
      </c>
      <c r="P191" t="s">
        <v>692</v>
      </c>
      <c r="Q191" t="str">
        <f>IF(AND(SD!$C$29=SD!$P$2,Grade!$O$1="Per level"),VLOOKUP(B191,Grade!$M$1:$N$200,2,FALSE),IF(AND(SD!$C$29=SD!$P$2,Grade!$O$1="Per Bar Size"),VLOOKUP(LEFT(N191,FIND("@",N191)-2),Grade!$J$1:$K$12,2,0),SD!$C$29))</f>
        <v>A615 Grade 60</v>
      </c>
      <c r="R191" t="s">
        <v>715</v>
      </c>
      <c r="S191" s="57">
        <v>191</v>
      </c>
      <c r="U191" t="str">
        <f>IF(Data!$J191="",IFERROR(INDEX(IF(SD!$C$11="Create",Lap!$A$3:$BF$14,IF(SD!$C$11="Per Uploaded File",Lap!$A$19:$BF$30,"")),MATCH(W191,Lap!$A$3:$A$14,0),MATCH(VALUE(D191),Lap!$A$3:$BF$3,0)+IF(IFERROR(FIND("Grade 60",J191),0)&gt;0,0,IF(IFERROR(FIND("Grade 80",J191),0),1,IF(IFERROR(FIND("Grade 75",J191),0),2,"")))),""),Data!J191)</f>
        <v>5-1</v>
      </c>
      <c r="W191" t="s">
        <v>166</v>
      </c>
      <c r="X191">
        <v>6</v>
      </c>
      <c r="Y191" t="str">
        <f t="shared" si="7"/>
        <v>30</v>
      </c>
      <c r="Z191">
        <f t="shared" si="8"/>
        <v>0</v>
      </c>
      <c r="DE191" t="s">
        <v>831</v>
      </c>
      <c r="DF191" t="s">
        <v>66</v>
      </c>
      <c r="DG191" t="str">
        <f>VLOOKUP(W191,'Level Wise PSI'!$F$2:$G$12,2,FALSE)</f>
        <v>Double Lift</v>
      </c>
    </row>
    <row r="192" spans="1:111" x14ac:dyDescent="0.25">
      <c r="A192">
        <v>64</v>
      </c>
      <c r="B192" t="s">
        <v>682</v>
      </c>
      <c r="C192" s="15">
        <v>2429</v>
      </c>
      <c r="D192" s="15">
        <v>10000</v>
      </c>
      <c r="E192" t="str">
        <f>IF(B192=Level!$A$2,SD!$C$14,SD!$C$13)</f>
        <v>0-8</v>
      </c>
      <c r="F192" s="15" t="s">
        <v>763</v>
      </c>
      <c r="G192" t="s">
        <v>715</v>
      </c>
      <c r="H192" t="str">
        <f>RIGHT(VLOOKUP(B192,Level!A:C,3,FALSE),LEN(VLOOKUP(B192,Level!A:C,3,FALSE))-1)</f>
        <v>10-7</v>
      </c>
      <c r="I192" t="s">
        <v>717</v>
      </c>
      <c r="J192" t="str">
        <f>IF(AND(SD!$C$19=SD!$H$2,Grade!$G$1="Per level"),VLOOKUP(B192,Grade!$E$1:$F$200,2,FALSE),IF(AND(SD!$C$19=SD!$H$2,Grade!$G$1="Per Bar Size"),VLOOKUP(W192,Grade!$B$1:$C$12,2,0),SD!$C$19))</f>
        <v>A615 Grade 60</v>
      </c>
      <c r="K192" t="s">
        <v>66</v>
      </c>
      <c r="L192" s="24" t="str">
        <f>IFERROR(IF(A192&lt;&gt;A193,"",IF(DF192="No Lap","",IF(K193="Lap",U192,IF(K193="Coupler",_xlfn._xlws.FILTER(CCoupler,(CCName=SD!$C$8)*(CBSize=IF(A191=A192,W192&amp;W193,W192&amp;W192))*(CCMFM="Male")),"")))),"N/A")</f>
        <v/>
      </c>
      <c r="M192" t="str">
        <f t="shared" si="6"/>
        <v/>
      </c>
      <c r="N192" t="s">
        <v>692</v>
      </c>
      <c r="O192" t="s">
        <v>693</v>
      </c>
      <c r="P192" t="s">
        <v>692</v>
      </c>
      <c r="Q192" t="str">
        <f>IF(AND(SD!$C$29=SD!$P$2,Grade!$O$1="Per level"),VLOOKUP(B192,Grade!$M$1:$N$200,2,FALSE),IF(AND(SD!$C$29=SD!$P$2,Grade!$O$1="Per Bar Size"),VLOOKUP(LEFT(N192,FIND("@",N192)-2),Grade!$J$1:$K$12,2,0),SD!$C$29))</f>
        <v>A615 Grade 60</v>
      </c>
      <c r="R192" t="s">
        <v>715</v>
      </c>
      <c r="S192" s="57">
        <v>192</v>
      </c>
      <c r="U192" t="str">
        <f>IF(Data!$J192="",IFERROR(INDEX(IF(SD!$C$11="Create",Lap!$A$3:$BF$14,IF(SD!$C$11="Per Uploaded File",Lap!$A$19:$BF$30,"")),MATCH(W192,Lap!$A$3:$A$14,0),MATCH(VALUE(D192),Lap!$A$3:$BF$3,0)+IF(IFERROR(FIND("Grade 60",J192),0)&gt;0,0,IF(IFERROR(FIND("Grade 80",J192),0),1,IF(IFERROR(FIND("Grade 75",J192),0),2,"")))),""),Data!J192)</f>
        <v>4-0</v>
      </c>
      <c r="W192" t="s">
        <v>142</v>
      </c>
      <c r="X192">
        <v>10</v>
      </c>
      <c r="Y192" t="str">
        <f t="shared" si="7"/>
        <v>30</v>
      </c>
      <c r="Z192">
        <f t="shared" si="8"/>
        <v>0</v>
      </c>
      <c r="DE192" t="s">
        <v>831</v>
      </c>
      <c r="DF192" t="s">
        <v>66</v>
      </c>
      <c r="DG192" t="str">
        <f>VLOOKUP(W192,'Level Wise PSI'!$F$2:$G$12,2,FALSE)</f>
        <v>Double Lift</v>
      </c>
    </row>
    <row r="193" spans="1:111" x14ac:dyDescent="0.25">
      <c r="A193">
        <v>65</v>
      </c>
      <c r="B193" t="s">
        <v>661</v>
      </c>
      <c r="C193" s="15">
        <v>2429</v>
      </c>
      <c r="D193" s="15">
        <v>10000</v>
      </c>
      <c r="E193" s="15" t="s">
        <v>748</v>
      </c>
      <c r="F193" s="15" t="s">
        <v>763</v>
      </c>
      <c r="G193" t="s">
        <v>713</v>
      </c>
      <c r="H193" t="str">
        <f>RIGHT(VLOOKUP(B193,Level!A:C,3,FALSE),LEN(VLOOKUP(B193,Level!A:C,3,FALSE))-1)</f>
        <v>10-7</v>
      </c>
      <c r="I193" t="s">
        <v>714</v>
      </c>
      <c r="J193" t="str">
        <f>IF(AND(SD!$C$19=SD!$H$2,Grade!$G$1="Per level"),VLOOKUP(B193,Grade!$E$1:$F$200,2,FALSE),IF(AND(SD!$C$19=SD!$H$2,Grade!$G$1="Per Bar Size"),VLOOKUP(W193,Grade!$B$1:$C$12,2,0),SD!$C$19))</f>
        <v>A615 Grade 60</v>
      </c>
      <c r="K193" t="s">
        <v>66</v>
      </c>
      <c r="L193" s="24" t="str">
        <f>IFERROR(IF(A193&lt;&gt;A194,"",IF(DF193="No Lap","",IF(K194="Lap",U193,IF(K194="Coupler",_xlfn._xlws.FILTER(CCoupler,(CCName=SD!$C$8)*(CBSize=IF(A192=A193,W193&amp;W194,W193&amp;W193))*(CCMFM="Male")),"")))),"N/A")</f>
        <v>5-1</v>
      </c>
      <c r="M193" t="str">
        <f t="shared" si="6"/>
        <v/>
      </c>
      <c r="N193" t="s">
        <v>692</v>
      </c>
      <c r="O193" t="s">
        <v>693</v>
      </c>
      <c r="P193" t="s">
        <v>692</v>
      </c>
      <c r="Q193" t="str">
        <f>IF(AND(SD!$C$29=SD!$P$2,Grade!$O$1="Per level"),VLOOKUP(B193,Grade!$M$1:$N$200,2,FALSE),IF(AND(SD!$C$29=SD!$P$2,Grade!$O$1="Per Bar Size"),VLOOKUP(LEFT(N193,FIND("@",N193)-2),Grade!$J$1:$K$12,2,0),SD!$C$29))</f>
        <v>A615 Grade 60</v>
      </c>
      <c r="R193" t="s">
        <v>713</v>
      </c>
      <c r="S193" s="57">
        <v>193</v>
      </c>
      <c r="U193" t="str">
        <f>IF(Data!$J193="",IFERROR(INDEX(IF(SD!$C$11="Create",Lap!$A$3:$BF$14,IF(SD!$C$11="Per Uploaded File",Lap!$A$19:$BF$30,"")),MATCH(W193,Lap!$A$3:$A$14,0),MATCH(VALUE(D193),Lap!$A$3:$BF$3,0)+IF(IFERROR(FIND("Grade 60",J193),0)&gt;0,0,IF(IFERROR(FIND("Grade 80",J193),0),1,IF(IFERROR(FIND("Grade 75",J193),0),2,"")))),""),Data!J193)</f>
        <v>5-1</v>
      </c>
      <c r="W193" t="s">
        <v>166</v>
      </c>
      <c r="X193">
        <v>10</v>
      </c>
      <c r="Y193" t="str">
        <f t="shared" si="7"/>
        <v>36</v>
      </c>
      <c r="Z193">
        <f t="shared" si="8"/>
        <v>0</v>
      </c>
      <c r="DE193" t="s">
        <v>831</v>
      </c>
      <c r="DF193" t="s">
        <v>66</v>
      </c>
      <c r="DG193" t="str">
        <f>VLOOKUP(W193,'Level Wise PSI'!$F$2:$G$12,2,FALSE)</f>
        <v>Double Lift</v>
      </c>
    </row>
    <row r="194" spans="1:111" x14ac:dyDescent="0.25">
      <c r="A194">
        <v>65</v>
      </c>
      <c r="B194" t="s">
        <v>664</v>
      </c>
      <c r="C194" s="15">
        <v>2429</v>
      </c>
      <c r="D194" s="15">
        <v>10000</v>
      </c>
      <c r="E194" t="str">
        <f>IF(B194=Level!$A$2,SD!$C$14,SD!$C$13)</f>
        <v>0-8</v>
      </c>
      <c r="F194" s="15" t="s">
        <v>763</v>
      </c>
      <c r="G194" t="s">
        <v>715</v>
      </c>
      <c r="H194" t="str">
        <f>RIGHT(VLOOKUP(B194,Level!A:C,3,FALSE),LEN(VLOOKUP(B194,Level!A:C,3,FALSE))-1)</f>
        <v>10-7</v>
      </c>
      <c r="I194" t="s">
        <v>716</v>
      </c>
      <c r="J194" t="str">
        <f>IF(AND(SD!$C$19=SD!$H$2,Grade!$G$1="Per level"),VLOOKUP(B194,Grade!$E$1:$F$200,2,FALSE),IF(AND(SD!$C$19=SD!$H$2,Grade!$G$1="Per Bar Size"),VLOOKUP(W194,Grade!$B$1:$C$12,2,0),SD!$C$19))</f>
        <v>A615 Grade 60</v>
      </c>
      <c r="K194" t="s">
        <v>66</v>
      </c>
      <c r="L194" s="24" t="str">
        <f>IFERROR(IF(A194&lt;&gt;A195,"",IF(DF194="No Lap","",IF(K195="Lap",U194,IF(K195="Coupler",_xlfn._xlws.FILTER(CCoupler,(CCName=SD!$C$8)*(CBSize=IF(A193=A194,W194&amp;W195,W194&amp;W194))*(CCMFM="Male")),"")))),"N/A")</f>
        <v>5-1</v>
      </c>
      <c r="M194" t="str">
        <f t="shared" ref="M194:M228" si="9">IF(A194=A195,IF(AND(IF(A194=A195,ABS(Y194-Y195),"0")&gt;6,IF(A194=A195,ABS(Z194-Z195),"0")&gt;6),I195,IF(OR(IF(A194=A195,ABS(Y194-Y195),"0")&gt;6,IF(A194=A195,ABS(Z194-Z195),"0")&gt;6),CONCATENATE(ROUNDUP(X195/2,0)," - ",W195),"")),"")</f>
        <v/>
      </c>
      <c r="N194" t="s">
        <v>692</v>
      </c>
      <c r="O194" t="s">
        <v>693</v>
      </c>
      <c r="P194" t="s">
        <v>692</v>
      </c>
      <c r="Q194" t="str">
        <f>IF(AND(SD!$C$29=SD!$P$2,Grade!$O$1="Per level"),VLOOKUP(B194,Grade!$M$1:$N$200,2,FALSE),IF(AND(SD!$C$29=SD!$P$2,Grade!$O$1="Per Bar Size"),VLOOKUP(LEFT(N194,FIND("@",N194)-2),Grade!$J$1:$K$12,2,0),SD!$C$29))</f>
        <v>A615 Grade 60</v>
      </c>
      <c r="R194" t="s">
        <v>715</v>
      </c>
      <c r="S194" s="57">
        <v>194</v>
      </c>
      <c r="U194" t="str">
        <f>IF(Data!$J194="",IFERROR(INDEX(IF(SD!$C$11="Create",Lap!$A$3:$BF$14,IF(SD!$C$11="Per Uploaded File",Lap!$A$19:$BF$30,"")),MATCH(W194,Lap!$A$3:$A$14,0),MATCH(VALUE(D194),Lap!$A$3:$BF$3,0)+IF(IFERROR(FIND("Grade 60",J194),0)&gt;0,0,IF(IFERROR(FIND("Grade 80",J194),0),1,IF(IFERROR(FIND("Grade 75",J194),0),2,"")))),""),Data!J194)</f>
        <v>5-1</v>
      </c>
      <c r="W194" t="s">
        <v>166</v>
      </c>
      <c r="X194">
        <v>6</v>
      </c>
      <c r="Y194" t="str">
        <f t="shared" ref="Y194:Y228" si="10">IFERROR(LEFT(G194,FIND(" dia",G194)-2),LEFT(G194,FIND("x",G194)-1))</f>
        <v>30</v>
      </c>
      <c r="Z194">
        <f t="shared" ref="Z194:Z228" si="11">IFERROR(IF(FIND("dia",G194)&gt;0,0,ERROR.TYPE(#VALUE!)),RIGHT(G194,LEN(G194)-FIND("x",G194)))</f>
        <v>0</v>
      </c>
      <c r="DE194" t="s">
        <v>831</v>
      </c>
      <c r="DF194" t="s">
        <v>66</v>
      </c>
      <c r="DG194" t="str">
        <f>VLOOKUP(W194,'Level Wise PSI'!$F$2:$G$12,2,FALSE)</f>
        <v>Double Lift</v>
      </c>
    </row>
    <row r="195" spans="1:111" x14ac:dyDescent="0.25">
      <c r="A195">
        <v>65</v>
      </c>
      <c r="B195" t="s">
        <v>666</v>
      </c>
      <c r="C195" s="15">
        <v>2429</v>
      </c>
      <c r="D195" s="15">
        <v>10000</v>
      </c>
      <c r="E195" t="str">
        <f>IF(B195=Level!$A$2,SD!$C$14,SD!$C$13)</f>
        <v>0-8</v>
      </c>
      <c r="F195" s="15" t="s">
        <v>763</v>
      </c>
      <c r="G195" t="s">
        <v>715</v>
      </c>
      <c r="H195" t="str">
        <f>RIGHT(VLOOKUP(B195,Level!A:C,3,FALSE),LEN(VLOOKUP(B195,Level!A:C,3,FALSE))-1)</f>
        <v>10-7</v>
      </c>
      <c r="I195" t="s">
        <v>716</v>
      </c>
      <c r="J195" t="str">
        <f>IF(AND(SD!$C$19=SD!$H$2,Grade!$G$1="Per level"),VLOOKUP(B195,Grade!$E$1:$F$200,2,FALSE),IF(AND(SD!$C$19=SD!$H$2,Grade!$G$1="Per Bar Size"),VLOOKUP(W195,Grade!$B$1:$C$12,2,0),SD!$C$19))</f>
        <v>A615 Grade 60</v>
      </c>
      <c r="K195" t="s">
        <v>66</v>
      </c>
      <c r="L195" s="24" t="str">
        <f>IFERROR(IF(A195&lt;&gt;A196,"",IF(DF195="No Lap","",IF(K196="Lap",U195,IF(K196="Coupler",_xlfn._xlws.FILTER(CCoupler,(CCName=SD!$C$8)*(CBSize=IF(A194=A195,W195&amp;W196,W195&amp;W195))*(CCMFM="Male")),"")))),"N/A")</f>
        <v>5-1</v>
      </c>
      <c r="M195" t="str">
        <f t="shared" si="9"/>
        <v/>
      </c>
      <c r="N195" t="s">
        <v>692</v>
      </c>
      <c r="O195" t="s">
        <v>693</v>
      </c>
      <c r="P195" t="s">
        <v>692</v>
      </c>
      <c r="Q195" t="str">
        <f>IF(AND(SD!$C$29=SD!$P$2,Grade!$O$1="Per level"),VLOOKUP(B195,Grade!$M$1:$N$200,2,FALSE),IF(AND(SD!$C$29=SD!$P$2,Grade!$O$1="Per Bar Size"),VLOOKUP(LEFT(N195,FIND("@",N195)-2),Grade!$J$1:$K$12,2,0),SD!$C$29))</f>
        <v>A615 Grade 60</v>
      </c>
      <c r="R195" t="s">
        <v>715</v>
      </c>
      <c r="S195" s="57">
        <v>195</v>
      </c>
      <c r="U195" t="str">
        <f>IF(Data!$J195="",IFERROR(INDEX(IF(SD!$C$11="Create",Lap!$A$3:$BF$14,IF(SD!$C$11="Per Uploaded File",Lap!$A$19:$BF$30,"")),MATCH(W195,Lap!$A$3:$A$14,0),MATCH(VALUE(D195),Lap!$A$3:$BF$3,0)+IF(IFERROR(FIND("Grade 60",J195),0)&gt;0,0,IF(IFERROR(FIND("Grade 80",J195),0),1,IF(IFERROR(FIND("Grade 75",J195),0),2,"")))),""),Data!J195)</f>
        <v>5-1</v>
      </c>
      <c r="W195" t="s">
        <v>166</v>
      </c>
      <c r="X195">
        <v>6</v>
      </c>
      <c r="Y195" t="str">
        <f t="shared" si="10"/>
        <v>30</v>
      </c>
      <c r="Z195">
        <f t="shared" si="11"/>
        <v>0</v>
      </c>
      <c r="DE195" t="s">
        <v>831</v>
      </c>
      <c r="DF195" t="s">
        <v>66</v>
      </c>
      <c r="DG195" t="str">
        <f>VLOOKUP(W195,'Level Wise PSI'!$F$2:$G$12,2,FALSE)</f>
        <v>Double Lift</v>
      </c>
    </row>
    <row r="196" spans="1:111" x14ac:dyDescent="0.25">
      <c r="A196">
        <v>65</v>
      </c>
      <c r="B196" t="s">
        <v>668</v>
      </c>
      <c r="C196" s="15">
        <v>2429</v>
      </c>
      <c r="D196" s="15">
        <v>10000</v>
      </c>
      <c r="E196" t="str">
        <f>IF(B196=Level!$A$2,SD!$C$14,SD!$C$13)</f>
        <v>0-8</v>
      </c>
      <c r="F196" s="15" t="s">
        <v>763</v>
      </c>
      <c r="G196" t="s">
        <v>715</v>
      </c>
      <c r="H196" t="str">
        <f>RIGHT(VLOOKUP(B196,Level!A:C,3,FALSE),LEN(VLOOKUP(B196,Level!A:C,3,FALSE))-1)</f>
        <v>10-7</v>
      </c>
      <c r="I196" t="s">
        <v>716</v>
      </c>
      <c r="J196" t="str">
        <f>IF(AND(SD!$C$19=SD!$H$2,Grade!$G$1="Per level"),VLOOKUP(B196,Grade!$E$1:$F$200,2,FALSE),IF(AND(SD!$C$19=SD!$H$2,Grade!$G$1="Per Bar Size"),VLOOKUP(W196,Grade!$B$1:$C$12,2,0),SD!$C$19))</f>
        <v>A615 Grade 60</v>
      </c>
      <c r="K196" t="s">
        <v>66</v>
      </c>
      <c r="L196" s="24" t="str">
        <f>IFERROR(IF(A196&lt;&gt;A197,"",IF(DF196="No Lap","",IF(K197="Lap",U196,IF(K197="Coupler",_xlfn._xlws.FILTER(CCoupler,(CCName=SD!$C$8)*(CBSize=IF(A195=A196,W196&amp;W197,W196&amp;W196))*(CCMFM="Male")),"")))),"N/A")</f>
        <v>5-1</v>
      </c>
      <c r="M196" t="str">
        <f t="shared" si="9"/>
        <v/>
      </c>
      <c r="N196" t="s">
        <v>692</v>
      </c>
      <c r="O196" t="s">
        <v>693</v>
      </c>
      <c r="P196" t="s">
        <v>692</v>
      </c>
      <c r="Q196" t="str">
        <f>IF(AND(SD!$C$29=SD!$P$2,Grade!$O$1="Per level"),VLOOKUP(B196,Grade!$M$1:$N$200,2,FALSE),IF(AND(SD!$C$29=SD!$P$2,Grade!$O$1="Per Bar Size"),VLOOKUP(LEFT(N196,FIND("@",N196)-2),Grade!$J$1:$K$12,2,0),SD!$C$29))</f>
        <v>A615 Grade 60</v>
      </c>
      <c r="R196" t="s">
        <v>715</v>
      </c>
      <c r="S196" s="57">
        <v>196</v>
      </c>
      <c r="U196" t="str">
        <f>IF(Data!$J196="",IFERROR(INDEX(IF(SD!$C$11="Create",Lap!$A$3:$BF$14,IF(SD!$C$11="Per Uploaded File",Lap!$A$19:$BF$30,"")),MATCH(W196,Lap!$A$3:$A$14,0),MATCH(VALUE(D196),Lap!$A$3:$BF$3,0)+IF(IFERROR(FIND("Grade 60",J196),0)&gt;0,0,IF(IFERROR(FIND("Grade 80",J196),0),1,IF(IFERROR(FIND("Grade 75",J196),0),2,"")))),""),Data!J196)</f>
        <v>5-1</v>
      </c>
      <c r="W196" t="s">
        <v>166</v>
      </c>
      <c r="X196">
        <v>6</v>
      </c>
      <c r="Y196" t="str">
        <f t="shared" si="10"/>
        <v>30</v>
      </c>
      <c r="Z196">
        <f t="shared" si="11"/>
        <v>0</v>
      </c>
      <c r="DE196" t="s">
        <v>831</v>
      </c>
      <c r="DF196" t="s">
        <v>66</v>
      </c>
      <c r="DG196" t="str">
        <f>VLOOKUP(W196,'Level Wise PSI'!$F$2:$G$12,2,FALSE)</f>
        <v>Double Lift</v>
      </c>
    </row>
    <row r="197" spans="1:111" x14ac:dyDescent="0.25">
      <c r="A197">
        <v>65</v>
      </c>
      <c r="B197" t="s">
        <v>670</v>
      </c>
      <c r="C197" s="15">
        <v>2429</v>
      </c>
      <c r="D197" s="15">
        <v>10000</v>
      </c>
      <c r="E197" t="str">
        <f>IF(B197=Level!$A$2,SD!$C$14,SD!$C$13)</f>
        <v>0-8</v>
      </c>
      <c r="F197" s="15" t="s">
        <v>763</v>
      </c>
      <c r="G197" t="s">
        <v>715</v>
      </c>
      <c r="H197" t="str">
        <f>RIGHT(VLOOKUP(B197,Level!A:C,3,FALSE),LEN(VLOOKUP(B197,Level!A:C,3,FALSE))-1)</f>
        <v>10-7</v>
      </c>
      <c r="I197" t="s">
        <v>716</v>
      </c>
      <c r="J197" t="str">
        <f>IF(AND(SD!$C$19=SD!$H$2,Grade!$G$1="Per level"),VLOOKUP(B197,Grade!$E$1:$F$200,2,FALSE),IF(AND(SD!$C$19=SD!$H$2,Grade!$G$1="Per Bar Size"),VLOOKUP(W197,Grade!$B$1:$C$12,2,0),SD!$C$19))</f>
        <v>A615 Grade 60</v>
      </c>
      <c r="K197" t="s">
        <v>66</v>
      </c>
      <c r="L197" s="24" t="str">
        <f>IFERROR(IF(A197&lt;&gt;A198,"",IF(DF197="No Lap","",IF(K198="Lap",U197,IF(K198="Coupler",_xlfn._xlws.FILTER(CCoupler,(CCName=SD!$C$8)*(CBSize=IF(A196=A197,W197&amp;W198,W197&amp;W197))*(CCMFM="Male")),"")))),"N/A")</f>
        <v>5-1</v>
      </c>
      <c r="M197" t="str">
        <f t="shared" si="9"/>
        <v/>
      </c>
      <c r="N197" t="s">
        <v>692</v>
      </c>
      <c r="O197" t="s">
        <v>693</v>
      </c>
      <c r="P197" t="s">
        <v>692</v>
      </c>
      <c r="Q197" t="str">
        <f>IF(AND(SD!$C$29=SD!$P$2,Grade!$O$1="Per level"),VLOOKUP(B197,Grade!$M$1:$N$200,2,FALSE),IF(AND(SD!$C$29=SD!$P$2,Grade!$O$1="Per Bar Size"),VLOOKUP(LEFT(N197,FIND("@",N197)-2),Grade!$J$1:$K$12,2,0),SD!$C$29))</f>
        <v>A615 Grade 60</v>
      </c>
      <c r="R197" t="s">
        <v>715</v>
      </c>
      <c r="S197" s="57">
        <v>197</v>
      </c>
      <c r="U197" t="str">
        <f>IF(Data!$J197="",IFERROR(INDEX(IF(SD!$C$11="Create",Lap!$A$3:$BF$14,IF(SD!$C$11="Per Uploaded File",Lap!$A$19:$BF$30,"")),MATCH(W197,Lap!$A$3:$A$14,0),MATCH(VALUE(D197),Lap!$A$3:$BF$3,0)+IF(IFERROR(FIND("Grade 60",J197),0)&gt;0,0,IF(IFERROR(FIND("Grade 80",J197),0),1,IF(IFERROR(FIND("Grade 75",J197),0),2,"")))),""),Data!J197)</f>
        <v>5-1</v>
      </c>
      <c r="W197" t="s">
        <v>166</v>
      </c>
      <c r="X197">
        <v>6</v>
      </c>
      <c r="Y197" t="str">
        <f t="shared" si="10"/>
        <v>30</v>
      </c>
      <c r="Z197">
        <f t="shared" si="11"/>
        <v>0</v>
      </c>
      <c r="DE197" t="s">
        <v>831</v>
      </c>
      <c r="DF197" t="s">
        <v>66</v>
      </c>
      <c r="DG197" t="str">
        <f>VLOOKUP(W197,'Level Wise PSI'!$F$2:$G$12,2,FALSE)</f>
        <v>Double Lift</v>
      </c>
    </row>
    <row r="198" spans="1:111" x14ac:dyDescent="0.25">
      <c r="A198">
        <v>65</v>
      </c>
      <c r="B198" t="s">
        <v>672</v>
      </c>
      <c r="C198" s="15">
        <v>2429</v>
      </c>
      <c r="D198" s="15">
        <v>10000</v>
      </c>
      <c r="E198" t="str">
        <f>IF(B198=Level!$A$2,SD!$C$14,SD!$C$13)</f>
        <v>0-8</v>
      </c>
      <c r="F198" s="15" t="s">
        <v>763</v>
      </c>
      <c r="G198" t="s">
        <v>715</v>
      </c>
      <c r="H198" t="str">
        <f>RIGHT(VLOOKUP(B198,Level!A:C,3,FALSE),LEN(VLOOKUP(B198,Level!A:C,3,FALSE))-1)</f>
        <v>10-7</v>
      </c>
      <c r="I198" t="s">
        <v>716</v>
      </c>
      <c r="J198" t="str">
        <f>IF(AND(SD!$C$19=SD!$H$2,Grade!$G$1="Per level"),VLOOKUP(B198,Grade!$E$1:$F$200,2,FALSE),IF(AND(SD!$C$19=SD!$H$2,Grade!$G$1="Per Bar Size"),VLOOKUP(W198,Grade!$B$1:$C$12,2,0),SD!$C$19))</f>
        <v>A615 Grade 60</v>
      </c>
      <c r="K198" t="s">
        <v>66</v>
      </c>
      <c r="L198" s="24" t="str">
        <f>IFERROR(IF(A198&lt;&gt;A199,"",IF(DF198="No Lap","",IF(K199="Lap",U198,IF(K199="Coupler",_xlfn._xlws.FILTER(CCoupler,(CCName=SD!$C$8)*(CBSize=IF(A197=A198,W198&amp;W199,W198&amp;W198))*(CCMFM="Male")),"")))),"N/A")</f>
        <v>5-1</v>
      </c>
      <c r="M198" t="str">
        <f t="shared" si="9"/>
        <v/>
      </c>
      <c r="N198" t="s">
        <v>692</v>
      </c>
      <c r="O198" t="s">
        <v>693</v>
      </c>
      <c r="P198" t="s">
        <v>692</v>
      </c>
      <c r="Q198" t="str">
        <f>IF(AND(SD!$C$29=SD!$P$2,Grade!$O$1="Per level"),VLOOKUP(B198,Grade!$M$1:$N$200,2,FALSE),IF(AND(SD!$C$29=SD!$P$2,Grade!$O$1="Per Bar Size"),VLOOKUP(LEFT(N198,FIND("@",N198)-2),Grade!$J$1:$K$12,2,0),SD!$C$29))</f>
        <v>A615 Grade 60</v>
      </c>
      <c r="R198" t="s">
        <v>715</v>
      </c>
      <c r="S198" s="57">
        <v>198</v>
      </c>
      <c r="U198" t="str">
        <f>IF(Data!$J198="",IFERROR(INDEX(IF(SD!$C$11="Create",Lap!$A$3:$BF$14,IF(SD!$C$11="Per Uploaded File",Lap!$A$19:$BF$30,"")),MATCH(W198,Lap!$A$3:$A$14,0),MATCH(VALUE(D198),Lap!$A$3:$BF$3,0)+IF(IFERROR(FIND("Grade 60",J198),0)&gt;0,0,IF(IFERROR(FIND("Grade 80",J198),0),1,IF(IFERROR(FIND("Grade 75",J198),0),2,"")))),""),Data!J198)</f>
        <v>5-1</v>
      </c>
      <c r="W198" t="s">
        <v>166</v>
      </c>
      <c r="X198">
        <v>6</v>
      </c>
      <c r="Y198" t="str">
        <f t="shared" si="10"/>
        <v>30</v>
      </c>
      <c r="Z198">
        <f t="shared" si="11"/>
        <v>0</v>
      </c>
      <c r="DE198" t="s">
        <v>831</v>
      </c>
      <c r="DF198" t="s">
        <v>66</v>
      </c>
      <c r="DG198" t="str">
        <f>VLOOKUP(W198,'Level Wise PSI'!$F$2:$G$12,2,FALSE)</f>
        <v>Double Lift</v>
      </c>
    </row>
    <row r="199" spans="1:111" x14ac:dyDescent="0.25">
      <c r="A199">
        <v>65</v>
      </c>
      <c r="B199" t="s">
        <v>674</v>
      </c>
      <c r="C199" s="15">
        <v>2429</v>
      </c>
      <c r="D199" s="15">
        <v>10000</v>
      </c>
      <c r="E199" t="str">
        <f>IF(B199=Level!$A$2,SD!$C$14,SD!$C$13)</f>
        <v>0-8</v>
      </c>
      <c r="F199" s="15" t="s">
        <v>763</v>
      </c>
      <c r="G199" t="s">
        <v>715</v>
      </c>
      <c r="H199" t="str">
        <f>RIGHT(VLOOKUP(B199,Level!A:C,3,FALSE),LEN(VLOOKUP(B199,Level!A:C,3,FALSE))-1)</f>
        <v>10-7</v>
      </c>
      <c r="I199" t="s">
        <v>716</v>
      </c>
      <c r="J199" t="str">
        <f>IF(AND(SD!$C$19=SD!$H$2,Grade!$G$1="Per level"),VLOOKUP(B199,Grade!$E$1:$F$200,2,FALSE),IF(AND(SD!$C$19=SD!$H$2,Grade!$G$1="Per Bar Size"),VLOOKUP(W199,Grade!$B$1:$C$12,2,0),SD!$C$19))</f>
        <v>A615 Grade 60</v>
      </c>
      <c r="K199" t="s">
        <v>66</v>
      </c>
      <c r="L199" s="24" t="str">
        <f>IFERROR(IF(A199&lt;&gt;A200,"",IF(DF199="No Lap","",IF(K200="Lap",U199,IF(K200="Coupler",_xlfn._xlws.FILTER(CCoupler,(CCName=SD!$C$8)*(CBSize=IF(A198=A199,W199&amp;W200,W199&amp;W199))*(CCMFM="Male")),"")))),"N/A")</f>
        <v>5-1</v>
      </c>
      <c r="M199" t="str">
        <f t="shared" si="9"/>
        <v/>
      </c>
      <c r="N199" t="s">
        <v>692</v>
      </c>
      <c r="O199" t="s">
        <v>693</v>
      </c>
      <c r="P199" t="s">
        <v>692</v>
      </c>
      <c r="Q199" t="str">
        <f>IF(AND(SD!$C$29=SD!$P$2,Grade!$O$1="Per level"),VLOOKUP(B199,Grade!$M$1:$N$200,2,FALSE),IF(AND(SD!$C$29=SD!$P$2,Grade!$O$1="Per Bar Size"),VLOOKUP(LEFT(N199,FIND("@",N199)-2),Grade!$J$1:$K$12,2,0),SD!$C$29))</f>
        <v>A615 Grade 60</v>
      </c>
      <c r="R199" t="s">
        <v>715</v>
      </c>
      <c r="S199" s="57">
        <v>199</v>
      </c>
      <c r="U199" t="str">
        <f>IF(Data!$J199="",IFERROR(INDEX(IF(SD!$C$11="Create",Lap!$A$3:$BF$14,IF(SD!$C$11="Per Uploaded File",Lap!$A$19:$BF$30,"")),MATCH(W199,Lap!$A$3:$A$14,0),MATCH(VALUE(D199),Lap!$A$3:$BF$3,0)+IF(IFERROR(FIND("Grade 60",J199),0)&gt;0,0,IF(IFERROR(FIND("Grade 80",J199),0),1,IF(IFERROR(FIND("Grade 75",J199),0),2,"")))),""),Data!J199)</f>
        <v>5-1</v>
      </c>
      <c r="W199" t="s">
        <v>166</v>
      </c>
      <c r="X199">
        <v>6</v>
      </c>
      <c r="Y199" t="str">
        <f t="shared" si="10"/>
        <v>30</v>
      </c>
      <c r="Z199">
        <f t="shared" si="11"/>
        <v>0</v>
      </c>
      <c r="DE199" t="s">
        <v>831</v>
      </c>
      <c r="DF199" t="s">
        <v>66</v>
      </c>
      <c r="DG199" t="str">
        <f>VLOOKUP(W199,'Level Wise PSI'!$F$2:$G$12,2,FALSE)</f>
        <v>Double Lift</v>
      </c>
    </row>
    <row r="200" spans="1:111" x14ac:dyDescent="0.25">
      <c r="A200">
        <v>65</v>
      </c>
      <c r="B200" t="s">
        <v>676</v>
      </c>
      <c r="C200" s="15">
        <v>2429</v>
      </c>
      <c r="D200" s="15">
        <v>10000</v>
      </c>
      <c r="E200" t="str">
        <f>IF(B200=Level!$A$2,SD!$C$14,SD!$C$13)</f>
        <v>0-8</v>
      </c>
      <c r="F200" s="15" t="s">
        <v>763</v>
      </c>
      <c r="G200" t="s">
        <v>715</v>
      </c>
      <c r="H200" t="str">
        <f>RIGHT(VLOOKUP(B200,Level!A:C,3,FALSE),LEN(VLOOKUP(B200,Level!A:C,3,FALSE))-1)</f>
        <v>10-7</v>
      </c>
      <c r="I200" t="s">
        <v>716</v>
      </c>
      <c r="J200" t="str">
        <f>IF(AND(SD!$C$19=SD!$H$2,Grade!$G$1="Per level"),VLOOKUP(B200,Grade!$E$1:$F$200,2,FALSE),IF(AND(SD!$C$19=SD!$H$2,Grade!$G$1="Per Bar Size"),VLOOKUP(W200,Grade!$B$1:$C$12,2,0),SD!$C$19))</f>
        <v>A615 Grade 60</v>
      </c>
      <c r="K200" t="s">
        <v>66</v>
      </c>
      <c r="L200" s="24" t="str">
        <f>IFERROR(IF(A200&lt;&gt;A201,"",IF(DF200="No Lap","",IF(K201="Lap",U200,IF(K201="Coupler",_xlfn._xlws.FILTER(CCoupler,(CCName=SD!$C$8)*(CBSize=IF(A199=A200,W200&amp;W201,W200&amp;W200))*(CCMFM="Male")),"")))),"N/A")</f>
        <v>5-1</v>
      </c>
      <c r="M200" t="str">
        <f t="shared" si="9"/>
        <v/>
      </c>
      <c r="N200" t="s">
        <v>692</v>
      </c>
      <c r="O200" t="s">
        <v>693</v>
      </c>
      <c r="P200" t="s">
        <v>692</v>
      </c>
      <c r="Q200" t="str">
        <f>IF(AND(SD!$C$29=SD!$P$2,Grade!$O$1="Per level"),VLOOKUP(B200,Grade!$M$1:$N$200,2,FALSE),IF(AND(SD!$C$29=SD!$P$2,Grade!$O$1="Per Bar Size"),VLOOKUP(LEFT(N200,FIND("@",N200)-2),Grade!$J$1:$K$12,2,0),SD!$C$29))</f>
        <v>A615 Grade 60</v>
      </c>
      <c r="R200" t="s">
        <v>715</v>
      </c>
      <c r="S200" s="57">
        <v>200</v>
      </c>
      <c r="U200" t="str">
        <f>IF(Data!$J200="",IFERROR(INDEX(IF(SD!$C$11="Create",Lap!$A$3:$BF$14,IF(SD!$C$11="Per Uploaded File",Lap!$A$19:$BF$30,"")),MATCH(W200,Lap!$A$3:$A$14,0),MATCH(VALUE(D200),Lap!$A$3:$BF$3,0)+IF(IFERROR(FIND("Grade 60",J200),0)&gt;0,0,IF(IFERROR(FIND("Grade 80",J200),0),1,IF(IFERROR(FIND("Grade 75",J200),0),2,"")))),""),Data!J200)</f>
        <v>5-1</v>
      </c>
      <c r="W200" t="s">
        <v>166</v>
      </c>
      <c r="X200">
        <v>6</v>
      </c>
      <c r="Y200" t="str">
        <f t="shared" si="10"/>
        <v>30</v>
      </c>
      <c r="Z200">
        <f t="shared" si="11"/>
        <v>0</v>
      </c>
      <c r="DE200" t="s">
        <v>831</v>
      </c>
      <c r="DF200" t="s">
        <v>66</v>
      </c>
      <c r="DG200" t="str">
        <f>VLOOKUP(W200,'Level Wise PSI'!$F$2:$G$12,2,FALSE)</f>
        <v>Double Lift</v>
      </c>
    </row>
    <row r="201" spans="1:111" x14ac:dyDescent="0.25">
      <c r="A201">
        <v>65</v>
      </c>
      <c r="B201" t="s">
        <v>678</v>
      </c>
      <c r="C201" s="15">
        <v>2429</v>
      </c>
      <c r="D201" s="15">
        <v>10000</v>
      </c>
      <c r="E201" t="str">
        <f>IF(B201=Level!$A$2,SD!$C$14,SD!$C$13)</f>
        <v>0-8</v>
      </c>
      <c r="F201" s="15" t="s">
        <v>763</v>
      </c>
      <c r="G201" t="s">
        <v>715</v>
      </c>
      <c r="H201" t="str">
        <f>RIGHT(VLOOKUP(B201,Level!A:C,3,FALSE),LEN(VLOOKUP(B201,Level!A:C,3,FALSE))-1)</f>
        <v>10-7</v>
      </c>
      <c r="I201" t="s">
        <v>716</v>
      </c>
      <c r="J201" t="str">
        <f>IF(AND(SD!$C$19=SD!$H$2,Grade!$G$1="Per level"),VLOOKUP(B201,Grade!$E$1:$F$200,2,FALSE),IF(AND(SD!$C$19=SD!$H$2,Grade!$G$1="Per Bar Size"),VLOOKUP(W201,Grade!$B$1:$C$12,2,0),SD!$C$19))</f>
        <v>A615 Grade 60</v>
      </c>
      <c r="K201" t="s">
        <v>66</v>
      </c>
      <c r="L201" s="24" t="str">
        <f>IFERROR(IF(A201&lt;&gt;A202,"",IF(DF201="No Lap","",IF(K202="Lap",U201,IF(K202="Coupler",_xlfn._xlws.FILTER(CCoupler,(CCName=SD!$C$8)*(CBSize=IF(A200=A201,W201&amp;W202,W201&amp;W201))*(CCMFM="Male")),"")))),"N/A")</f>
        <v>5-1</v>
      </c>
      <c r="M201" t="str">
        <f t="shared" si="9"/>
        <v/>
      </c>
      <c r="N201" t="s">
        <v>692</v>
      </c>
      <c r="O201" t="s">
        <v>693</v>
      </c>
      <c r="P201" t="s">
        <v>692</v>
      </c>
      <c r="Q201" t="str">
        <f>IF(AND(SD!$C$29=SD!$P$2,Grade!$O$1="Per level"),VLOOKUP(B201,Grade!$M$1:$N$200,2,FALSE),IF(AND(SD!$C$29=SD!$P$2,Grade!$O$1="Per Bar Size"),VLOOKUP(LEFT(N201,FIND("@",N201)-2),Grade!$J$1:$K$12,2,0),SD!$C$29))</f>
        <v>A615 Grade 60</v>
      </c>
      <c r="R201" t="s">
        <v>715</v>
      </c>
      <c r="S201" s="57">
        <v>201</v>
      </c>
      <c r="U201" t="str">
        <f>IF(Data!$J201="",IFERROR(INDEX(IF(SD!$C$11="Create",Lap!$A$3:$BF$14,IF(SD!$C$11="Per Uploaded File",Lap!$A$19:$BF$30,"")),MATCH(W201,Lap!$A$3:$A$14,0),MATCH(VALUE(D201),Lap!$A$3:$BF$3,0)+IF(IFERROR(FIND("Grade 60",J201),0)&gt;0,0,IF(IFERROR(FIND("Grade 80",J201),0),1,IF(IFERROR(FIND("Grade 75",J201),0),2,"")))),""),Data!J201)</f>
        <v>5-1</v>
      </c>
      <c r="W201" t="s">
        <v>166</v>
      </c>
      <c r="X201">
        <v>6</v>
      </c>
      <c r="Y201" t="str">
        <f t="shared" si="10"/>
        <v>30</v>
      </c>
      <c r="Z201">
        <f t="shared" si="11"/>
        <v>0</v>
      </c>
      <c r="DE201" t="s">
        <v>831</v>
      </c>
      <c r="DF201" t="s">
        <v>66</v>
      </c>
      <c r="DG201" t="str">
        <f>VLOOKUP(W201,'Level Wise PSI'!$F$2:$G$12,2,FALSE)</f>
        <v>Double Lift</v>
      </c>
    </row>
    <row r="202" spans="1:111" x14ac:dyDescent="0.25">
      <c r="A202">
        <v>65</v>
      </c>
      <c r="B202" t="s">
        <v>680</v>
      </c>
      <c r="C202" s="15">
        <v>2429</v>
      </c>
      <c r="D202" s="15">
        <v>10000</v>
      </c>
      <c r="E202" t="str">
        <f>IF(B202=Level!$A$2,SD!$C$14,SD!$C$13)</f>
        <v>0-8</v>
      </c>
      <c r="F202" s="15" t="s">
        <v>763</v>
      </c>
      <c r="G202" t="s">
        <v>715</v>
      </c>
      <c r="H202" t="str">
        <f>RIGHT(VLOOKUP(B202,Level!A:C,3,FALSE),LEN(VLOOKUP(B202,Level!A:C,3,FALSE))-1)</f>
        <v>10-7</v>
      </c>
      <c r="I202" t="s">
        <v>716</v>
      </c>
      <c r="J202" t="str">
        <f>IF(AND(SD!$C$19=SD!$H$2,Grade!$G$1="Per level"),VLOOKUP(B202,Grade!$E$1:$F$200,2,FALSE),IF(AND(SD!$C$19=SD!$H$2,Grade!$G$1="Per Bar Size"),VLOOKUP(W202,Grade!$B$1:$C$12,2,0),SD!$C$19))</f>
        <v>A615 Grade 60</v>
      </c>
      <c r="K202" t="s">
        <v>66</v>
      </c>
      <c r="L202" s="24" t="str">
        <f>IFERROR(IF(A202&lt;&gt;A203,"",IF(DF202="No Lap","",IF(K203="Lap",U202,IF(K203="Coupler",_xlfn._xlws.FILTER(CCoupler,(CCName=SD!$C$8)*(CBSize=IF(A201=A202,W202&amp;W203,W202&amp;W202))*(CCMFM="Male")),"")))),"N/A")</f>
        <v>5-1</v>
      </c>
      <c r="M202" t="str">
        <f t="shared" si="9"/>
        <v/>
      </c>
      <c r="N202" t="s">
        <v>692</v>
      </c>
      <c r="O202" t="s">
        <v>693</v>
      </c>
      <c r="P202" t="s">
        <v>692</v>
      </c>
      <c r="Q202" t="str">
        <f>IF(AND(SD!$C$29=SD!$P$2,Grade!$O$1="Per level"),VLOOKUP(B202,Grade!$M$1:$N$200,2,FALSE),IF(AND(SD!$C$29=SD!$P$2,Grade!$O$1="Per Bar Size"),VLOOKUP(LEFT(N202,FIND("@",N202)-2),Grade!$J$1:$K$12,2,0),SD!$C$29))</f>
        <v>A615 Grade 60</v>
      </c>
      <c r="R202" t="s">
        <v>715</v>
      </c>
      <c r="S202" s="57">
        <v>202</v>
      </c>
      <c r="U202" t="str">
        <f>IF(Data!$J202="",IFERROR(INDEX(IF(SD!$C$11="Create",Lap!$A$3:$BF$14,IF(SD!$C$11="Per Uploaded File",Lap!$A$19:$BF$30,"")),MATCH(W202,Lap!$A$3:$A$14,0),MATCH(VALUE(D202),Lap!$A$3:$BF$3,0)+IF(IFERROR(FIND("Grade 60",J202),0)&gt;0,0,IF(IFERROR(FIND("Grade 80",J202),0),1,IF(IFERROR(FIND("Grade 75",J202),0),2,"")))),""),Data!J202)</f>
        <v>5-1</v>
      </c>
      <c r="W202" t="s">
        <v>166</v>
      </c>
      <c r="X202">
        <v>6</v>
      </c>
      <c r="Y202" t="str">
        <f t="shared" si="10"/>
        <v>30</v>
      </c>
      <c r="Z202">
        <f t="shared" si="11"/>
        <v>0</v>
      </c>
      <c r="DE202" t="s">
        <v>831</v>
      </c>
      <c r="DF202" t="s">
        <v>66</v>
      </c>
      <c r="DG202" t="str">
        <f>VLOOKUP(W202,'Level Wise PSI'!$F$2:$G$12,2,FALSE)</f>
        <v>Double Lift</v>
      </c>
    </row>
    <row r="203" spans="1:111" x14ac:dyDescent="0.25">
      <c r="A203">
        <v>65</v>
      </c>
      <c r="B203" t="s">
        <v>682</v>
      </c>
      <c r="C203" s="15">
        <v>2429</v>
      </c>
      <c r="D203" s="15">
        <v>10000</v>
      </c>
      <c r="E203" t="str">
        <f>IF(B203=Level!$A$2,SD!$C$14,SD!$C$13)</f>
        <v>0-8</v>
      </c>
      <c r="F203" s="15" t="s">
        <v>763</v>
      </c>
      <c r="G203" t="s">
        <v>715</v>
      </c>
      <c r="H203" t="str">
        <f>RIGHT(VLOOKUP(B203,Level!A:C,3,FALSE),LEN(VLOOKUP(B203,Level!A:C,3,FALSE))-1)</f>
        <v>10-7</v>
      </c>
      <c r="I203" t="s">
        <v>717</v>
      </c>
      <c r="J203" t="str">
        <f>IF(AND(SD!$C$19=SD!$H$2,Grade!$G$1="Per level"),VLOOKUP(B203,Grade!$E$1:$F$200,2,FALSE),IF(AND(SD!$C$19=SD!$H$2,Grade!$G$1="Per Bar Size"),VLOOKUP(W203,Grade!$B$1:$C$12,2,0),SD!$C$19))</f>
        <v>A615 Grade 60</v>
      </c>
      <c r="K203" t="s">
        <v>66</v>
      </c>
      <c r="L203" s="24" t="str">
        <f>IFERROR(IF(A203&lt;&gt;A204,"",IF(DF203="No Lap","",IF(K204="Lap",U203,IF(K204="Coupler",_xlfn._xlws.FILTER(CCoupler,(CCName=SD!$C$8)*(CBSize=IF(A202=A203,W203&amp;W204,W203&amp;W203))*(CCMFM="Male")),"")))),"N/A")</f>
        <v/>
      </c>
      <c r="M203" t="str">
        <f t="shared" si="9"/>
        <v/>
      </c>
      <c r="N203" t="s">
        <v>692</v>
      </c>
      <c r="O203" t="s">
        <v>693</v>
      </c>
      <c r="P203" t="s">
        <v>692</v>
      </c>
      <c r="Q203" t="str">
        <f>IF(AND(SD!$C$29=SD!$P$2,Grade!$O$1="Per level"),VLOOKUP(B203,Grade!$M$1:$N$200,2,FALSE),IF(AND(SD!$C$29=SD!$P$2,Grade!$O$1="Per Bar Size"),VLOOKUP(LEFT(N203,FIND("@",N203)-2),Grade!$J$1:$K$12,2,0),SD!$C$29))</f>
        <v>A615 Grade 60</v>
      </c>
      <c r="R203" t="s">
        <v>715</v>
      </c>
      <c r="S203" s="57">
        <v>203</v>
      </c>
      <c r="U203" t="str">
        <f>IF(Data!$J203="",IFERROR(INDEX(IF(SD!$C$11="Create",Lap!$A$3:$BF$14,IF(SD!$C$11="Per Uploaded File",Lap!$A$19:$BF$30,"")),MATCH(W203,Lap!$A$3:$A$14,0),MATCH(VALUE(D203),Lap!$A$3:$BF$3,0)+IF(IFERROR(FIND("Grade 60",J203),0)&gt;0,0,IF(IFERROR(FIND("Grade 80",J203),0),1,IF(IFERROR(FIND("Grade 75",J203),0),2,"")))),""),Data!J203)</f>
        <v>4-0</v>
      </c>
      <c r="W203" t="s">
        <v>142</v>
      </c>
      <c r="X203">
        <v>10</v>
      </c>
      <c r="Y203" t="str">
        <f t="shared" si="10"/>
        <v>30</v>
      </c>
      <c r="Z203">
        <f t="shared" si="11"/>
        <v>0</v>
      </c>
      <c r="DE203" t="s">
        <v>831</v>
      </c>
      <c r="DF203" t="s">
        <v>66</v>
      </c>
      <c r="DG203" t="str">
        <f>VLOOKUP(W203,'Level Wise PSI'!$F$2:$G$12,2,FALSE)</f>
        <v>Double Lift</v>
      </c>
    </row>
    <row r="204" spans="1:111" x14ac:dyDescent="0.25">
      <c r="A204">
        <v>66</v>
      </c>
      <c r="B204" t="s">
        <v>661</v>
      </c>
      <c r="C204" s="15">
        <v>2429</v>
      </c>
      <c r="D204" s="15">
        <v>10000</v>
      </c>
      <c r="E204" s="15" t="s">
        <v>748</v>
      </c>
      <c r="F204" s="15" t="s">
        <v>763</v>
      </c>
      <c r="G204" t="s">
        <v>713</v>
      </c>
      <c r="H204" t="str">
        <f>RIGHT(VLOOKUP(B204,Level!A:C,3,FALSE),LEN(VLOOKUP(B204,Level!A:C,3,FALSE))-1)</f>
        <v>10-7</v>
      </c>
      <c r="I204" t="s">
        <v>714</v>
      </c>
      <c r="J204" t="str">
        <f>IF(AND(SD!$C$19=SD!$H$2,Grade!$G$1="Per level"),VLOOKUP(B204,Grade!$E$1:$F$200,2,FALSE),IF(AND(SD!$C$19=SD!$H$2,Grade!$G$1="Per Bar Size"),VLOOKUP(W204,Grade!$B$1:$C$12,2,0),SD!$C$19))</f>
        <v>A615 Grade 60</v>
      </c>
      <c r="K204" t="s">
        <v>66</v>
      </c>
      <c r="L204" s="24" t="str">
        <f>IFERROR(IF(A204&lt;&gt;A205,"",IF(DF204="No Lap","",IF(K205="Lap",U204,IF(K205="Coupler",_xlfn._xlws.FILTER(CCoupler,(CCName=SD!$C$8)*(CBSize=IF(A203=A204,W204&amp;W205,W204&amp;W204))*(CCMFM="Male")),"")))),"N/A")</f>
        <v>5-1</v>
      </c>
      <c r="M204" t="str">
        <f t="shared" si="9"/>
        <v/>
      </c>
      <c r="N204" t="s">
        <v>692</v>
      </c>
      <c r="O204" t="s">
        <v>693</v>
      </c>
      <c r="P204" t="s">
        <v>692</v>
      </c>
      <c r="Q204" t="str">
        <f>IF(AND(SD!$C$29=SD!$P$2,Grade!$O$1="Per level"),VLOOKUP(B204,Grade!$M$1:$N$200,2,FALSE),IF(AND(SD!$C$29=SD!$P$2,Grade!$O$1="Per Bar Size"),VLOOKUP(LEFT(N204,FIND("@",N204)-2),Grade!$J$1:$K$12,2,0),SD!$C$29))</f>
        <v>A615 Grade 60</v>
      </c>
      <c r="R204" t="s">
        <v>713</v>
      </c>
      <c r="S204" s="57">
        <v>204</v>
      </c>
      <c r="U204" t="str">
        <f>IF(Data!$J204="",IFERROR(INDEX(IF(SD!$C$11="Create",Lap!$A$3:$BF$14,IF(SD!$C$11="Per Uploaded File",Lap!$A$19:$BF$30,"")),MATCH(W204,Lap!$A$3:$A$14,0),MATCH(VALUE(D204),Lap!$A$3:$BF$3,0)+IF(IFERROR(FIND("Grade 60",J204),0)&gt;0,0,IF(IFERROR(FIND("Grade 80",J204),0),1,IF(IFERROR(FIND("Grade 75",J204),0),2,"")))),""),Data!J204)</f>
        <v>5-1</v>
      </c>
      <c r="W204" t="s">
        <v>166</v>
      </c>
      <c r="X204">
        <v>10</v>
      </c>
      <c r="Y204" t="str">
        <f t="shared" si="10"/>
        <v>36</v>
      </c>
      <c r="Z204">
        <f t="shared" si="11"/>
        <v>0</v>
      </c>
      <c r="DE204" t="s">
        <v>831</v>
      </c>
      <c r="DF204" t="s">
        <v>66</v>
      </c>
      <c r="DG204" t="str">
        <f>VLOOKUP(W204,'Level Wise PSI'!$F$2:$G$12,2,FALSE)</f>
        <v>Double Lift</v>
      </c>
    </row>
    <row r="205" spans="1:111" x14ac:dyDescent="0.25">
      <c r="A205">
        <v>66</v>
      </c>
      <c r="B205" t="s">
        <v>664</v>
      </c>
      <c r="C205" s="15">
        <v>2429</v>
      </c>
      <c r="D205" s="15">
        <v>10000</v>
      </c>
      <c r="E205" t="str">
        <f>IF(B205=Level!$A$2,SD!$C$14,SD!$C$13)</f>
        <v>0-8</v>
      </c>
      <c r="F205" s="15" t="s">
        <v>763</v>
      </c>
      <c r="G205" t="s">
        <v>715</v>
      </c>
      <c r="H205" t="str">
        <f>RIGHT(VLOOKUP(B205,Level!A:C,3,FALSE),LEN(VLOOKUP(B205,Level!A:C,3,FALSE))-1)</f>
        <v>10-7</v>
      </c>
      <c r="I205" t="s">
        <v>716</v>
      </c>
      <c r="J205" t="str">
        <f>IF(AND(SD!$C$19=SD!$H$2,Grade!$G$1="Per level"),VLOOKUP(B205,Grade!$E$1:$F$200,2,FALSE),IF(AND(SD!$C$19=SD!$H$2,Grade!$G$1="Per Bar Size"),VLOOKUP(W205,Grade!$B$1:$C$12,2,0),SD!$C$19))</f>
        <v>A615 Grade 60</v>
      </c>
      <c r="K205" t="s">
        <v>66</v>
      </c>
      <c r="L205" s="24" t="str">
        <f>IFERROR(IF(A205&lt;&gt;A206,"",IF(DF205="No Lap","",IF(K206="Lap",U205,IF(K206="Coupler",_xlfn._xlws.FILTER(CCoupler,(CCName=SD!$C$8)*(CBSize=IF(A204=A205,W205&amp;W206,W205&amp;W205))*(CCMFM="Male")),"")))),"N/A")</f>
        <v>5-1</v>
      </c>
      <c r="M205" t="str">
        <f t="shared" si="9"/>
        <v/>
      </c>
      <c r="N205" t="s">
        <v>692</v>
      </c>
      <c r="O205" t="s">
        <v>693</v>
      </c>
      <c r="P205" t="s">
        <v>692</v>
      </c>
      <c r="Q205" t="str">
        <f>IF(AND(SD!$C$29=SD!$P$2,Grade!$O$1="Per level"),VLOOKUP(B205,Grade!$M$1:$N$200,2,FALSE),IF(AND(SD!$C$29=SD!$P$2,Grade!$O$1="Per Bar Size"),VLOOKUP(LEFT(N205,FIND("@",N205)-2),Grade!$J$1:$K$12,2,0),SD!$C$29))</f>
        <v>A615 Grade 60</v>
      </c>
      <c r="R205" t="s">
        <v>715</v>
      </c>
      <c r="S205" s="57">
        <v>205</v>
      </c>
      <c r="U205" t="str">
        <f>IF(Data!$J205="",IFERROR(INDEX(IF(SD!$C$11="Create",Lap!$A$3:$BF$14,IF(SD!$C$11="Per Uploaded File",Lap!$A$19:$BF$30,"")),MATCH(W205,Lap!$A$3:$A$14,0),MATCH(VALUE(D205),Lap!$A$3:$BF$3,0)+IF(IFERROR(FIND("Grade 60",J205),0)&gt;0,0,IF(IFERROR(FIND("Grade 80",J205),0),1,IF(IFERROR(FIND("Grade 75",J205),0),2,"")))),""),Data!J205)</f>
        <v>5-1</v>
      </c>
      <c r="W205" t="s">
        <v>166</v>
      </c>
      <c r="X205">
        <v>6</v>
      </c>
      <c r="Y205" t="str">
        <f t="shared" si="10"/>
        <v>30</v>
      </c>
      <c r="Z205">
        <f t="shared" si="11"/>
        <v>0</v>
      </c>
      <c r="DE205" t="s">
        <v>831</v>
      </c>
      <c r="DF205" t="s">
        <v>66</v>
      </c>
      <c r="DG205" t="str">
        <f>VLOOKUP(W205,'Level Wise PSI'!$F$2:$G$12,2,FALSE)</f>
        <v>Double Lift</v>
      </c>
    </row>
    <row r="206" spans="1:111" x14ac:dyDescent="0.25">
      <c r="A206">
        <v>66</v>
      </c>
      <c r="B206" t="s">
        <v>666</v>
      </c>
      <c r="C206" s="15">
        <v>2429</v>
      </c>
      <c r="D206" s="15">
        <v>10000</v>
      </c>
      <c r="E206" t="str">
        <f>IF(B206=Level!$A$2,SD!$C$14,SD!$C$13)</f>
        <v>0-8</v>
      </c>
      <c r="F206" s="15" t="s">
        <v>763</v>
      </c>
      <c r="G206" t="s">
        <v>715</v>
      </c>
      <c r="H206" t="str">
        <f>RIGHT(VLOOKUP(B206,Level!A:C,3,FALSE),LEN(VLOOKUP(B206,Level!A:C,3,FALSE))-1)</f>
        <v>10-7</v>
      </c>
      <c r="I206" t="s">
        <v>716</v>
      </c>
      <c r="J206" t="str">
        <f>IF(AND(SD!$C$19=SD!$H$2,Grade!$G$1="Per level"),VLOOKUP(B206,Grade!$E$1:$F$200,2,FALSE),IF(AND(SD!$C$19=SD!$H$2,Grade!$G$1="Per Bar Size"),VLOOKUP(W206,Grade!$B$1:$C$12,2,0),SD!$C$19))</f>
        <v>A615 Grade 60</v>
      </c>
      <c r="K206" t="s">
        <v>66</v>
      </c>
      <c r="L206" s="24" t="str">
        <f>IFERROR(IF(A206&lt;&gt;A207,"",IF(DF206="No Lap","",IF(K207="Lap",U206,IF(K207="Coupler",_xlfn._xlws.FILTER(CCoupler,(CCName=SD!$C$8)*(CBSize=IF(A205=A206,W206&amp;W207,W206&amp;W206))*(CCMFM="Male")),"")))),"N/A")</f>
        <v>5-1</v>
      </c>
      <c r="M206" t="str">
        <f t="shared" si="9"/>
        <v/>
      </c>
      <c r="N206" t="s">
        <v>692</v>
      </c>
      <c r="O206" t="s">
        <v>693</v>
      </c>
      <c r="P206" t="s">
        <v>692</v>
      </c>
      <c r="Q206" t="str">
        <f>IF(AND(SD!$C$29=SD!$P$2,Grade!$O$1="Per level"),VLOOKUP(B206,Grade!$M$1:$N$200,2,FALSE),IF(AND(SD!$C$29=SD!$P$2,Grade!$O$1="Per Bar Size"),VLOOKUP(LEFT(N206,FIND("@",N206)-2),Grade!$J$1:$K$12,2,0),SD!$C$29))</f>
        <v>A615 Grade 60</v>
      </c>
      <c r="R206" t="s">
        <v>715</v>
      </c>
      <c r="S206" s="57">
        <v>206</v>
      </c>
      <c r="U206" t="str">
        <f>IF(Data!$J206="",IFERROR(INDEX(IF(SD!$C$11="Create",Lap!$A$3:$BF$14,IF(SD!$C$11="Per Uploaded File",Lap!$A$19:$BF$30,"")),MATCH(W206,Lap!$A$3:$A$14,0),MATCH(VALUE(D206),Lap!$A$3:$BF$3,0)+IF(IFERROR(FIND("Grade 60",J206),0)&gt;0,0,IF(IFERROR(FIND("Grade 80",J206),0),1,IF(IFERROR(FIND("Grade 75",J206),0),2,"")))),""),Data!J206)</f>
        <v>5-1</v>
      </c>
      <c r="W206" t="s">
        <v>166</v>
      </c>
      <c r="X206">
        <v>6</v>
      </c>
      <c r="Y206" t="str">
        <f t="shared" si="10"/>
        <v>30</v>
      </c>
      <c r="Z206">
        <f t="shared" si="11"/>
        <v>0</v>
      </c>
      <c r="DE206" t="s">
        <v>831</v>
      </c>
      <c r="DF206" t="s">
        <v>66</v>
      </c>
      <c r="DG206" t="str">
        <f>VLOOKUP(W206,'Level Wise PSI'!$F$2:$G$12,2,FALSE)</f>
        <v>Double Lift</v>
      </c>
    </row>
    <row r="207" spans="1:111" x14ac:dyDescent="0.25">
      <c r="A207">
        <v>66</v>
      </c>
      <c r="B207" t="s">
        <v>668</v>
      </c>
      <c r="C207" s="15">
        <v>2429</v>
      </c>
      <c r="D207" s="15">
        <v>10000</v>
      </c>
      <c r="E207" t="str">
        <f>IF(B207=Level!$A$2,SD!$C$14,SD!$C$13)</f>
        <v>0-8</v>
      </c>
      <c r="F207" s="15" t="s">
        <v>763</v>
      </c>
      <c r="G207" t="s">
        <v>715</v>
      </c>
      <c r="H207" t="str">
        <f>RIGHT(VLOOKUP(B207,Level!A:C,3,FALSE),LEN(VLOOKUP(B207,Level!A:C,3,FALSE))-1)</f>
        <v>10-7</v>
      </c>
      <c r="I207" t="s">
        <v>716</v>
      </c>
      <c r="J207" t="str">
        <f>IF(AND(SD!$C$19=SD!$H$2,Grade!$G$1="Per level"),VLOOKUP(B207,Grade!$E$1:$F$200,2,FALSE),IF(AND(SD!$C$19=SD!$H$2,Grade!$G$1="Per Bar Size"),VLOOKUP(W207,Grade!$B$1:$C$12,2,0),SD!$C$19))</f>
        <v>A615 Grade 60</v>
      </c>
      <c r="K207" t="s">
        <v>66</v>
      </c>
      <c r="L207" s="24" t="str">
        <f>IFERROR(IF(A207&lt;&gt;A208,"",IF(DF207="No Lap","",IF(K208="Lap",U207,IF(K208="Coupler",_xlfn._xlws.FILTER(CCoupler,(CCName=SD!$C$8)*(CBSize=IF(A206=A207,W207&amp;W208,W207&amp;W207))*(CCMFM="Male")),"")))),"N/A")</f>
        <v>5-1</v>
      </c>
      <c r="M207" t="str">
        <f t="shared" si="9"/>
        <v/>
      </c>
      <c r="N207" t="s">
        <v>692</v>
      </c>
      <c r="O207" t="s">
        <v>693</v>
      </c>
      <c r="P207" t="s">
        <v>692</v>
      </c>
      <c r="Q207" t="str">
        <f>IF(AND(SD!$C$29=SD!$P$2,Grade!$O$1="Per level"),VLOOKUP(B207,Grade!$M$1:$N$200,2,FALSE),IF(AND(SD!$C$29=SD!$P$2,Grade!$O$1="Per Bar Size"),VLOOKUP(LEFT(N207,FIND("@",N207)-2),Grade!$J$1:$K$12,2,0),SD!$C$29))</f>
        <v>A615 Grade 60</v>
      </c>
      <c r="R207" t="s">
        <v>715</v>
      </c>
      <c r="S207" s="57">
        <v>207</v>
      </c>
      <c r="U207" t="str">
        <f>IF(Data!$J207="",IFERROR(INDEX(IF(SD!$C$11="Create",Lap!$A$3:$BF$14,IF(SD!$C$11="Per Uploaded File",Lap!$A$19:$BF$30,"")),MATCH(W207,Lap!$A$3:$A$14,0),MATCH(VALUE(D207),Lap!$A$3:$BF$3,0)+IF(IFERROR(FIND("Grade 60",J207),0)&gt;0,0,IF(IFERROR(FIND("Grade 80",J207),0),1,IF(IFERROR(FIND("Grade 75",J207),0),2,"")))),""),Data!J207)</f>
        <v>5-1</v>
      </c>
      <c r="W207" t="s">
        <v>166</v>
      </c>
      <c r="X207">
        <v>6</v>
      </c>
      <c r="Y207" t="str">
        <f t="shared" si="10"/>
        <v>30</v>
      </c>
      <c r="Z207">
        <f t="shared" si="11"/>
        <v>0</v>
      </c>
      <c r="DE207" t="s">
        <v>831</v>
      </c>
      <c r="DF207" t="s">
        <v>66</v>
      </c>
      <c r="DG207" t="str">
        <f>VLOOKUP(W207,'Level Wise PSI'!$F$2:$G$12,2,FALSE)</f>
        <v>Double Lift</v>
      </c>
    </row>
    <row r="208" spans="1:111" x14ac:dyDescent="0.25">
      <c r="A208">
        <v>66</v>
      </c>
      <c r="B208" t="s">
        <v>670</v>
      </c>
      <c r="C208" s="15">
        <v>2429</v>
      </c>
      <c r="D208" s="15">
        <v>10000</v>
      </c>
      <c r="E208" t="str">
        <f>IF(B208=Level!$A$2,SD!$C$14,SD!$C$13)</f>
        <v>0-8</v>
      </c>
      <c r="F208" s="15" t="s">
        <v>763</v>
      </c>
      <c r="G208" t="s">
        <v>715</v>
      </c>
      <c r="H208" t="str">
        <f>RIGHT(VLOOKUP(B208,Level!A:C,3,FALSE),LEN(VLOOKUP(B208,Level!A:C,3,FALSE))-1)</f>
        <v>10-7</v>
      </c>
      <c r="I208" t="s">
        <v>716</v>
      </c>
      <c r="J208" t="str">
        <f>IF(AND(SD!$C$19=SD!$H$2,Grade!$G$1="Per level"),VLOOKUP(B208,Grade!$E$1:$F$200,2,FALSE),IF(AND(SD!$C$19=SD!$H$2,Grade!$G$1="Per Bar Size"),VLOOKUP(W208,Grade!$B$1:$C$12,2,0),SD!$C$19))</f>
        <v>A615 Grade 60</v>
      </c>
      <c r="K208" t="s">
        <v>66</v>
      </c>
      <c r="L208" s="24" t="str">
        <f>IFERROR(IF(A208&lt;&gt;A209,"",IF(DF208="No Lap","",IF(K209="Lap",U208,IF(K209="Coupler",_xlfn._xlws.FILTER(CCoupler,(CCName=SD!$C$8)*(CBSize=IF(A207=A208,W208&amp;W209,W208&amp;W208))*(CCMFM="Male")),"")))),"N/A")</f>
        <v>5-1</v>
      </c>
      <c r="M208" t="str">
        <f t="shared" si="9"/>
        <v/>
      </c>
      <c r="N208" t="s">
        <v>692</v>
      </c>
      <c r="O208" t="s">
        <v>693</v>
      </c>
      <c r="P208" t="s">
        <v>692</v>
      </c>
      <c r="Q208" t="str">
        <f>IF(AND(SD!$C$29=SD!$P$2,Grade!$O$1="Per level"),VLOOKUP(B208,Grade!$M$1:$N$200,2,FALSE),IF(AND(SD!$C$29=SD!$P$2,Grade!$O$1="Per Bar Size"),VLOOKUP(LEFT(N208,FIND("@",N208)-2),Grade!$J$1:$K$12,2,0),SD!$C$29))</f>
        <v>A615 Grade 60</v>
      </c>
      <c r="R208" t="s">
        <v>715</v>
      </c>
      <c r="S208" s="57">
        <v>208</v>
      </c>
      <c r="U208" t="str">
        <f>IF(Data!$J208="",IFERROR(INDEX(IF(SD!$C$11="Create",Lap!$A$3:$BF$14,IF(SD!$C$11="Per Uploaded File",Lap!$A$19:$BF$30,"")),MATCH(W208,Lap!$A$3:$A$14,0),MATCH(VALUE(D208),Lap!$A$3:$BF$3,0)+IF(IFERROR(FIND("Grade 60",J208),0)&gt;0,0,IF(IFERROR(FIND("Grade 80",J208),0),1,IF(IFERROR(FIND("Grade 75",J208),0),2,"")))),""),Data!J208)</f>
        <v>5-1</v>
      </c>
      <c r="W208" t="s">
        <v>166</v>
      </c>
      <c r="X208">
        <v>6</v>
      </c>
      <c r="Y208" t="str">
        <f t="shared" si="10"/>
        <v>30</v>
      </c>
      <c r="Z208">
        <f t="shared" si="11"/>
        <v>0</v>
      </c>
      <c r="DE208" t="s">
        <v>831</v>
      </c>
      <c r="DF208" t="s">
        <v>66</v>
      </c>
      <c r="DG208" t="str">
        <f>VLOOKUP(W208,'Level Wise PSI'!$F$2:$G$12,2,FALSE)</f>
        <v>Double Lift</v>
      </c>
    </row>
    <row r="209" spans="1:111" x14ac:dyDescent="0.25">
      <c r="A209">
        <v>66</v>
      </c>
      <c r="B209" t="s">
        <v>672</v>
      </c>
      <c r="C209" s="15">
        <v>2429</v>
      </c>
      <c r="D209" s="15">
        <v>10000</v>
      </c>
      <c r="E209" t="str">
        <f>IF(B209=Level!$A$2,SD!$C$14,SD!$C$13)</f>
        <v>0-8</v>
      </c>
      <c r="F209" s="15" t="s">
        <v>763</v>
      </c>
      <c r="G209" t="s">
        <v>715</v>
      </c>
      <c r="H209" t="str">
        <f>RIGHT(VLOOKUP(B209,Level!A:C,3,FALSE),LEN(VLOOKUP(B209,Level!A:C,3,FALSE))-1)</f>
        <v>10-7</v>
      </c>
      <c r="I209" t="s">
        <v>716</v>
      </c>
      <c r="J209" t="str">
        <f>IF(AND(SD!$C$19=SD!$H$2,Grade!$G$1="Per level"),VLOOKUP(B209,Grade!$E$1:$F$200,2,FALSE),IF(AND(SD!$C$19=SD!$H$2,Grade!$G$1="Per Bar Size"),VLOOKUP(W209,Grade!$B$1:$C$12,2,0),SD!$C$19))</f>
        <v>A615 Grade 60</v>
      </c>
      <c r="K209" t="s">
        <v>66</v>
      </c>
      <c r="L209" s="24" t="str">
        <f>IFERROR(IF(A209&lt;&gt;A210,"",IF(DF209="No Lap","",IF(K210="Lap",U209,IF(K210="Coupler",_xlfn._xlws.FILTER(CCoupler,(CCName=SD!$C$8)*(CBSize=IF(A208=A209,W209&amp;W210,W209&amp;W209))*(CCMFM="Male")),"")))),"N/A")</f>
        <v>5-1</v>
      </c>
      <c r="M209" t="str">
        <f t="shared" si="9"/>
        <v/>
      </c>
      <c r="N209" t="s">
        <v>692</v>
      </c>
      <c r="O209" t="s">
        <v>693</v>
      </c>
      <c r="P209" t="s">
        <v>692</v>
      </c>
      <c r="Q209" t="str">
        <f>IF(AND(SD!$C$29=SD!$P$2,Grade!$O$1="Per level"),VLOOKUP(B209,Grade!$M$1:$N$200,2,FALSE),IF(AND(SD!$C$29=SD!$P$2,Grade!$O$1="Per Bar Size"),VLOOKUP(LEFT(N209,FIND("@",N209)-2),Grade!$J$1:$K$12,2,0),SD!$C$29))</f>
        <v>A615 Grade 60</v>
      </c>
      <c r="R209" t="s">
        <v>715</v>
      </c>
      <c r="S209" s="57">
        <v>209</v>
      </c>
      <c r="U209" t="str">
        <f>IF(Data!$J209="",IFERROR(INDEX(IF(SD!$C$11="Create",Lap!$A$3:$BF$14,IF(SD!$C$11="Per Uploaded File",Lap!$A$19:$BF$30,"")),MATCH(W209,Lap!$A$3:$A$14,0),MATCH(VALUE(D209),Lap!$A$3:$BF$3,0)+IF(IFERROR(FIND("Grade 60",J209),0)&gt;0,0,IF(IFERROR(FIND("Grade 80",J209),0),1,IF(IFERROR(FIND("Grade 75",J209),0),2,"")))),""),Data!J209)</f>
        <v>5-1</v>
      </c>
      <c r="W209" t="s">
        <v>166</v>
      </c>
      <c r="X209">
        <v>6</v>
      </c>
      <c r="Y209" t="str">
        <f t="shared" si="10"/>
        <v>30</v>
      </c>
      <c r="Z209">
        <f t="shared" si="11"/>
        <v>0</v>
      </c>
      <c r="DE209" t="s">
        <v>831</v>
      </c>
      <c r="DF209" t="s">
        <v>66</v>
      </c>
      <c r="DG209" t="str">
        <f>VLOOKUP(W209,'Level Wise PSI'!$F$2:$G$12,2,FALSE)</f>
        <v>Double Lift</v>
      </c>
    </row>
    <row r="210" spans="1:111" x14ac:dyDescent="0.25">
      <c r="A210">
        <v>66</v>
      </c>
      <c r="B210" t="s">
        <v>674</v>
      </c>
      <c r="C210" s="15">
        <v>2429</v>
      </c>
      <c r="D210" s="15">
        <v>10000</v>
      </c>
      <c r="E210" t="str">
        <f>IF(B210=Level!$A$2,SD!$C$14,SD!$C$13)</f>
        <v>0-8</v>
      </c>
      <c r="F210" s="15" t="s">
        <v>763</v>
      </c>
      <c r="G210" t="s">
        <v>715</v>
      </c>
      <c r="H210" t="str">
        <f>RIGHT(VLOOKUP(B210,Level!A:C,3,FALSE),LEN(VLOOKUP(B210,Level!A:C,3,FALSE))-1)</f>
        <v>10-7</v>
      </c>
      <c r="I210" t="s">
        <v>716</v>
      </c>
      <c r="J210" t="str">
        <f>IF(AND(SD!$C$19=SD!$H$2,Grade!$G$1="Per level"),VLOOKUP(B210,Grade!$E$1:$F$200,2,FALSE),IF(AND(SD!$C$19=SD!$H$2,Grade!$G$1="Per Bar Size"),VLOOKUP(W210,Grade!$B$1:$C$12,2,0),SD!$C$19))</f>
        <v>A615 Grade 60</v>
      </c>
      <c r="K210" t="s">
        <v>66</v>
      </c>
      <c r="L210" s="24" t="str">
        <f>IFERROR(IF(A210&lt;&gt;A211,"",IF(DF210="No Lap","",IF(K211="Lap",U210,IF(K211="Coupler",_xlfn._xlws.FILTER(CCoupler,(CCName=SD!$C$8)*(CBSize=IF(A209=A210,W210&amp;W211,W210&amp;W210))*(CCMFM="Male")),"")))),"N/A")</f>
        <v>5-1</v>
      </c>
      <c r="M210" t="str">
        <f t="shared" si="9"/>
        <v/>
      </c>
      <c r="N210" t="s">
        <v>692</v>
      </c>
      <c r="O210" t="s">
        <v>693</v>
      </c>
      <c r="P210" t="s">
        <v>692</v>
      </c>
      <c r="Q210" t="str">
        <f>IF(AND(SD!$C$29=SD!$P$2,Grade!$O$1="Per level"),VLOOKUP(B210,Grade!$M$1:$N$200,2,FALSE),IF(AND(SD!$C$29=SD!$P$2,Grade!$O$1="Per Bar Size"),VLOOKUP(LEFT(N210,FIND("@",N210)-2),Grade!$J$1:$K$12,2,0),SD!$C$29))</f>
        <v>A615 Grade 60</v>
      </c>
      <c r="R210" t="s">
        <v>715</v>
      </c>
      <c r="S210" s="57">
        <v>210</v>
      </c>
      <c r="U210" t="str">
        <f>IF(Data!$J210="",IFERROR(INDEX(IF(SD!$C$11="Create",Lap!$A$3:$BF$14,IF(SD!$C$11="Per Uploaded File",Lap!$A$19:$BF$30,"")),MATCH(W210,Lap!$A$3:$A$14,0),MATCH(VALUE(D210),Lap!$A$3:$BF$3,0)+IF(IFERROR(FIND("Grade 60",J210),0)&gt;0,0,IF(IFERROR(FIND("Grade 80",J210),0),1,IF(IFERROR(FIND("Grade 75",J210),0),2,"")))),""),Data!J210)</f>
        <v>5-1</v>
      </c>
      <c r="W210" t="s">
        <v>166</v>
      </c>
      <c r="X210">
        <v>6</v>
      </c>
      <c r="Y210" t="str">
        <f t="shared" si="10"/>
        <v>30</v>
      </c>
      <c r="Z210">
        <f t="shared" si="11"/>
        <v>0</v>
      </c>
      <c r="DE210" t="s">
        <v>831</v>
      </c>
      <c r="DF210" t="s">
        <v>66</v>
      </c>
      <c r="DG210" t="str">
        <f>VLOOKUP(W210,'Level Wise PSI'!$F$2:$G$12,2,FALSE)</f>
        <v>Double Lift</v>
      </c>
    </row>
    <row r="211" spans="1:111" x14ac:dyDescent="0.25">
      <c r="A211">
        <v>66</v>
      </c>
      <c r="B211" t="s">
        <v>676</v>
      </c>
      <c r="C211" s="15">
        <v>2429</v>
      </c>
      <c r="D211" s="15">
        <v>10000</v>
      </c>
      <c r="E211" t="str">
        <f>IF(B211=Level!$A$2,SD!$C$14,SD!$C$13)</f>
        <v>0-8</v>
      </c>
      <c r="F211" s="15" t="s">
        <v>763</v>
      </c>
      <c r="G211" t="s">
        <v>715</v>
      </c>
      <c r="H211" t="str">
        <f>RIGHT(VLOOKUP(B211,Level!A:C,3,FALSE),LEN(VLOOKUP(B211,Level!A:C,3,FALSE))-1)</f>
        <v>10-7</v>
      </c>
      <c r="I211" t="s">
        <v>716</v>
      </c>
      <c r="J211" t="str">
        <f>IF(AND(SD!$C$19=SD!$H$2,Grade!$G$1="Per level"),VLOOKUP(B211,Grade!$E$1:$F$200,2,FALSE),IF(AND(SD!$C$19=SD!$H$2,Grade!$G$1="Per Bar Size"),VLOOKUP(W211,Grade!$B$1:$C$12,2,0),SD!$C$19))</f>
        <v>A615 Grade 60</v>
      </c>
      <c r="K211" t="s">
        <v>66</v>
      </c>
      <c r="L211" s="24" t="str">
        <f>IFERROR(IF(A211&lt;&gt;A212,"",IF(DF211="No Lap","",IF(K212="Lap",U211,IF(K212="Coupler",_xlfn._xlws.FILTER(CCoupler,(CCName=SD!$C$8)*(CBSize=IF(A210=A211,W211&amp;W212,W211&amp;W211))*(CCMFM="Male")),"")))),"N/A")</f>
        <v>5-1</v>
      </c>
      <c r="M211" t="str">
        <f t="shared" si="9"/>
        <v/>
      </c>
      <c r="N211" t="s">
        <v>692</v>
      </c>
      <c r="O211" t="s">
        <v>693</v>
      </c>
      <c r="P211" t="s">
        <v>692</v>
      </c>
      <c r="Q211" t="str">
        <f>IF(AND(SD!$C$29=SD!$P$2,Grade!$O$1="Per level"),VLOOKUP(B211,Grade!$M$1:$N$200,2,FALSE),IF(AND(SD!$C$29=SD!$P$2,Grade!$O$1="Per Bar Size"),VLOOKUP(LEFT(N211,FIND("@",N211)-2),Grade!$J$1:$K$12,2,0),SD!$C$29))</f>
        <v>A615 Grade 60</v>
      </c>
      <c r="R211" t="s">
        <v>715</v>
      </c>
      <c r="S211" s="57">
        <v>211</v>
      </c>
      <c r="U211" t="str">
        <f>IF(Data!$J211="",IFERROR(INDEX(IF(SD!$C$11="Create",Lap!$A$3:$BF$14,IF(SD!$C$11="Per Uploaded File",Lap!$A$19:$BF$30,"")),MATCH(W211,Lap!$A$3:$A$14,0),MATCH(VALUE(D211),Lap!$A$3:$BF$3,0)+IF(IFERROR(FIND("Grade 60",J211),0)&gt;0,0,IF(IFERROR(FIND("Grade 80",J211),0),1,IF(IFERROR(FIND("Grade 75",J211),0),2,"")))),""),Data!J211)</f>
        <v>5-1</v>
      </c>
      <c r="W211" t="s">
        <v>166</v>
      </c>
      <c r="X211">
        <v>6</v>
      </c>
      <c r="Y211" t="str">
        <f t="shared" si="10"/>
        <v>30</v>
      </c>
      <c r="Z211">
        <f t="shared" si="11"/>
        <v>0</v>
      </c>
      <c r="DE211" t="s">
        <v>831</v>
      </c>
      <c r="DF211" t="s">
        <v>66</v>
      </c>
      <c r="DG211" t="str">
        <f>VLOOKUP(W211,'Level Wise PSI'!$F$2:$G$12,2,FALSE)</f>
        <v>Double Lift</v>
      </c>
    </row>
    <row r="212" spans="1:111" x14ac:dyDescent="0.25">
      <c r="A212">
        <v>66</v>
      </c>
      <c r="B212" t="s">
        <v>678</v>
      </c>
      <c r="C212" s="15">
        <v>2429</v>
      </c>
      <c r="D212" s="15">
        <v>10000</v>
      </c>
      <c r="E212" t="str">
        <f>IF(B212=Level!$A$2,SD!$C$14,SD!$C$13)</f>
        <v>0-8</v>
      </c>
      <c r="F212" s="15" t="s">
        <v>763</v>
      </c>
      <c r="G212" t="s">
        <v>715</v>
      </c>
      <c r="H212" t="str">
        <f>RIGHT(VLOOKUP(B212,Level!A:C,3,FALSE),LEN(VLOOKUP(B212,Level!A:C,3,FALSE))-1)</f>
        <v>10-7</v>
      </c>
      <c r="I212" t="s">
        <v>716</v>
      </c>
      <c r="J212" t="str">
        <f>IF(AND(SD!$C$19=SD!$H$2,Grade!$G$1="Per level"),VLOOKUP(B212,Grade!$E$1:$F$200,2,FALSE),IF(AND(SD!$C$19=SD!$H$2,Grade!$G$1="Per Bar Size"),VLOOKUP(W212,Grade!$B$1:$C$12,2,0),SD!$C$19))</f>
        <v>A615 Grade 60</v>
      </c>
      <c r="K212" t="s">
        <v>66</v>
      </c>
      <c r="L212" s="24" t="str">
        <f>IFERROR(IF(A212&lt;&gt;A213,"",IF(DF212="No Lap","",IF(K213="Lap",U212,IF(K213="Coupler",_xlfn._xlws.FILTER(CCoupler,(CCName=SD!$C$8)*(CBSize=IF(A211=A212,W212&amp;W213,W212&amp;W212))*(CCMFM="Male")),"")))),"N/A")</f>
        <v>5-1</v>
      </c>
      <c r="M212" t="str">
        <f t="shared" si="9"/>
        <v/>
      </c>
      <c r="N212" t="s">
        <v>692</v>
      </c>
      <c r="O212" t="s">
        <v>693</v>
      </c>
      <c r="P212" t="s">
        <v>692</v>
      </c>
      <c r="Q212" t="str">
        <f>IF(AND(SD!$C$29=SD!$P$2,Grade!$O$1="Per level"),VLOOKUP(B212,Grade!$M$1:$N$200,2,FALSE),IF(AND(SD!$C$29=SD!$P$2,Grade!$O$1="Per Bar Size"),VLOOKUP(LEFT(N212,FIND("@",N212)-2),Grade!$J$1:$K$12,2,0),SD!$C$29))</f>
        <v>A615 Grade 60</v>
      </c>
      <c r="R212" t="s">
        <v>715</v>
      </c>
      <c r="S212" s="57">
        <v>212</v>
      </c>
      <c r="U212" t="str">
        <f>IF(Data!$J212="",IFERROR(INDEX(IF(SD!$C$11="Create",Lap!$A$3:$BF$14,IF(SD!$C$11="Per Uploaded File",Lap!$A$19:$BF$30,"")),MATCH(W212,Lap!$A$3:$A$14,0),MATCH(VALUE(D212),Lap!$A$3:$BF$3,0)+IF(IFERROR(FIND("Grade 60",J212),0)&gt;0,0,IF(IFERROR(FIND("Grade 80",J212),0),1,IF(IFERROR(FIND("Grade 75",J212),0),2,"")))),""),Data!J212)</f>
        <v>5-1</v>
      </c>
      <c r="W212" t="s">
        <v>166</v>
      </c>
      <c r="X212">
        <v>6</v>
      </c>
      <c r="Y212" t="str">
        <f t="shared" si="10"/>
        <v>30</v>
      </c>
      <c r="Z212">
        <f t="shared" si="11"/>
        <v>0</v>
      </c>
      <c r="DE212" t="s">
        <v>831</v>
      </c>
      <c r="DF212" t="s">
        <v>66</v>
      </c>
      <c r="DG212" t="str">
        <f>VLOOKUP(W212,'Level Wise PSI'!$F$2:$G$12,2,FALSE)</f>
        <v>Double Lift</v>
      </c>
    </row>
    <row r="213" spans="1:111" x14ac:dyDescent="0.25">
      <c r="A213">
        <v>66</v>
      </c>
      <c r="B213" t="s">
        <v>680</v>
      </c>
      <c r="C213" s="15">
        <v>2429</v>
      </c>
      <c r="D213" s="15">
        <v>10000</v>
      </c>
      <c r="E213" t="str">
        <f>IF(B213=Level!$A$2,SD!$C$14,SD!$C$13)</f>
        <v>0-8</v>
      </c>
      <c r="F213" s="15" t="s">
        <v>763</v>
      </c>
      <c r="G213" t="s">
        <v>715</v>
      </c>
      <c r="H213" t="str">
        <f>RIGHT(VLOOKUP(B213,Level!A:C,3,FALSE),LEN(VLOOKUP(B213,Level!A:C,3,FALSE))-1)</f>
        <v>10-7</v>
      </c>
      <c r="I213" t="s">
        <v>716</v>
      </c>
      <c r="J213" t="str">
        <f>IF(AND(SD!$C$19=SD!$H$2,Grade!$G$1="Per level"),VLOOKUP(B213,Grade!$E$1:$F$200,2,FALSE),IF(AND(SD!$C$19=SD!$H$2,Grade!$G$1="Per Bar Size"),VLOOKUP(W213,Grade!$B$1:$C$12,2,0),SD!$C$19))</f>
        <v>A615 Grade 60</v>
      </c>
      <c r="K213" t="s">
        <v>66</v>
      </c>
      <c r="L213" s="24" t="str">
        <f>IFERROR(IF(A213&lt;&gt;A214,"",IF(DF213="No Lap","",IF(K214="Lap",U213,IF(K214="Coupler",_xlfn._xlws.FILTER(CCoupler,(CCName=SD!$C$8)*(CBSize=IF(A212=A213,W213&amp;W214,W213&amp;W213))*(CCMFM="Male")),"")))),"N/A")</f>
        <v>5-1</v>
      </c>
      <c r="M213" t="str">
        <f t="shared" si="9"/>
        <v/>
      </c>
      <c r="N213" t="s">
        <v>692</v>
      </c>
      <c r="O213" t="s">
        <v>693</v>
      </c>
      <c r="P213" t="s">
        <v>692</v>
      </c>
      <c r="Q213" t="str">
        <f>IF(AND(SD!$C$29=SD!$P$2,Grade!$O$1="Per level"),VLOOKUP(B213,Grade!$M$1:$N$200,2,FALSE),IF(AND(SD!$C$29=SD!$P$2,Grade!$O$1="Per Bar Size"),VLOOKUP(LEFT(N213,FIND("@",N213)-2),Grade!$J$1:$K$12,2,0),SD!$C$29))</f>
        <v>A615 Grade 60</v>
      </c>
      <c r="R213" t="s">
        <v>715</v>
      </c>
      <c r="S213" s="57">
        <v>213</v>
      </c>
      <c r="U213" t="str">
        <f>IF(Data!$J213="",IFERROR(INDEX(IF(SD!$C$11="Create",Lap!$A$3:$BF$14,IF(SD!$C$11="Per Uploaded File",Lap!$A$19:$BF$30,"")),MATCH(W213,Lap!$A$3:$A$14,0),MATCH(VALUE(D213),Lap!$A$3:$BF$3,0)+IF(IFERROR(FIND("Grade 60",J213),0)&gt;0,0,IF(IFERROR(FIND("Grade 80",J213),0),1,IF(IFERROR(FIND("Grade 75",J213),0),2,"")))),""),Data!J213)</f>
        <v>5-1</v>
      </c>
      <c r="W213" t="s">
        <v>166</v>
      </c>
      <c r="X213">
        <v>6</v>
      </c>
      <c r="Y213" t="str">
        <f t="shared" si="10"/>
        <v>30</v>
      </c>
      <c r="Z213">
        <f t="shared" si="11"/>
        <v>0</v>
      </c>
      <c r="DE213" t="s">
        <v>831</v>
      </c>
      <c r="DF213" t="s">
        <v>66</v>
      </c>
      <c r="DG213" t="str">
        <f>VLOOKUP(W213,'Level Wise PSI'!$F$2:$G$12,2,FALSE)</f>
        <v>Double Lift</v>
      </c>
    </row>
    <row r="214" spans="1:111" x14ac:dyDescent="0.25">
      <c r="A214">
        <v>66</v>
      </c>
      <c r="B214" t="s">
        <v>682</v>
      </c>
      <c r="C214" s="15">
        <v>2429</v>
      </c>
      <c r="D214" s="15">
        <v>10000</v>
      </c>
      <c r="E214" t="str">
        <f>IF(B214=Level!$A$2,SD!$C$14,SD!$C$13)</f>
        <v>0-8</v>
      </c>
      <c r="F214" s="15" t="s">
        <v>763</v>
      </c>
      <c r="G214" t="s">
        <v>715</v>
      </c>
      <c r="H214" t="str">
        <f>RIGHT(VLOOKUP(B214,Level!A:C,3,FALSE),LEN(VLOOKUP(B214,Level!A:C,3,FALSE))-1)</f>
        <v>10-7</v>
      </c>
      <c r="I214" t="s">
        <v>717</v>
      </c>
      <c r="J214" t="str">
        <f>IF(AND(SD!$C$19=SD!$H$2,Grade!$G$1="Per level"),VLOOKUP(B214,Grade!$E$1:$F$200,2,FALSE),IF(AND(SD!$C$19=SD!$H$2,Grade!$G$1="Per Bar Size"),VLOOKUP(W214,Grade!$B$1:$C$12,2,0),SD!$C$19))</f>
        <v>A615 Grade 60</v>
      </c>
      <c r="K214" t="s">
        <v>66</v>
      </c>
      <c r="L214" s="24" t="str">
        <f>IFERROR(IF(A214&lt;&gt;A215,"",IF(DF214="No Lap","",IF(K215="Lap",U214,IF(K215="Coupler",_xlfn._xlws.FILTER(CCoupler,(CCName=SD!$C$8)*(CBSize=IF(A213=A214,W214&amp;W215,W214&amp;W214))*(CCMFM="Male")),"")))),"N/A")</f>
        <v/>
      </c>
      <c r="M214" t="str">
        <f t="shared" si="9"/>
        <v/>
      </c>
      <c r="N214" t="s">
        <v>692</v>
      </c>
      <c r="O214" t="s">
        <v>693</v>
      </c>
      <c r="P214" t="s">
        <v>692</v>
      </c>
      <c r="Q214" t="str">
        <f>IF(AND(SD!$C$29=SD!$P$2,Grade!$O$1="Per level"),VLOOKUP(B214,Grade!$M$1:$N$200,2,FALSE),IF(AND(SD!$C$29=SD!$P$2,Grade!$O$1="Per Bar Size"),VLOOKUP(LEFT(N214,FIND("@",N214)-2),Grade!$J$1:$K$12,2,0),SD!$C$29))</f>
        <v>A615 Grade 60</v>
      </c>
      <c r="R214" t="s">
        <v>715</v>
      </c>
      <c r="S214" s="57">
        <v>214</v>
      </c>
      <c r="U214" t="str">
        <f>IF(Data!$J214="",IFERROR(INDEX(IF(SD!$C$11="Create",Lap!$A$3:$BF$14,IF(SD!$C$11="Per Uploaded File",Lap!$A$19:$BF$30,"")),MATCH(W214,Lap!$A$3:$A$14,0),MATCH(VALUE(D214),Lap!$A$3:$BF$3,0)+IF(IFERROR(FIND("Grade 60",J214),0)&gt;0,0,IF(IFERROR(FIND("Grade 80",J214),0),1,IF(IFERROR(FIND("Grade 75",J214),0),2,"")))),""),Data!J214)</f>
        <v>4-0</v>
      </c>
      <c r="W214" t="s">
        <v>142</v>
      </c>
      <c r="X214">
        <v>10</v>
      </c>
      <c r="Y214" t="str">
        <f t="shared" si="10"/>
        <v>30</v>
      </c>
      <c r="Z214">
        <f t="shared" si="11"/>
        <v>0</v>
      </c>
      <c r="DE214" t="s">
        <v>831</v>
      </c>
      <c r="DF214" t="s">
        <v>66</v>
      </c>
      <c r="DG214" t="str">
        <f>VLOOKUP(W214,'Level Wise PSI'!$F$2:$G$12,2,FALSE)</f>
        <v>Double Lift</v>
      </c>
    </row>
    <row r="215" spans="1:111" x14ac:dyDescent="0.25">
      <c r="A215">
        <v>67</v>
      </c>
      <c r="B215" t="s">
        <v>661</v>
      </c>
      <c r="C215" s="15">
        <v>2429</v>
      </c>
      <c r="D215" s="15">
        <v>10000</v>
      </c>
      <c r="E215" s="15" t="s">
        <v>748</v>
      </c>
      <c r="F215" s="15" t="s">
        <v>763</v>
      </c>
      <c r="G215" t="s">
        <v>713</v>
      </c>
      <c r="H215" t="str">
        <f>RIGHT(VLOOKUP(B215,Level!A:C,3,FALSE),LEN(VLOOKUP(B215,Level!A:C,3,FALSE))-1)</f>
        <v>10-7</v>
      </c>
      <c r="I215" t="s">
        <v>714</v>
      </c>
      <c r="J215" t="str">
        <f>IF(AND(SD!$C$19=SD!$H$2,Grade!$G$1="Per level"),VLOOKUP(B215,Grade!$E$1:$F$200,2,FALSE),IF(AND(SD!$C$19=SD!$H$2,Grade!$G$1="Per Bar Size"),VLOOKUP(W215,Grade!$B$1:$C$12,2,0),SD!$C$19))</f>
        <v>A615 Grade 60</v>
      </c>
      <c r="K215" t="s">
        <v>66</v>
      </c>
      <c r="L215" s="24" t="str">
        <f>IFERROR(IF(A215&lt;&gt;A216,"",IF(DF215="No Lap","",IF(K216="Lap",U215,IF(K216="Coupler",_xlfn._xlws.FILTER(CCoupler,(CCName=SD!$C$8)*(CBSize=IF(A214=A215,W215&amp;W216,W215&amp;W215))*(CCMFM="Male")),"")))),"N/A")</f>
        <v>5-1</v>
      </c>
      <c r="M215" t="str">
        <f t="shared" si="9"/>
        <v/>
      </c>
      <c r="N215" t="s">
        <v>692</v>
      </c>
      <c r="O215" t="s">
        <v>693</v>
      </c>
      <c r="P215" t="s">
        <v>692</v>
      </c>
      <c r="Q215" t="str">
        <f>IF(AND(SD!$C$29=SD!$P$2,Grade!$O$1="Per level"),VLOOKUP(B215,Grade!$M$1:$N$200,2,FALSE),IF(AND(SD!$C$29=SD!$P$2,Grade!$O$1="Per Bar Size"),VLOOKUP(LEFT(N215,FIND("@",N215)-2),Grade!$J$1:$K$12,2,0),SD!$C$29))</f>
        <v>A615 Grade 60</v>
      </c>
      <c r="R215" t="s">
        <v>713</v>
      </c>
      <c r="S215" s="57">
        <v>215</v>
      </c>
      <c r="U215" t="str">
        <f>IF(Data!$J215="",IFERROR(INDEX(IF(SD!$C$11="Create",Lap!$A$3:$BF$14,IF(SD!$C$11="Per Uploaded File",Lap!$A$19:$BF$30,"")),MATCH(W215,Lap!$A$3:$A$14,0),MATCH(VALUE(D215),Lap!$A$3:$BF$3,0)+IF(IFERROR(FIND("Grade 60",J215),0)&gt;0,0,IF(IFERROR(FIND("Grade 80",J215),0),1,IF(IFERROR(FIND("Grade 75",J215),0),2,"")))),""),Data!J215)</f>
        <v>5-1</v>
      </c>
      <c r="W215" t="s">
        <v>166</v>
      </c>
      <c r="X215">
        <v>10</v>
      </c>
      <c r="Y215" t="str">
        <f t="shared" si="10"/>
        <v>36</v>
      </c>
      <c r="Z215">
        <f t="shared" si="11"/>
        <v>0</v>
      </c>
      <c r="DE215" t="s">
        <v>831</v>
      </c>
      <c r="DF215" t="s">
        <v>66</v>
      </c>
      <c r="DG215" t="str">
        <f>VLOOKUP(W215,'Level Wise PSI'!$F$2:$G$12,2,FALSE)</f>
        <v>Double Lift</v>
      </c>
    </row>
    <row r="216" spans="1:111" x14ac:dyDescent="0.25">
      <c r="A216">
        <v>67</v>
      </c>
      <c r="B216" t="s">
        <v>664</v>
      </c>
      <c r="C216" s="15">
        <v>2429</v>
      </c>
      <c r="D216" s="15">
        <v>10000</v>
      </c>
      <c r="E216" t="str">
        <f>IF(B216=Level!$A$2,SD!$C$14,SD!$C$13)</f>
        <v>0-8</v>
      </c>
      <c r="F216" s="15" t="s">
        <v>763</v>
      </c>
      <c r="G216" t="s">
        <v>715</v>
      </c>
      <c r="H216" t="str">
        <f>RIGHT(VLOOKUP(B216,Level!A:C,3,FALSE),LEN(VLOOKUP(B216,Level!A:C,3,FALSE))-1)</f>
        <v>10-7</v>
      </c>
      <c r="I216" t="s">
        <v>716</v>
      </c>
      <c r="J216" t="str">
        <f>IF(AND(SD!$C$19=SD!$H$2,Grade!$G$1="Per level"),VLOOKUP(B216,Grade!$E$1:$F$200,2,FALSE),IF(AND(SD!$C$19=SD!$H$2,Grade!$G$1="Per Bar Size"),VLOOKUP(W216,Grade!$B$1:$C$12,2,0),SD!$C$19))</f>
        <v>A615 Grade 60</v>
      </c>
      <c r="K216" t="s">
        <v>66</v>
      </c>
      <c r="L216" s="24" t="str">
        <f>IFERROR(IF(A216&lt;&gt;A217,"",IF(DF216="No Lap","",IF(K217="Lap",U216,IF(K217="Coupler",_xlfn._xlws.FILTER(CCoupler,(CCName=SD!$C$8)*(CBSize=IF(A215=A216,W216&amp;W217,W216&amp;W216))*(CCMFM="Male")),"")))),"N/A")</f>
        <v>5-1</v>
      </c>
      <c r="M216" t="str">
        <f t="shared" si="9"/>
        <v/>
      </c>
      <c r="N216" t="s">
        <v>692</v>
      </c>
      <c r="O216" t="s">
        <v>693</v>
      </c>
      <c r="P216" t="s">
        <v>692</v>
      </c>
      <c r="Q216" t="str">
        <f>IF(AND(SD!$C$29=SD!$P$2,Grade!$O$1="Per level"),VLOOKUP(B216,Grade!$M$1:$N$200,2,FALSE),IF(AND(SD!$C$29=SD!$P$2,Grade!$O$1="Per Bar Size"),VLOOKUP(LEFT(N216,FIND("@",N216)-2),Grade!$J$1:$K$12,2,0),SD!$C$29))</f>
        <v>A615 Grade 60</v>
      </c>
      <c r="R216" t="s">
        <v>715</v>
      </c>
      <c r="S216" s="57">
        <v>216</v>
      </c>
      <c r="U216" t="str">
        <f>IF(Data!$J216="",IFERROR(INDEX(IF(SD!$C$11="Create",Lap!$A$3:$BF$14,IF(SD!$C$11="Per Uploaded File",Lap!$A$19:$BF$30,"")),MATCH(W216,Lap!$A$3:$A$14,0),MATCH(VALUE(D216),Lap!$A$3:$BF$3,0)+IF(IFERROR(FIND("Grade 60",J216),0)&gt;0,0,IF(IFERROR(FIND("Grade 80",J216),0),1,IF(IFERROR(FIND("Grade 75",J216),0),2,"")))),""),Data!J216)</f>
        <v>5-1</v>
      </c>
      <c r="W216" t="s">
        <v>166</v>
      </c>
      <c r="X216">
        <v>6</v>
      </c>
      <c r="Y216" t="str">
        <f t="shared" si="10"/>
        <v>30</v>
      </c>
      <c r="Z216">
        <f t="shared" si="11"/>
        <v>0</v>
      </c>
      <c r="DE216" t="s">
        <v>831</v>
      </c>
      <c r="DF216" t="s">
        <v>66</v>
      </c>
      <c r="DG216" t="str">
        <f>VLOOKUP(W216,'Level Wise PSI'!$F$2:$G$12,2,FALSE)</f>
        <v>Double Lift</v>
      </c>
    </row>
    <row r="217" spans="1:111" x14ac:dyDescent="0.25">
      <c r="A217">
        <v>67</v>
      </c>
      <c r="B217" t="s">
        <v>666</v>
      </c>
      <c r="C217" s="15">
        <v>2429</v>
      </c>
      <c r="D217" s="15">
        <v>10000</v>
      </c>
      <c r="E217" t="str">
        <f>IF(B217=Level!$A$2,SD!$C$14,SD!$C$13)</f>
        <v>0-8</v>
      </c>
      <c r="F217" s="15" t="s">
        <v>763</v>
      </c>
      <c r="G217" t="s">
        <v>715</v>
      </c>
      <c r="H217" t="str">
        <f>RIGHT(VLOOKUP(B217,Level!A:C,3,FALSE),LEN(VLOOKUP(B217,Level!A:C,3,FALSE))-1)</f>
        <v>10-7</v>
      </c>
      <c r="I217" t="s">
        <v>716</v>
      </c>
      <c r="J217" t="str">
        <f>IF(AND(SD!$C$19=SD!$H$2,Grade!$G$1="Per level"),VLOOKUP(B217,Grade!$E$1:$F$200,2,FALSE),IF(AND(SD!$C$19=SD!$H$2,Grade!$G$1="Per Bar Size"),VLOOKUP(W217,Grade!$B$1:$C$12,2,0),SD!$C$19))</f>
        <v>A615 Grade 60</v>
      </c>
      <c r="K217" t="s">
        <v>66</v>
      </c>
      <c r="L217" s="24" t="str">
        <f>IFERROR(IF(A217&lt;&gt;A218,"",IF(DF217="No Lap","",IF(K218="Lap",U217,IF(K218="Coupler",_xlfn._xlws.FILTER(CCoupler,(CCName=SD!$C$8)*(CBSize=IF(A216=A217,W217&amp;W218,W217&amp;W217))*(CCMFM="Male")),"")))),"N/A")</f>
        <v>5-1</v>
      </c>
      <c r="M217" t="str">
        <f t="shared" si="9"/>
        <v/>
      </c>
      <c r="N217" t="s">
        <v>692</v>
      </c>
      <c r="O217" t="s">
        <v>693</v>
      </c>
      <c r="P217" t="s">
        <v>692</v>
      </c>
      <c r="Q217" t="str">
        <f>IF(AND(SD!$C$29=SD!$P$2,Grade!$O$1="Per level"),VLOOKUP(B217,Grade!$M$1:$N$200,2,FALSE),IF(AND(SD!$C$29=SD!$P$2,Grade!$O$1="Per Bar Size"),VLOOKUP(LEFT(N217,FIND("@",N217)-2),Grade!$J$1:$K$12,2,0),SD!$C$29))</f>
        <v>A615 Grade 60</v>
      </c>
      <c r="R217" t="s">
        <v>715</v>
      </c>
      <c r="S217" s="57">
        <v>217</v>
      </c>
      <c r="U217" t="str">
        <f>IF(Data!$J217="",IFERROR(INDEX(IF(SD!$C$11="Create",Lap!$A$3:$BF$14,IF(SD!$C$11="Per Uploaded File",Lap!$A$19:$BF$30,"")),MATCH(W217,Lap!$A$3:$A$14,0),MATCH(VALUE(D217),Lap!$A$3:$BF$3,0)+IF(IFERROR(FIND("Grade 60",J217),0)&gt;0,0,IF(IFERROR(FIND("Grade 80",J217),0),1,IF(IFERROR(FIND("Grade 75",J217),0),2,"")))),""),Data!J217)</f>
        <v>5-1</v>
      </c>
      <c r="W217" t="s">
        <v>166</v>
      </c>
      <c r="X217">
        <v>6</v>
      </c>
      <c r="Y217" t="str">
        <f t="shared" si="10"/>
        <v>30</v>
      </c>
      <c r="Z217">
        <f t="shared" si="11"/>
        <v>0</v>
      </c>
      <c r="DE217" t="s">
        <v>831</v>
      </c>
      <c r="DF217" t="s">
        <v>66</v>
      </c>
      <c r="DG217" t="str">
        <f>VLOOKUP(W217,'Level Wise PSI'!$F$2:$G$12,2,FALSE)</f>
        <v>Double Lift</v>
      </c>
    </row>
    <row r="218" spans="1:111" x14ac:dyDescent="0.25">
      <c r="A218">
        <v>67</v>
      </c>
      <c r="B218" t="s">
        <v>668</v>
      </c>
      <c r="C218" s="15">
        <v>2429</v>
      </c>
      <c r="D218" s="15">
        <v>10000</v>
      </c>
      <c r="E218" t="str">
        <f>IF(B218=Level!$A$2,SD!$C$14,SD!$C$13)</f>
        <v>0-8</v>
      </c>
      <c r="F218" s="15" t="s">
        <v>763</v>
      </c>
      <c r="G218" t="s">
        <v>715</v>
      </c>
      <c r="H218" t="str">
        <f>RIGHT(VLOOKUP(B218,Level!A:C,3,FALSE),LEN(VLOOKUP(B218,Level!A:C,3,FALSE))-1)</f>
        <v>10-7</v>
      </c>
      <c r="I218" t="s">
        <v>716</v>
      </c>
      <c r="J218" t="str">
        <f>IF(AND(SD!$C$19=SD!$H$2,Grade!$G$1="Per level"),VLOOKUP(B218,Grade!$E$1:$F$200,2,FALSE),IF(AND(SD!$C$19=SD!$H$2,Grade!$G$1="Per Bar Size"),VLOOKUP(W218,Grade!$B$1:$C$12,2,0),SD!$C$19))</f>
        <v>A615 Grade 60</v>
      </c>
      <c r="K218" t="s">
        <v>66</v>
      </c>
      <c r="L218" s="24" t="str">
        <f>IFERROR(IF(A218&lt;&gt;A219,"",IF(DF218="No Lap","",IF(K219="Lap",U218,IF(K219="Coupler",_xlfn._xlws.FILTER(CCoupler,(CCName=SD!$C$8)*(CBSize=IF(A217=A218,W218&amp;W219,W218&amp;W218))*(CCMFM="Male")),"")))),"N/A")</f>
        <v>5-1</v>
      </c>
      <c r="M218" t="str">
        <f t="shared" si="9"/>
        <v/>
      </c>
      <c r="N218" t="s">
        <v>692</v>
      </c>
      <c r="O218" t="s">
        <v>693</v>
      </c>
      <c r="P218" t="s">
        <v>692</v>
      </c>
      <c r="Q218" t="str">
        <f>IF(AND(SD!$C$29=SD!$P$2,Grade!$O$1="Per level"),VLOOKUP(B218,Grade!$M$1:$N$200,2,FALSE),IF(AND(SD!$C$29=SD!$P$2,Grade!$O$1="Per Bar Size"),VLOOKUP(LEFT(N218,FIND("@",N218)-2),Grade!$J$1:$K$12,2,0),SD!$C$29))</f>
        <v>A615 Grade 60</v>
      </c>
      <c r="R218" t="s">
        <v>715</v>
      </c>
      <c r="S218" s="57">
        <v>218</v>
      </c>
      <c r="U218" t="str">
        <f>IF(Data!$J218="",IFERROR(INDEX(IF(SD!$C$11="Create",Lap!$A$3:$BF$14,IF(SD!$C$11="Per Uploaded File",Lap!$A$19:$BF$30,"")),MATCH(W218,Lap!$A$3:$A$14,0),MATCH(VALUE(D218),Lap!$A$3:$BF$3,0)+IF(IFERROR(FIND("Grade 60",J218),0)&gt;0,0,IF(IFERROR(FIND("Grade 80",J218),0),1,IF(IFERROR(FIND("Grade 75",J218),0),2,"")))),""),Data!J218)</f>
        <v>5-1</v>
      </c>
      <c r="W218" t="s">
        <v>166</v>
      </c>
      <c r="X218">
        <v>6</v>
      </c>
      <c r="Y218" t="str">
        <f t="shared" si="10"/>
        <v>30</v>
      </c>
      <c r="Z218">
        <f t="shared" si="11"/>
        <v>0</v>
      </c>
      <c r="DE218" t="s">
        <v>831</v>
      </c>
      <c r="DF218" t="s">
        <v>66</v>
      </c>
      <c r="DG218" t="str">
        <f>VLOOKUP(W218,'Level Wise PSI'!$F$2:$G$12,2,FALSE)</f>
        <v>Double Lift</v>
      </c>
    </row>
    <row r="219" spans="1:111" x14ac:dyDescent="0.25">
      <c r="A219">
        <v>67</v>
      </c>
      <c r="B219" t="s">
        <v>670</v>
      </c>
      <c r="C219" s="15">
        <v>2429</v>
      </c>
      <c r="D219" s="15">
        <v>10000</v>
      </c>
      <c r="E219" t="str">
        <f>IF(B219=Level!$A$2,SD!$C$14,SD!$C$13)</f>
        <v>0-8</v>
      </c>
      <c r="F219" s="15" t="s">
        <v>763</v>
      </c>
      <c r="G219" t="s">
        <v>715</v>
      </c>
      <c r="H219" t="str">
        <f>RIGHT(VLOOKUP(B219,Level!A:C,3,FALSE),LEN(VLOOKUP(B219,Level!A:C,3,FALSE))-1)</f>
        <v>10-7</v>
      </c>
      <c r="I219" t="s">
        <v>716</v>
      </c>
      <c r="J219" t="str">
        <f>IF(AND(SD!$C$19=SD!$H$2,Grade!$G$1="Per level"),VLOOKUP(B219,Grade!$E$1:$F$200,2,FALSE),IF(AND(SD!$C$19=SD!$H$2,Grade!$G$1="Per Bar Size"),VLOOKUP(W219,Grade!$B$1:$C$12,2,0),SD!$C$19))</f>
        <v>A615 Grade 60</v>
      </c>
      <c r="K219" t="s">
        <v>66</v>
      </c>
      <c r="L219" s="24" t="str">
        <f>IFERROR(IF(A219&lt;&gt;A220,"",IF(DF219="No Lap","",IF(K220="Lap",U219,IF(K220="Coupler",_xlfn._xlws.FILTER(CCoupler,(CCName=SD!$C$8)*(CBSize=IF(A218=A219,W219&amp;W220,W219&amp;W219))*(CCMFM="Male")),"")))),"N/A")</f>
        <v>5-1</v>
      </c>
      <c r="M219" t="str">
        <f t="shared" si="9"/>
        <v/>
      </c>
      <c r="N219" t="s">
        <v>692</v>
      </c>
      <c r="O219" t="s">
        <v>693</v>
      </c>
      <c r="P219" t="s">
        <v>692</v>
      </c>
      <c r="Q219" t="str">
        <f>IF(AND(SD!$C$29=SD!$P$2,Grade!$O$1="Per level"),VLOOKUP(B219,Grade!$M$1:$N$200,2,FALSE),IF(AND(SD!$C$29=SD!$P$2,Grade!$O$1="Per Bar Size"),VLOOKUP(LEFT(N219,FIND("@",N219)-2),Grade!$J$1:$K$12,2,0),SD!$C$29))</f>
        <v>A615 Grade 60</v>
      </c>
      <c r="R219" t="s">
        <v>715</v>
      </c>
      <c r="S219" s="57">
        <v>219</v>
      </c>
      <c r="U219" t="str">
        <f>IF(Data!$J219="",IFERROR(INDEX(IF(SD!$C$11="Create",Lap!$A$3:$BF$14,IF(SD!$C$11="Per Uploaded File",Lap!$A$19:$BF$30,"")),MATCH(W219,Lap!$A$3:$A$14,0),MATCH(VALUE(D219),Lap!$A$3:$BF$3,0)+IF(IFERROR(FIND("Grade 60",J219),0)&gt;0,0,IF(IFERROR(FIND("Grade 80",J219),0),1,IF(IFERROR(FIND("Grade 75",J219),0),2,"")))),""),Data!J219)</f>
        <v>5-1</v>
      </c>
      <c r="W219" t="s">
        <v>166</v>
      </c>
      <c r="X219">
        <v>6</v>
      </c>
      <c r="Y219" t="str">
        <f t="shared" si="10"/>
        <v>30</v>
      </c>
      <c r="Z219">
        <f t="shared" si="11"/>
        <v>0</v>
      </c>
      <c r="DE219" t="s">
        <v>831</v>
      </c>
      <c r="DF219" t="s">
        <v>66</v>
      </c>
      <c r="DG219" t="str">
        <f>VLOOKUP(W219,'Level Wise PSI'!$F$2:$G$12,2,FALSE)</f>
        <v>Double Lift</v>
      </c>
    </row>
    <row r="220" spans="1:111" x14ac:dyDescent="0.25">
      <c r="A220">
        <v>67</v>
      </c>
      <c r="B220" t="s">
        <v>672</v>
      </c>
      <c r="C220" s="15">
        <v>2429</v>
      </c>
      <c r="D220" s="15">
        <v>10000</v>
      </c>
      <c r="E220" t="str">
        <f>IF(B220=Level!$A$2,SD!$C$14,SD!$C$13)</f>
        <v>0-8</v>
      </c>
      <c r="F220" s="15" t="s">
        <v>763</v>
      </c>
      <c r="G220" t="s">
        <v>715</v>
      </c>
      <c r="H220" t="str">
        <f>RIGHT(VLOOKUP(B220,Level!A:C,3,FALSE),LEN(VLOOKUP(B220,Level!A:C,3,FALSE))-1)</f>
        <v>10-7</v>
      </c>
      <c r="I220" t="s">
        <v>716</v>
      </c>
      <c r="J220" t="str">
        <f>IF(AND(SD!$C$19=SD!$H$2,Grade!$G$1="Per level"),VLOOKUP(B220,Grade!$E$1:$F$200,2,FALSE),IF(AND(SD!$C$19=SD!$H$2,Grade!$G$1="Per Bar Size"),VLOOKUP(W220,Grade!$B$1:$C$12,2,0),SD!$C$19))</f>
        <v>A615 Grade 60</v>
      </c>
      <c r="K220" t="s">
        <v>66</v>
      </c>
      <c r="L220" s="24" t="str">
        <f>IFERROR(IF(A220&lt;&gt;A221,"",IF(DF220="No Lap","",IF(K221="Lap",U220,IF(K221="Coupler",_xlfn._xlws.FILTER(CCoupler,(CCName=SD!$C$8)*(CBSize=IF(A219=A220,W220&amp;W221,W220&amp;W220))*(CCMFM="Male")),"")))),"N/A")</f>
        <v>5-1</v>
      </c>
      <c r="M220" t="str">
        <f t="shared" si="9"/>
        <v/>
      </c>
      <c r="N220" t="s">
        <v>692</v>
      </c>
      <c r="O220" t="s">
        <v>693</v>
      </c>
      <c r="P220" t="s">
        <v>692</v>
      </c>
      <c r="Q220" t="str">
        <f>IF(AND(SD!$C$29=SD!$P$2,Grade!$O$1="Per level"),VLOOKUP(B220,Grade!$M$1:$N$200,2,FALSE),IF(AND(SD!$C$29=SD!$P$2,Grade!$O$1="Per Bar Size"),VLOOKUP(LEFT(N220,FIND("@",N220)-2),Grade!$J$1:$K$12,2,0),SD!$C$29))</f>
        <v>A615 Grade 60</v>
      </c>
      <c r="R220" t="s">
        <v>715</v>
      </c>
      <c r="S220" s="57">
        <v>220</v>
      </c>
      <c r="U220" t="str">
        <f>IF(Data!$J220="",IFERROR(INDEX(IF(SD!$C$11="Create",Lap!$A$3:$BF$14,IF(SD!$C$11="Per Uploaded File",Lap!$A$19:$BF$30,"")),MATCH(W220,Lap!$A$3:$A$14,0),MATCH(VALUE(D220),Lap!$A$3:$BF$3,0)+IF(IFERROR(FIND("Grade 60",J220),0)&gt;0,0,IF(IFERROR(FIND("Grade 80",J220),0),1,IF(IFERROR(FIND("Grade 75",J220),0),2,"")))),""),Data!J220)</f>
        <v>5-1</v>
      </c>
      <c r="W220" t="s">
        <v>166</v>
      </c>
      <c r="X220">
        <v>6</v>
      </c>
      <c r="Y220" t="str">
        <f t="shared" si="10"/>
        <v>30</v>
      </c>
      <c r="Z220">
        <f t="shared" si="11"/>
        <v>0</v>
      </c>
      <c r="DE220" t="s">
        <v>831</v>
      </c>
      <c r="DF220" t="s">
        <v>66</v>
      </c>
      <c r="DG220" t="str">
        <f>VLOOKUP(W220,'Level Wise PSI'!$F$2:$G$12,2,FALSE)</f>
        <v>Double Lift</v>
      </c>
    </row>
    <row r="221" spans="1:111" x14ac:dyDescent="0.25">
      <c r="A221">
        <v>67</v>
      </c>
      <c r="B221" t="s">
        <v>674</v>
      </c>
      <c r="C221" s="15">
        <v>2429</v>
      </c>
      <c r="D221" s="15">
        <v>10000</v>
      </c>
      <c r="E221" t="str">
        <f>IF(B221=Level!$A$2,SD!$C$14,SD!$C$13)</f>
        <v>0-8</v>
      </c>
      <c r="F221" s="15" t="s">
        <v>763</v>
      </c>
      <c r="G221" t="s">
        <v>715</v>
      </c>
      <c r="H221" t="str">
        <f>RIGHT(VLOOKUP(B221,Level!A:C,3,FALSE),LEN(VLOOKUP(B221,Level!A:C,3,FALSE))-1)</f>
        <v>10-7</v>
      </c>
      <c r="I221" t="s">
        <v>716</v>
      </c>
      <c r="J221" t="str">
        <f>IF(AND(SD!$C$19=SD!$H$2,Grade!$G$1="Per level"),VLOOKUP(B221,Grade!$E$1:$F$200,2,FALSE),IF(AND(SD!$C$19=SD!$H$2,Grade!$G$1="Per Bar Size"),VLOOKUP(W221,Grade!$B$1:$C$12,2,0),SD!$C$19))</f>
        <v>A615 Grade 60</v>
      </c>
      <c r="K221" t="s">
        <v>66</v>
      </c>
      <c r="L221" s="24" t="str">
        <f>IFERROR(IF(A221&lt;&gt;A222,"",IF(DF221="No Lap","",IF(K222="Lap",U221,IF(K222="Coupler",_xlfn._xlws.FILTER(CCoupler,(CCName=SD!$C$8)*(CBSize=IF(A220=A221,W221&amp;W222,W221&amp;W221))*(CCMFM="Male")),"")))),"N/A")</f>
        <v>5-1</v>
      </c>
      <c r="M221" t="str">
        <f t="shared" si="9"/>
        <v/>
      </c>
      <c r="N221" t="s">
        <v>692</v>
      </c>
      <c r="O221" t="s">
        <v>693</v>
      </c>
      <c r="P221" t="s">
        <v>692</v>
      </c>
      <c r="Q221" t="str">
        <f>IF(AND(SD!$C$29=SD!$P$2,Grade!$O$1="Per level"),VLOOKUP(B221,Grade!$M$1:$N$200,2,FALSE),IF(AND(SD!$C$29=SD!$P$2,Grade!$O$1="Per Bar Size"),VLOOKUP(LEFT(N221,FIND("@",N221)-2),Grade!$J$1:$K$12,2,0),SD!$C$29))</f>
        <v>A615 Grade 60</v>
      </c>
      <c r="R221" t="s">
        <v>715</v>
      </c>
      <c r="S221" s="57">
        <v>221</v>
      </c>
      <c r="U221" t="str">
        <f>IF(Data!$J221="",IFERROR(INDEX(IF(SD!$C$11="Create",Lap!$A$3:$BF$14,IF(SD!$C$11="Per Uploaded File",Lap!$A$19:$BF$30,"")),MATCH(W221,Lap!$A$3:$A$14,0),MATCH(VALUE(D221),Lap!$A$3:$BF$3,0)+IF(IFERROR(FIND("Grade 60",J221),0)&gt;0,0,IF(IFERROR(FIND("Grade 80",J221),0),1,IF(IFERROR(FIND("Grade 75",J221),0),2,"")))),""),Data!J221)</f>
        <v>5-1</v>
      </c>
      <c r="W221" t="s">
        <v>166</v>
      </c>
      <c r="X221">
        <v>6</v>
      </c>
      <c r="Y221" t="str">
        <f t="shared" si="10"/>
        <v>30</v>
      </c>
      <c r="Z221">
        <f t="shared" si="11"/>
        <v>0</v>
      </c>
      <c r="DE221" t="s">
        <v>831</v>
      </c>
      <c r="DF221" t="s">
        <v>66</v>
      </c>
      <c r="DG221" t="str">
        <f>VLOOKUP(W221,'Level Wise PSI'!$F$2:$G$12,2,FALSE)</f>
        <v>Double Lift</v>
      </c>
    </row>
    <row r="222" spans="1:111" x14ac:dyDescent="0.25">
      <c r="A222">
        <v>67</v>
      </c>
      <c r="B222" t="s">
        <v>676</v>
      </c>
      <c r="C222" s="15">
        <v>2429</v>
      </c>
      <c r="D222" s="15">
        <v>10000</v>
      </c>
      <c r="E222" t="str">
        <f>IF(B222=Level!$A$2,SD!$C$14,SD!$C$13)</f>
        <v>0-8</v>
      </c>
      <c r="F222" s="15" t="s">
        <v>763</v>
      </c>
      <c r="G222" t="s">
        <v>715</v>
      </c>
      <c r="H222" t="str">
        <f>RIGHT(VLOOKUP(B222,Level!A:C,3,FALSE),LEN(VLOOKUP(B222,Level!A:C,3,FALSE))-1)</f>
        <v>10-7</v>
      </c>
      <c r="I222" t="s">
        <v>716</v>
      </c>
      <c r="J222" t="str">
        <f>IF(AND(SD!$C$19=SD!$H$2,Grade!$G$1="Per level"),VLOOKUP(B222,Grade!$E$1:$F$200,2,FALSE),IF(AND(SD!$C$19=SD!$H$2,Grade!$G$1="Per Bar Size"),VLOOKUP(W222,Grade!$B$1:$C$12,2,0),SD!$C$19))</f>
        <v>A615 Grade 60</v>
      </c>
      <c r="K222" t="s">
        <v>66</v>
      </c>
      <c r="L222" s="24" t="str">
        <f>IFERROR(IF(A222&lt;&gt;A223,"",IF(DF222="No Lap","",IF(K223="Lap",U222,IF(K223="Coupler",_xlfn._xlws.FILTER(CCoupler,(CCName=SD!$C$8)*(CBSize=IF(A221=A222,W222&amp;W223,W222&amp;W222))*(CCMFM="Male")),"")))),"N/A")</f>
        <v>5-1</v>
      </c>
      <c r="M222" t="str">
        <f t="shared" si="9"/>
        <v/>
      </c>
      <c r="N222" t="s">
        <v>692</v>
      </c>
      <c r="O222" t="s">
        <v>693</v>
      </c>
      <c r="P222" t="s">
        <v>692</v>
      </c>
      <c r="Q222" t="str">
        <f>IF(AND(SD!$C$29=SD!$P$2,Grade!$O$1="Per level"),VLOOKUP(B222,Grade!$M$1:$N$200,2,FALSE),IF(AND(SD!$C$29=SD!$P$2,Grade!$O$1="Per Bar Size"),VLOOKUP(LEFT(N222,FIND("@",N222)-2),Grade!$J$1:$K$12,2,0),SD!$C$29))</f>
        <v>A615 Grade 60</v>
      </c>
      <c r="R222" t="s">
        <v>715</v>
      </c>
      <c r="S222" s="57">
        <v>222</v>
      </c>
      <c r="U222" t="str">
        <f>IF(Data!$J222="",IFERROR(INDEX(IF(SD!$C$11="Create",Lap!$A$3:$BF$14,IF(SD!$C$11="Per Uploaded File",Lap!$A$19:$BF$30,"")),MATCH(W222,Lap!$A$3:$A$14,0),MATCH(VALUE(D222),Lap!$A$3:$BF$3,0)+IF(IFERROR(FIND("Grade 60",J222),0)&gt;0,0,IF(IFERROR(FIND("Grade 80",J222),0),1,IF(IFERROR(FIND("Grade 75",J222),0),2,"")))),""),Data!J222)</f>
        <v>5-1</v>
      </c>
      <c r="W222" t="s">
        <v>166</v>
      </c>
      <c r="X222">
        <v>6</v>
      </c>
      <c r="Y222" t="str">
        <f t="shared" si="10"/>
        <v>30</v>
      </c>
      <c r="Z222">
        <f t="shared" si="11"/>
        <v>0</v>
      </c>
      <c r="DE222" t="s">
        <v>831</v>
      </c>
      <c r="DF222" t="s">
        <v>66</v>
      </c>
      <c r="DG222" t="str">
        <f>VLOOKUP(W222,'Level Wise PSI'!$F$2:$G$12,2,FALSE)</f>
        <v>Double Lift</v>
      </c>
    </row>
    <row r="223" spans="1:111" x14ac:dyDescent="0.25">
      <c r="A223">
        <v>67</v>
      </c>
      <c r="B223" t="s">
        <v>678</v>
      </c>
      <c r="C223" s="15">
        <v>2429</v>
      </c>
      <c r="D223" s="15">
        <v>10000</v>
      </c>
      <c r="E223" t="str">
        <f>IF(B223=Level!$A$2,SD!$C$14,SD!$C$13)</f>
        <v>0-8</v>
      </c>
      <c r="F223" s="15" t="s">
        <v>763</v>
      </c>
      <c r="G223" t="s">
        <v>715</v>
      </c>
      <c r="H223" t="str">
        <f>RIGHT(VLOOKUP(B223,Level!A:C,3,FALSE),LEN(VLOOKUP(B223,Level!A:C,3,FALSE))-1)</f>
        <v>10-7</v>
      </c>
      <c r="I223" t="s">
        <v>716</v>
      </c>
      <c r="J223" t="str">
        <f>IF(AND(SD!$C$19=SD!$H$2,Grade!$G$1="Per level"),VLOOKUP(B223,Grade!$E$1:$F$200,2,FALSE),IF(AND(SD!$C$19=SD!$H$2,Grade!$G$1="Per Bar Size"),VLOOKUP(W223,Grade!$B$1:$C$12,2,0),SD!$C$19))</f>
        <v>A615 Grade 60</v>
      </c>
      <c r="K223" t="s">
        <v>66</v>
      </c>
      <c r="L223" s="24" t="str">
        <f>IFERROR(IF(A223&lt;&gt;A224,"",IF(DF223="No Lap","",IF(K224="Lap",U223,IF(K224="Coupler",_xlfn._xlws.FILTER(CCoupler,(CCName=SD!$C$8)*(CBSize=IF(A222=A223,W223&amp;W224,W223&amp;W223))*(CCMFM="Male")),"")))),"N/A")</f>
        <v>5-1</v>
      </c>
      <c r="M223" t="str">
        <f t="shared" si="9"/>
        <v/>
      </c>
      <c r="N223" t="s">
        <v>692</v>
      </c>
      <c r="O223" t="s">
        <v>693</v>
      </c>
      <c r="P223" t="s">
        <v>692</v>
      </c>
      <c r="Q223" t="str">
        <f>IF(AND(SD!$C$29=SD!$P$2,Grade!$O$1="Per level"),VLOOKUP(B223,Grade!$M$1:$N$200,2,FALSE),IF(AND(SD!$C$29=SD!$P$2,Grade!$O$1="Per Bar Size"),VLOOKUP(LEFT(N223,FIND("@",N223)-2),Grade!$J$1:$K$12,2,0),SD!$C$29))</f>
        <v>A615 Grade 60</v>
      </c>
      <c r="R223" t="s">
        <v>715</v>
      </c>
      <c r="S223" s="57">
        <v>223</v>
      </c>
      <c r="U223" t="str">
        <f>IF(Data!$J223="",IFERROR(INDEX(IF(SD!$C$11="Create",Lap!$A$3:$BF$14,IF(SD!$C$11="Per Uploaded File",Lap!$A$19:$BF$30,"")),MATCH(W223,Lap!$A$3:$A$14,0),MATCH(VALUE(D223),Lap!$A$3:$BF$3,0)+IF(IFERROR(FIND("Grade 60",J223),0)&gt;0,0,IF(IFERROR(FIND("Grade 80",J223),0),1,IF(IFERROR(FIND("Grade 75",J223),0),2,"")))),""),Data!J223)</f>
        <v>5-1</v>
      </c>
      <c r="W223" t="s">
        <v>166</v>
      </c>
      <c r="X223">
        <v>6</v>
      </c>
      <c r="Y223" t="str">
        <f t="shared" si="10"/>
        <v>30</v>
      </c>
      <c r="Z223">
        <f t="shared" si="11"/>
        <v>0</v>
      </c>
      <c r="DE223" t="s">
        <v>831</v>
      </c>
      <c r="DF223" t="s">
        <v>66</v>
      </c>
      <c r="DG223" t="str">
        <f>VLOOKUP(W223,'Level Wise PSI'!$F$2:$G$12,2,FALSE)</f>
        <v>Double Lift</v>
      </c>
    </row>
    <row r="224" spans="1:111" x14ac:dyDescent="0.25">
      <c r="A224">
        <v>67</v>
      </c>
      <c r="B224" t="s">
        <v>680</v>
      </c>
      <c r="C224" s="15">
        <v>2429</v>
      </c>
      <c r="D224" s="15">
        <v>10000</v>
      </c>
      <c r="E224" t="str">
        <f>IF(B224=Level!$A$2,SD!$C$14,SD!$C$13)</f>
        <v>0-8</v>
      </c>
      <c r="F224" s="15" t="s">
        <v>763</v>
      </c>
      <c r="G224" t="s">
        <v>715</v>
      </c>
      <c r="H224" t="str">
        <f>RIGHT(VLOOKUP(B224,Level!A:C,3,FALSE),LEN(VLOOKUP(B224,Level!A:C,3,FALSE))-1)</f>
        <v>10-7</v>
      </c>
      <c r="I224" t="s">
        <v>716</v>
      </c>
      <c r="J224" t="str">
        <f>IF(AND(SD!$C$19=SD!$H$2,Grade!$G$1="Per level"),VLOOKUP(B224,Grade!$E$1:$F$200,2,FALSE),IF(AND(SD!$C$19=SD!$H$2,Grade!$G$1="Per Bar Size"),VLOOKUP(W224,Grade!$B$1:$C$12,2,0),SD!$C$19))</f>
        <v>A615 Grade 60</v>
      </c>
      <c r="K224" t="s">
        <v>66</v>
      </c>
      <c r="L224" s="24" t="str">
        <f>IFERROR(IF(A224&lt;&gt;A225,"",IF(DF224="No Lap","",IF(K225="Lap",U224,IF(K225="Coupler",_xlfn._xlws.FILTER(CCoupler,(CCName=SD!$C$8)*(CBSize=IF(A223=A224,W224&amp;W225,W224&amp;W224))*(CCMFM="Male")),"")))),"N/A")</f>
        <v>5-1</v>
      </c>
      <c r="M224" t="str">
        <f t="shared" si="9"/>
        <v/>
      </c>
      <c r="N224" t="s">
        <v>692</v>
      </c>
      <c r="O224" t="s">
        <v>693</v>
      </c>
      <c r="P224" t="s">
        <v>692</v>
      </c>
      <c r="Q224" t="str">
        <f>IF(AND(SD!$C$29=SD!$P$2,Grade!$O$1="Per level"),VLOOKUP(B224,Grade!$M$1:$N$200,2,FALSE),IF(AND(SD!$C$29=SD!$P$2,Grade!$O$1="Per Bar Size"),VLOOKUP(LEFT(N224,FIND("@",N224)-2),Grade!$J$1:$K$12,2,0),SD!$C$29))</f>
        <v>A615 Grade 60</v>
      </c>
      <c r="R224" t="s">
        <v>715</v>
      </c>
      <c r="S224" s="57">
        <v>224</v>
      </c>
      <c r="U224" t="str">
        <f>IF(Data!$J224="",IFERROR(INDEX(IF(SD!$C$11="Create",Lap!$A$3:$BF$14,IF(SD!$C$11="Per Uploaded File",Lap!$A$19:$BF$30,"")),MATCH(W224,Lap!$A$3:$A$14,0),MATCH(VALUE(D224),Lap!$A$3:$BF$3,0)+IF(IFERROR(FIND("Grade 60",J224),0)&gt;0,0,IF(IFERROR(FIND("Grade 80",J224),0),1,IF(IFERROR(FIND("Grade 75",J224),0),2,"")))),""),Data!J224)</f>
        <v>5-1</v>
      </c>
      <c r="W224" t="s">
        <v>166</v>
      </c>
      <c r="X224">
        <v>6</v>
      </c>
      <c r="Y224" t="str">
        <f t="shared" si="10"/>
        <v>30</v>
      </c>
      <c r="Z224">
        <f t="shared" si="11"/>
        <v>0</v>
      </c>
      <c r="DE224" t="s">
        <v>831</v>
      </c>
      <c r="DF224" t="s">
        <v>66</v>
      </c>
      <c r="DG224" t="str">
        <f>VLOOKUP(W224,'Level Wise PSI'!$F$2:$G$12,2,FALSE)</f>
        <v>Double Lift</v>
      </c>
    </row>
    <row r="225" spans="1:111" x14ac:dyDescent="0.25">
      <c r="A225">
        <v>67</v>
      </c>
      <c r="B225" t="s">
        <v>682</v>
      </c>
      <c r="C225" s="15">
        <v>2429</v>
      </c>
      <c r="D225" s="15">
        <v>10000</v>
      </c>
      <c r="E225" t="str">
        <f>IF(B225=Level!$A$2,SD!$C$14,SD!$C$13)</f>
        <v>0-8</v>
      </c>
      <c r="F225" s="15" t="s">
        <v>763</v>
      </c>
      <c r="G225" t="s">
        <v>715</v>
      </c>
      <c r="H225" t="str">
        <f>RIGHT(VLOOKUP(B225,Level!A:C,3,FALSE),LEN(VLOOKUP(B225,Level!A:C,3,FALSE))-1)</f>
        <v>10-7</v>
      </c>
      <c r="I225" t="s">
        <v>717</v>
      </c>
      <c r="J225" t="str">
        <f>IF(AND(SD!$C$19=SD!$H$2,Grade!$G$1="Per level"),VLOOKUP(B225,Grade!$E$1:$F$200,2,FALSE),IF(AND(SD!$C$19=SD!$H$2,Grade!$G$1="Per Bar Size"),VLOOKUP(W225,Grade!$B$1:$C$12,2,0),SD!$C$19))</f>
        <v>A615 Grade 60</v>
      </c>
      <c r="K225" t="s">
        <v>66</v>
      </c>
      <c r="L225" s="24" t="str">
        <f>IFERROR(IF(A225&lt;&gt;A226,"",IF(DF225="No Lap","",IF(K226="Lap",U225,IF(K226="Coupler",_xlfn._xlws.FILTER(CCoupler,(CCName=SD!$C$8)*(CBSize=IF(A224=A225,W225&amp;W226,W225&amp;W225))*(CCMFM="Male")),"")))),"N/A")</f>
        <v/>
      </c>
      <c r="M225" t="str">
        <f t="shared" si="9"/>
        <v/>
      </c>
      <c r="N225" t="s">
        <v>692</v>
      </c>
      <c r="O225" t="s">
        <v>693</v>
      </c>
      <c r="P225" t="s">
        <v>692</v>
      </c>
      <c r="Q225" t="str">
        <f>IF(AND(SD!$C$29=SD!$P$2,Grade!$O$1="Per level"),VLOOKUP(B225,Grade!$M$1:$N$200,2,FALSE),IF(AND(SD!$C$29=SD!$P$2,Grade!$O$1="Per Bar Size"),VLOOKUP(LEFT(N225,FIND("@",N225)-2),Grade!$J$1:$K$12,2,0),SD!$C$29))</f>
        <v>A615 Grade 60</v>
      </c>
      <c r="R225" t="s">
        <v>715</v>
      </c>
      <c r="S225" s="57">
        <v>225</v>
      </c>
      <c r="U225" t="str">
        <f>IF(Data!$J225="",IFERROR(INDEX(IF(SD!$C$11="Create",Lap!$A$3:$BF$14,IF(SD!$C$11="Per Uploaded File",Lap!$A$19:$BF$30,"")),MATCH(W225,Lap!$A$3:$A$14,0),MATCH(VALUE(D225),Lap!$A$3:$BF$3,0)+IF(IFERROR(FIND("Grade 60",J225),0)&gt;0,0,IF(IFERROR(FIND("Grade 80",J225),0),1,IF(IFERROR(FIND("Grade 75",J225),0),2,"")))),""),Data!J225)</f>
        <v>4-0</v>
      </c>
      <c r="W225" t="s">
        <v>142</v>
      </c>
      <c r="X225">
        <v>10</v>
      </c>
      <c r="Y225" t="str">
        <f t="shared" si="10"/>
        <v>30</v>
      </c>
      <c r="Z225">
        <f t="shared" si="11"/>
        <v>0</v>
      </c>
      <c r="DE225" t="s">
        <v>831</v>
      </c>
      <c r="DF225" t="s">
        <v>66</v>
      </c>
      <c r="DG225" t="str">
        <f>VLOOKUP(W225,'Level Wise PSI'!$F$2:$G$12,2,FALSE)</f>
        <v>Double Lift</v>
      </c>
    </row>
    <row r="226" spans="1:111" x14ac:dyDescent="0.25">
      <c r="A226">
        <v>7</v>
      </c>
      <c r="B226" t="s">
        <v>658</v>
      </c>
      <c r="C226" s="15">
        <v>2429</v>
      </c>
      <c r="D226" s="15">
        <v>10000</v>
      </c>
      <c r="E226" t="str">
        <f>IF(B226=Level!$A$2,SD!$C$14,SD!$C$13)</f>
        <v>3-0</v>
      </c>
      <c r="F226" s="15" t="s">
        <v>763</v>
      </c>
      <c r="G226" t="s">
        <v>699</v>
      </c>
      <c r="H226" s="15" t="s">
        <v>759</v>
      </c>
      <c r="I226" t="s">
        <v>700</v>
      </c>
      <c r="J226" t="str">
        <f>IF(AND(SD!$C$19=SD!$H$2,Grade!$G$1="Per level"),VLOOKUP(B226,Grade!$E$1:$F$200,2,FALSE),IF(AND(SD!$C$19=SD!$H$2,Grade!$G$1="Per Bar Size"),VLOOKUP(W226,Grade!$B$1:$C$12,2,0),SD!$C$19))</f>
        <v>A615 Grade 60</v>
      </c>
      <c r="K226" t="s">
        <v>66</v>
      </c>
      <c r="L226" s="24" t="str">
        <f>IFERROR(IF(A226&lt;&gt;A227,"",IF(DF226="No Lap","",IF(K227="Lap",U226,IF(K227="Coupler",_xlfn._xlws.FILTER(CCoupler,(CCName=SD!$C$8)*(CBSize=IF(A225=A226,W226&amp;W227,W226&amp;W226))*(CCMFM="Male")),"")))),"N/A")</f>
        <v/>
      </c>
      <c r="M226" t="str">
        <f t="shared" si="9"/>
        <v/>
      </c>
      <c r="N226" t="s">
        <v>692</v>
      </c>
      <c r="O226" t="s">
        <v>693</v>
      </c>
      <c r="P226" t="s">
        <v>692</v>
      </c>
      <c r="Q226" t="str">
        <f>IF(AND(SD!$C$29=SD!$P$2,Grade!$O$1="Per level"),VLOOKUP(B226,Grade!$M$1:$N$200,2,FALSE),IF(AND(SD!$C$29=SD!$P$2,Grade!$O$1="Per Bar Size"),VLOOKUP(LEFT(N226,FIND("@",N226)-2),Grade!$J$1:$K$12,2,0),SD!$C$29))</f>
        <v>A615 Grade 60</v>
      </c>
      <c r="R226" t="s">
        <v>701</v>
      </c>
      <c r="S226" s="57">
        <v>226</v>
      </c>
      <c r="U226" t="str">
        <f>IF(Data!$J226="",IFERROR(INDEX(IF(SD!$C$11="Create",Lap!$A$3:$BF$14,IF(SD!$C$11="Per Uploaded File",Lap!$A$19:$BF$30,"")),MATCH(W226,Lap!$A$3:$A$14,0),MATCH(VALUE(D226),Lap!$A$3:$BF$3,0)+IF(IFERROR(FIND("Grade 60",J226),0)&gt;0,0,IF(IFERROR(FIND("Grade 80",J226),0),1,IF(IFERROR(FIND("Grade 75",J226),0),2,"")))),""),Data!J226)</f>
        <v>4-6</v>
      </c>
      <c r="W226" t="s">
        <v>154</v>
      </c>
      <c r="X226">
        <v>12</v>
      </c>
      <c r="Y226" t="str">
        <f t="shared" si="10"/>
        <v xml:space="preserve">24 </v>
      </c>
      <c r="Z226" t="str">
        <f t="shared" si="11"/>
        <v xml:space="preserve"> 36</v>
      </c>
      <c r="DE226" t="s">
        <v>699</v>
      </c>
      <c r="DF226" t="s">
        <v>66</v>
      </c>
      <c r="DG226" t="str">
        <f>VLOOKUP(W226,'Level Wise PSI'!$F$2:$G$12,2,FALSE)</f>
        <v>Double Lift</v>
      </c>
    </row>
    <row r="227" spans="1:111" x14ac:dyDescent="0.25">
      <c r="A227">
        <v>8</v>
      </c>
      <c r="B227" t="s">
        <v>658</v>
      </c>
      <c r="C227" s="15">
        <v>2429</v>
      </c>
      <c r="D227" s="15">
        <v>10000</v>
      </c>
      <c r="E227" t="str">
        <f>IF(B227=Level!$A$2,SD!$C$14,SD!$C$13)</f>
        <v>3-0</v>
      </c>
      <c r="F227" s="15" t="s">
        <v>763</v>
      </c>
      <c r="G227" t="s">
        <v>699</v>
      </c>
      <c r="H227" s="15" t="s">
        <v>759</v>
      </c>
      <c r="I227" t="s">
        <v>708</v>
      </c>
      <c r="J227" t="str">
        <f>IF(AND(SD!$C$19=SD!$H$2,Grade!$G$1="Per level"),VLOOKUP(B227,Grade!$E$1:$F$200,2,FALSE),IF(AND(SD!$C$19=SD!$H$2,Grade!$G$1="Per Bar Size"),VLOOKUP(W227,Grade!$B$1:$C$12,2,0),SD!$C$19))</f>
        <v>A615 Grade 60</v>
      </c>
      <c r="K227" t="s">
        <v>66</v>
      </c>
      <c r="L227" s="24" t="str">
        <f>IFERROR(IF(A227&lt;&gt;A228,"",IF(DF227="No Lap","",IF(K228="Lap",U227,IF(K228="Coupler",_xlfn._xlws.FILTER(CCoupler,(CCName=SD!$C$8)*(CBSize=IF(A226=A227,W227&amp;W228,W227&amp;W227))*(CCMFM="Male")),"")))),"N/A")</f>
        <v/>
      </c>
      <c r="M227" t="str">
        <f t="shared" si="9"/>
        <v/>
      </c>
      <c r="N227" t="s">
        <v>692</v>
      </c>
      <c r="O227" t="s">
        <v>693</v>
      </c>
      <c r="P227" t="s">
        <v>692</v>
      </c>
      <c r="Q227" t="str">
        <f>IF(AND(SD!$C$29=SD!$P$2,Grade!$O$1="Per level"),VLOOKUP(B227,Grade!$M$1:$N$200,2,FALSE),IF(AND(SD!$C$29=SD!$P$2,Grade!$O$1="Per Bar Size"),VLOOKUP(LEFT(N227,FIND("@",N227)-2),Grade!$J$1:$K$12,2,0),SD!$C$29))</f>
        <v>A615 Grade 60</v>
      </c>
      <c r="R227" t="s">
        <v>709</v>
      </c>
      <c r="S227" s="57">
        <v>227</v>
      </c>
      <c r="U227" t="str">
        <f>IF(Data!$J227="",IFERROR(INDEX(IF(SD!$C$11="Create",Lap!$A$3:$BF$14,IF(SD!$C$11="Per Uploaded File",Lap!$A$19:$BF$30,"")),MATCH(W227,Lap!$A$3:$A$14,0),MATCH(VALUE(D227),Lap!$A$3:$BF$3,0)+IF(IFERROR(FIND("Grade 60",J227),0)&gt;0,0,IF(IFERROR(FIND("Grade 80",J227),0),1,IF(IFERROR(FIND("Grade 75",J227),0),2,"")))),""),Data!J227)</f>
        <v>3-6</v>
      </c>
      <c r="W227" t="s">
        <v>129</v>
      </c>
      <c r="X227">
        <v>8</v>
      </c>
      <c r="Y227" t="str">
        <f t="shared" si="10"/>
        <v xml:space="preserve">24 </v>
      </c>
      <c r="Z227" t="str">
        <f t="shared" si="11"/>
        <v xml:space="preserve"> 36</v>
      </c>
      <c r="DE227" t="s">
        <v>699</v>
      </c>
      <c r="DF227" t="s">
        <v>66</v>
      </c>
      <c r="DG227" t="str">
        <f>VLOOKUP(W227,'Level Wise PSI'!$F$2:$G$12,2,FALSE)</f>
        <v>Double Lift</v>
      </c>
    </row>
    <row r="228" spans="1:111" x14ac:dyDescent="0.25">
      <c r="A228">
        <v>9</v>
      </c>
      <c r="B228" t="s">
        <v>658</v>
      </c>
      <c r="C228" s="15">
        <v>2429</v>
      </c>
      <c r="D228" s="15">
        <v>10000</v>
      </c>
      <c r="E228" s="15" t="s">
        <v>744</v>
      </c>
      <c r="F228" s="15" t="s">
        <v>763</v>
      </c>
      <c r="G228" t="s">
        <v>706</v>
      </c>
      <c r="H228" s="15" t="s">
        <v>759</v>
      </c>
      <c r="I228" t="s">
        <v>696</v>
      </c>
      <c r="J228" t="str">
        <f>IF(AND(SD!$C$19=SD!$H$2,Grade!$G$1="Per level"),VLOOKUP(B228,Grade!$E$1:$F$200,2,FALSE),IF(AND(SD!$C$19=SD!$H$2,Grade!$G$1="Per Bar Size"),VLOOKUP(W228,Grade!$B$1:$C$12,2,0),SD!$C$19))</f>
        <v>A615 Grade 60</v>
      </c>
      <c r="K228" t="s">
        <v>66</v>
      </c>
      <c r="L228" s="24" t="str">
        <f>IFERROR(IF(A228&lt;&gt;A229,"",IF(DF228="No Lap","",IF(K229="Lap",U228,IF(K229="Coupler",_xlfn._xlws.FILTER(CCoupler,(CCName=SD!$C$8)*(CBSize=IF(A227=A228,W228&amp;W229,W228&amp;W228))*(CCMFM="Male")),"")))),"N/A")</f>
        <v/>
      </c>
      <c r="M228" t="str">
        <f t="shared" si="9"/>
        <v/>
      </c>
      <c r="N228" t="s">
        <v>692</v>
      </c>
      <c r="O228" t="s">
        <v>693</v>
      </c>
      <c r="P228" t="s">
        <v>692</v>
      </c>
      <c r="Q228" t="str">
        <f>IF(AND(SD!$C$29=SD!$P$2,Grade!$O$1="Per level"),VLOOKUP(B228,Grade!$M$1:$N$200,2,FALSE),IF(AND(SD!$C$29=SD!$P$2,Grade!$O$1="Per Bar Size"),VLOOKUP(LEFT(N228,FIND("@",N228)-2),Grade!$J$1:$K$12,2,0),SD!$C$29))</f>
        <v>A615 Grade 60</v>
      </c>
      <c r="R228" t="s">
        <v>698</v>
      </c>
      <c r="S228" s="57">
        <v>228</v>
      </c>
      <c r="U228" t="str">
        <f>IF(Data!$J228="",IFERROR(INDEX(IF(SD!$C$11="Create",Lap!$A$3:$BF$14,IF(SD!$C$11="Per Uploaded File",Lap!$A$19:$BF$30,"")),MATCH(W228,Lap!$A$3:$A$14,0),MATCH(VALUE(D228),Lap!$A$3:$BF$3,0)+IF(IFERROR(FIND("Grade 60",J228),0)&gt;0,0,IF(IFERROR(FIND("Grade 80",J228),0),1,IF(IFERROR(FIND("Grade 75",J228),0),2,"")))),""),Data!J228)</f>
        <v>3-6</v>
      </c>
      <c r="W228" t="s">
        <v>129</v>
      </c>
      <c r="X228">
        <v>6</v>
      </c>
      <c r="Y228" t="str">
        <f t="shared" si="10"/>
        <v xml:space="preserve">14 </v>
      </c>
      <c r="Z228" t="str">
        <f t="shared" si="11"/>
        <v xml:space="preserve"> 24</v>
      </c>
      <c r="DE228" t="s">
        <v>706</v>
      </c>
      <c r="DF228" t="s">
        <v>66</v>
      </c>
      <c r="DG228" t="str">
        <f>VLOOKUP(W228,'Level Wise PSI'!$F$2:$G$12,2,FALSE)</f>
        <v>Double Lift</v>
      </c>
    </row>
    <row r="229" spans="1:111" x14ac:dyDescent="0.25">
      <c r="D229" s="15"/>
      <c r="F229" s="15"/>
      <c r="L229" s="24"/>
      <c r="U229" t="str">
        <f>IF(Data!$J229="",IFERROR(INDEX(IF(SD!$C$11="Create",Lap!$A$3:$BF$14,IF(SD!$C$11="Per Uploaded File",Lap!$A$19:$BF$30,"")),MATCH(W229,Lap!$A$3:$A$14,0),MATCH(VALUE(D229),Lap!$A$3:$BF$3,0)+IF(IFERROR(FIND("Grade 60",J229),0)&gt;0,0,IF(IFERROR(FIND("Grade 80",J229),0),1,IF(IFERROR(FIND("Grade 75",J229),0),2,"")))),""),Data!J229)</f>
        <v/>
      </c>
      <c r="W229" t="s">
        <v>129</v>
      </c>
      <c r="X229">
        <v>6</v>
      </c>
      <c r="Y229" t="e">
        <f t="shared" ref="Y229" si="12">IFERROR(LEFT(G229,FIND(" dia",G229)-2),LEFT(G229,FIND("x",G229)-1))</f>
        <v>#VALUE!</v>
      </c>
      <c r="Z229" t="e">
        <f t="shared" ref="Z229" si="13">IFERROR(IF(FIND("dia",G229)&gt;0,0,ERROR.TYPE(#VALUE!)),RIGHT(G229,LEN(G229)-FIND("x",G229)))</f>
        <v>#VALUE!</v>
      </c>
      <c r="DF229" t="s">
        <v>66</v>
      </c>
      <c r="DG229" t="str">
        <f>VLOOKUP(W229,'Level Wise PSI'!$F$2:$G$12,2,FALSE)</f>
        <v>Double Lift</v>
      </c>
    </row>
    <row r="230" spans="1:111" x14ac:dyDescent="0.25">
      <c r="D230" s="15"/>
      <c r="F230" s="15"/>
      <c r="L230" s="24"/>
    </row>
    <row r="231" spans="1:111" x14ac:dyDescent="0.25">
      <c r="D231" s="15"/>
      <c r="F231" s="15"/>
      <c r="L231" s="24"/>
    </row>
    <row r="232" spans="1:111" x14ac:dyDescent="0.25">
      <c r="D232" s="15"/>
      <c r="F232" s="15"/>
      <c r="L232" s="24"/>
    </row>
    <row r="233" spans="1:111" x14ac:dyDescent="0.25">
      <c r="D233" s="15"/>
      <c r="F233" s="15"/>
      <c r="L233" s="24"/>
    </row>
    <row r="234" spans="1:111" x14ac:dyDescent="0.25">
      <c r="D234" s="15"/>
      <c r="F234" s="15"/>
      <c r="L234" s="24"/>
    </row>
    <row r="235" spans="1:111" x14ac:dyDescent="0.25">
      <c r="D235" s="15"/>
      <c r="F235" s="15"/>
      <c r="L235" s="24"/>
    </row>
    <row r="236" spans="1:111" x14ac:dyDescent="0.25">
      <c r="D236" s="15"/>
      <c r="F236" s="15"/>
      <c r="L236" s="24"/>
    </row>
    <row r="237" spans="1:111" x14ac:dyDescent="0.25">
      <c r="D237" s="15"/>
      <c r="F237" s="15"/>
      <c r="L237" s="24"/>
    </row>
    <row r="238" spans="1:111" x14ac:dyDescent="0.25">
      <c r="D238" s="15"/>
      <c r="F238" s="15"/>
      <c r="L238" s="24"/>
    </row>
    <row r="239" spans="1:111" x14ac:dyDescent="0.25">
      <c r="D239" s="15"/>
      <c r="F239" s="15"/>
      <c r="L239" s="24"/>
    </row>
    <row r="240" spans="1:111" x14ac:dyDescent="0.25">
      <c r="D240" s="15"/>
      <c r="F240" s="15"/>
      <c r="L240" s="24"/>
    </row>
    <row r="241" spans="4:12" x14ac:dyDescent="0.25">
      <c r="D241" s="15"/>
      <c r="F241" s="15"/>
      <c r="L241" s="24"/>
    </row>
    <row r="242" spans="4:12" x14ac:dyDescent="0.25">
      <c r="D242" s="15"/>
      <c r="F242" s="15"/>
      <c r="L242" s="24"/>
    </row>
    <row r="243" spans="4:12" x14ac:dyDescent="0.25">
      <c r="D243" s="15"/>
      <c r="F243" s="15"/>
      <c r="L243" s="24"/>
    </row>
    <row r="244" spans="4:12" x14ac:dyDescent="0.25">
      <c r="D244" s="15"/>
      <c r="F244" s="15"/>
      <c r="L244" s="24"/>
    </row>
    <row r="245" spans="4:12" x14ac:dyDescent="0.25">
      <c r="D245" s="15"/>
      <c r="F245" s="15"/>
      <c r="L245" s="24"/>
    </row>
    <row r="246" spans="4:12" x14ac:dyDescent="0.25">
      <c r="D246" s="15"/>
      <c r="F246" s="15"/>
      <c r="L246" s="24"/>
    </row>
    <row r="247" spans="4:12" x14ac:dyDescent="0.25">
      <c r="D247" s="15"/>
      <c r="F247" s="15"/>
      <c r="L247" s="24"/>
    </row>
    <row r="248" spans="4:12" x14ac:dyDescent="0.25">
      <c r="D248" s="15"/>
      <c r="F248" s="15"/>
      <c r="L248" s="24"/>
    </row>
    <row r="249" spans="4:12" x14ac:dyDescent="0.25">
      <c r="D249" s="15"/>
      <c r="F249" s="15"/>
      <c r="L249" s="24"/>
    </row>
    <row r="250" spans="4:12" x14ac:dyDescent="0.25">
      <c r="D250" s="15"/>
      <c r="F250" s="15"/>
      <c r="L250" s="24"/>
    </row>
    <row r="251" spans="4:12" x14ac:dyDescent="0.25">
      <c r="D251" s="15"/>
      <c r="F251" s="15"/>
      <c r="L251" s="24"/>
    </row>
    <row r="252" spans="4:12" x14ac:dyDescent="0.25">
      <c r="D252" s="15"/>
      <c r="F252" s="15"/>
      <c r="L252" s="24"/>
    </row>
    <row r="253" spans="4:12" x14ac:dyDescent="0.25">
      <c r="D253" s="15"/>
      <c r="F253" s="15"/>
      <c r="L253" s="24"/>
    </row>
    <row r="254" spans="4:12" x14ac:dyDescent="0.25">
      <c r="D254" s="15"/>
      <c r="F254" s="15"/>
      <c r="L254" s="24"/>
    </row>
    <row r="255" spans="4:12" x14ac:dyDescent="0.25">
      <c r="D255" s="15"/>
      <c r="F255" s="15"/>
      <c r="L255" s="24"/>
    </row>
    <row r="256" spans="4:12" x14ac:dyDescent="0.25">
      <c r="D256" s="15"/>
      <c r="F256" s="15"/>
      <c r="L256" s="24"/>
    </row>
    <row r="257" spans="4:12" x14ac:dyDescent="0.25">
      <c r="D257" s="15"/>
      <c r="F257" s="15"/>
      <c r="L257" s="24"/>
    </row>
    <row r="258" spans="4:12" x14ac:dyDescent="0.25">
      <c r="D258" s="15"/>
      <c r="F258" s="15"/>
      <c r="L258" s="24"/>
    </row>
    <row r="259" spans="4:12" x14ac:dyDescent="0.25">
      <c r="D259" s="15"/>
      <c r="F259" s="15"/>
      <c r="L259" s="24"/>
    </row>
    <row r="260" spans="4:12" x14ac:dyDescent="0.25">
      <c r="D260" s="15"/>
      <c r="F260" s="15"/>
      <c r="L260" s="24"/>
    </row>
    <row r="261" spans="4:12" x14ac:dyDescent="0.25">
      <c r="D261" s="15"/>
      <c r="F261" s="15"/>
      <c r="L261" s="24"/>
    </row>
    <row r="262" spans="4:12" x14ac:dyDescent="0.25">
      <c r="D262" s="15"/>
      <c r="F262" s="15"/>
      <c r="L262" s="24"/>
    </row>
    <row r="263" spans="4:12" x14ac:dyDescent="0.25">
      <c r="D263" s="15"/>
      <c r="F263" s="15"/>
      <c r="L263" s="24"/>
    </row>
    <row r="264" spans="4:12" x14ac:dyDescent="0.25">
      <c r="D264" s="15"/>
      <c r="F264" s="15"/>
      <c r="L264" s="24"/>
    </row>
    <row r="265" spans="4:12" x14ac:dyDescent="0.25">
      <c r="D265" s="15"/>
      <c r="F265" s="15"/>
      <c r="L265" s="24"/>
    </row>
    <row r="266" spans="4:12" x14ac:dyDescent="0.25">
      <c r="D266" s="15"/>
      <c r="F266" s="15"/>
      <c r="L266" s="24"/>
    </row>
    <row r="267" spans="4:12" x14ac:dyDescent="0.25">
      <c r="D267" s="15"/>
      <c r="F267" s="15"/>
      <c r="L267" s="24"/>
    </row>
    <row r="268" spans="4:12" x14ac:dyDescent="0.25">
      <c r="D268" s="15"/>
      <c r="F268" s="15"/>
      <c r="L268" s="24"/>
    </row>
    <row r="269" spans="4:12" x14ac:dyDescent="0.25">
      <c r="D269" s="15"/>
      <c r="F269" s="15"/>
      <c r="L269" s="24"/>
    </row>
    <row r="270" spans="4:12" x14ac:dyDescent="0.25">
      <c r="D270" s="15"/>
      <c r="F270" s="15"/>
      <c r="L270" s="24"/>
    </row>
    <row r="271" spans="4:12" x14ac:dyDescent="0.25">
      <c r="D271" s="15"/>
      <c r="F271" s="15"/>
      <c r="L271" s="24"/>
    </row>
    <row r="272" spans="4:12" x14ac:dyDescent="0.25">
      <c r="D272" s="15"/>
      <c r="F272" s="15"/>
      <c r="L272" s="24"/>
    </row>
    <row r="273" spans="4:12" x14ac:dyDescent="0.25">
      <c r="D273" s="15"/>
      <c r="F273" s="15"/>
      <c r="L273" s="24"/>
    </row>
    <row r="274" spans="4:12" x14ac:dyDescent="0.25">
      <c r="D274" s="15"/>
      <c r="F274" s="15"/>
      <c r="L274" s="24"/>
    </row>
    <row r="275" spans="4:12" x14ac:dyDescent="0.25">
      <c r="D275" s="15"/>
      <c r="F275" s="15"/>
      <c r="L275" s="24"/>
    </row>
    <row r="276" spans="4:12" x14ac:dyDescent="0.25">
      <c r="D276" s="15"/>
      <c r="F276" s="15"/>
      <c r="L276" s="24"/>
    </row>
    <row r="277" spans="4:12" x14ac:dyDescent="0.25">
      <c r="D277" s="15"/>
      <c r="F277" s="15"/>
      <c r="L277" s="24"/>
    </row>
    <row r="278" spans="4:12" x14ac:dyDescent="0.25">
      <c r="D278" s="15"/>
      <c r="F278" s="15"/>
      <c r="L278" s="24"/>
    </row>
    <row r="279" spans="4:12" x14ac:dyDescent="0.25">
      <c r="D279" s="15"/>
      <c r="F279" s="15"/>
      <c r="L279" s="24"/>
    </row>
    <row r="280" spans="4:12" x14ac:dyDescent="0.25">
      <c r="D280" s="15"/>
      <c r="F280" s="15"/>
      <c r="L280" s="24"/>
    </row>
    <row r="281" spans="4:12" x14ac:dyDescent="0.25">
      <c r="D281" s="15"/>
      <c r="F281" s="15"/>
      <c r="L281" s="24"/>
    </row>
    <row r="282" spans="4:12" x14ac:dyDescent="0.25">
      <c r="D282" s="15"/>
      <c r="F282" s="15"/>
      <c r="L282" s="24"/>
    </row>
    <row r="283" spans="4:12" x14ac:dyDescent="0.25">
      <c r="D283" s="15"/>
      <c r="F283" s="15"/>
      <c r="L283" s="24"/>
    </row>
    <row r="284" spans="4:12" x14ac:dyDescent="0.25">
      <c r="D284" s="15"/>
      <c r="F284" s="15"/>
      <c r="L284" s="24"/>
    </row>
    <row r="285" spans="4:12" x14ac:dyDescent="0.25">
      <c r="D285" s="15"/>
      <c r="F285" s="15"/>
      <c r="L285" s="24"/>
    </row>
    <row r="286" spans="4:12" x14ac:dyDescent="0.25">
      <c r="D286" s="15"/>
      <c r="F286" s="15"/>
      <c r="L286" s="24"/>
    </row>
    <row r="287" spans="4:12" x14ac:dyDescent="0.25">
      <c r="D287" s="15"/>
      <c r="F287" s="15"/>
      <c r="L287" s="24"/>
    </row>
    <row r="288" spans="4:12" x14ac:dyDescent="0.25">
      <c r="D288" s="15"/>
      <c r="F288" s="15"/>
      <c r="L288" s="24"/>
    </row>
    <row r="289" spans="4:12" x14ac:dyDescent="0.25">
      <c r="D289" s="15"/>
      <c r="F289" s="15"/>
      <c r="L289" s="24"/>
    </row>
    <row r="290" spans="4:12" x14ac:dyDescent="0.25">
      <c r="D290" s="15"/>
      <c r="F290" s="15"/>
      <c r="L290" s="24"/>
    </row>
    <row r="291" spans="4:12" x14ac:dyDescent="0.25">
      <c r="D291" s="15"/>
      <c r="F291" s="15"/>
      <c r="L291" s="24"/>
    </row>
    <row r="292" spans="4:12" x14ac:dyDescent="0.25">
      <c r="D292" s="15"/>
      <c r="F292" s="15"/>
      <c r="L292" s="24"/>
    </row>
    <row r="293" spans="4:12" x14ac:dyDescent="0.25">
      <c r="D293" s="15"/>
      <c r="F293" s="15"/>
      <c r="L293" s="24"/>
    </row>
    <row r="294" spans="4:12" x14ac:dyDescent="0.25">
      <c r="D294" s="15"/>
      <c r="F294" s="15"/>
      <c r="L294" s="24"/>
    </row>
    <row r="295" spans="4:12" x14ac:dyDescent="0.25">
      <c r="D295" s="15"/>
      <c r="F295" s="15"/>
      <c r="L295" s="24"/>
    </row>
    <row r="296" spans="4:12" x14ac:dyDescent="0.25">
      <c r="D296" s="15"/>
      <c r="F296" s="15"/>
      <c r="L296" s="24"/>
    </row>
    <row r="297" spans="4:12" x14ac:dyDescent="0.25">
      <c r="D297" s="15"/>
      <c r="F297" s="15"/>
      <c r="L297" s="24"/>
    </row>
    <row r="298" spans="4:12" x14ac:dyDescent="0.25">
      <c r="D298" s="15"/>
      <c r="F298" s="15"/>
      <c r="L298" s="24"/>
    </row>
    <row r="299" spans="4:12" x14ac:dyDescent="0.25">
      <c r="D299" s="15"/>
      <c r="F299" s="15"/>
      <c r="L299" s="24"/>
    </row>
    <row r="300" spans="4:12" x14ac:dyDescent="0.25">
      <c r="D300" s="15"/>
      <c r="F300" s="15"/>
      <c r="L300" s="24"/>
    </row>
    <row r="301" spans="4:12" x14ac:dyDescent="0.25">
      <c r="D301" s="15"/>
      <c r="F301" s="15"/>
      <c r="L301" s="24"/>
    </row>
    <row r="302" spans="4:12" x14ac:dyDescent="0.25">
      <c r="D302" s="15"/>
      <c r="F302" s="15"/>
      <c r="L302" s="24"/>
    </row>
    <row r="303" spans="4:12" x14ac:dyDescent="0.25">
      <c r="D303" s="15"/>
      <c r="F303" s="15"/>
      <c r="L303" s="24"/>
    </row>
    <row r="304" spans="4:12" x14ac:dyDescent="0.25">
      <c r="D304" s="15"/>
      <c r="F304" s="15"/>
      <c r="L304" s="24"/>
    </row>
    <row r="305" spans="4:12" x14ac:dyDescent="0.25">
      <c r="D305" s="15"/>
      <c r="F305" s="15"/>
      <c r="L305" s="24"/>
    </row>
    <row r="306" spans="4:12" x14ac:dyDescent="0.25">
      <c r="D306" s="15"/>
      <c r="F306" s="15"/>
      <c r="L306" s="24"/>
    </row>
    <row r="307" spans="4:12" x14ac:dyDescent="0.25">
      <c r="D307" s="15"/>
      <c r="F307" s="15"/>
      <c r="L307" s="24"/>
    </row>
    <row r="308" spans="4:12" x14ac:dyDescent="0.25">
      <c r="D308" s="15"/>
      <c r="F308" s="15"/>
      <c r="L308" s="24"/>
    </row>
    <row r="309" spans="4:12" x14ac:dyDescent="0.25">
      <c r="D309" s="15"/>
      <c r="F309" s="15"/>
      <c r="L309" s="24"/>
    </row>
    <row r="310" spans="4:12" x14ac:dyDescent="0.25">
      <c r="D310" s="15"/>
      <c r="F310" s="15"/>
      <c r="L310" s="24"/>
    </row>
    <row r="311" spans="4:12" x14ac:dyDescent="0.25">
      <c r="D311" s="15"/>
      <c r="F311" s="15"/>
      <c r="L311" s="24"/>
    </row>
    <row r="312" spans="4:12" x14ac:dyDescent="0.25">
      <c r="D312" s="15"/>
      <c r="F312" s="15"/>
      <c r="L312" s="24"/>
    </row>
    <row r="313" spans="4:12" x14ac:dyDescent="0.25">
      <c r="D313" s="15"/>
      <c r="F313" s="15"/>
      <c r="L313" s="24"/>
    </row>
    <row r="314" spans="4:12" x14ac:dyDescent="0.25">
      <c r="D314" s="15"/>
      <c r="F314" s="15"/>
      <c r="L314" s="24"/>
    </row>
    <row r="315" spans="4:12" x14ac:dyDescent="0.25">
      <c r="D315" s="15"/>
      <c r="F315" s="15"/>
      <c r="L315" s="24"/>
    </row>
    <row r="316" spans="4:12" x14ac:dyDescent="0.25">
      <c r="D316" s="15"/>
      <c r="F316" s="15"/>
      <c r="L316" s="24"/>
    </row>
    <row r="317" spans="4:12" x14ac:dyDescent="0.25">
      <c r="D317" s="15"/>
      <c r="F317" s="15"/>
      <c r="L317" s="24"/>
    </row>
    <row r="318" spans="4:12" x14ac:dyDescent="0.25">
      <c r="D318" s="15"/>
      <c r="F318" s="15"/>
      <c r="L318" s="24"/>
    </row>
    <row r="319" spans="4:12" x14ac:dyDescent="0.25">
      <c r="D319" s="15"/>
      <c r="F319" s="15"/>
      <c r="L319" s="24"/>
    </row>
    <row r="320" spans="4:12" x14ac:dyDescent="0.25">
      <c r="D320" s="15"/>
      <c r="F320" s="15"/>
      <c r="L320" s="24"/>
    </row>
    <row r="321" spans="4:12" x14ac:dyDescent="0.25">
      <c r="D321" s="15"/>
      <c r="F321" s="15"/>
      <c r="L321" s="24"/>
    </row>
    <row r="322" spans="4:12" x14ac:dyDescent="0.25">
      <c r="D322" s="15"/>
      <c r="F322" s="15"/>
      <c r="L322" s="24"/>
    </row>
    <row r="323" spans="4:12" x14ac:dyDescent="0.25">
      <c r="D323" s="15"/>
      <c r="F323" s="15"/>
      <c r="L323" s="24"/>
    </row>
    <row r="324" spans="4:12" x14ac:dyDescent="0.25">
      <c r="D324" s="15"/>
      <c r="F324" s="15"/>
      <c r="L324" s="24"/>
    </row>
  </sheetData>
  <dataConsolidate/>
  <mergeCells count="2">
    <mergeCell ref="CB1:CC1"/>
    <mergeCell ref="CV1:CW1"/>
  </mergeCells>
  <phoneticPr fontId="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W25"/>
  <sheetViews>
    <sheetView workbookViewId="0"/>
  </sheetViews>
  <sheetFormatPr defaultRowHeight="15" x14ac:dyDescent="0.25"/>
  <cols>
    <col min="1" max="1" width="8" bestFit="1" customWidth="1"/>
    <col min="2" max="2" width="19.42578125" bestFit="1" customWidth="1"/>
    <col min="3" max="3" width="15.28515625" bestFit="1" customWidth="1"/>
    <col min="4" max="4" width="8.140625" bestFit="1" customWidth="1"/>
    <col min="5" max="5" width="16" style="15" bestFit="1" customWidth="1"/>
    <col min="6" max="6" width="12.28515625" bestFit="1" customWidth="1"/>
    <col min="7" max="7" width="8.42578125" bestFit="1" customWidth="1"/>
    <col min="8" max="8" width="10.28515625" style="15" bestFit="1" customWidth="1"/>
    <col min="9" max="9" width="13.7109375" bestFit="1" customWidth="1"/>
    <col min="10" max="10" width="13.42578125" bestFit="1" customWidth="1"/>
    <col min="11" max="11" width="18.5703125" bestFit="1" customWidth="1"/>
    <col min="12" max="12" width="23.85546875" style="15" bestFit="1" customWidth="1"/>
    <col min="13" max="13" width="14.7109375" bestFit="1" customWidth="1"/>
    <col min="14" max="14" width="26.7109375" bestFit="1" customWidth="1"/>
    <col min="15" max="15" width="19" bestFit="1" customWidth="1"/>
    <col min="16" max="16" width="12.140625" bestFit="1" customWidth="1"/>
    <col min="17" max="17" width="18.42578125" bestFit="1" customWidth="1"/>
    <col min="18" max="18" width="13.85546875" bestFit="1" customWidth="1"/>
    <col min="19" max="19" width="16.7109375" bestFit="1" customWidth="1"/>
    <col min="20" max="20" width="18.5703125" bestFit="1" customWidth="1"/>
    <col min="21" max="21" width="16.7109375" bestFit="1" customWidth="1"/>
    <col min="22" max="23" width="18.5703125" bestFit="1" customWidth="1"/>
  </cols>
  <sheetData>
    <row r="1" spans="1:23" ht="23.45" customHeight="1" x14ac:dyDescent="0.4">
      <c r="A1" s="7" t="s">
        <v>61</v>
      </c>
      <c r="B1" s="8" t="s">
        <v>87</v>
      </c>
      <c r="C1" s="9" t="s">
        <v>108</v>
      </c>
      <c r="D1" s="12" t="s">
        <v>121</v>
      </c>
      <c r="E1" s="16" t="s">
        <v>136</v>
      </c>
      <c r="F1" s="10" t="s">
        <v>149</v>
      </c>
      <c r="G1" s="7" t="s">
        <v>160</v>
      </c>
      <c r="H1" s="21" t="s">
        <v>173</v>
      </c>
      <c r="I1" s="7" t="s">
        <v>188</v>
      </c>
      <c r="J1" s="9" t="s">
        <v>202</v>
      </c>
      <c r="K1" s="10" t="s">
        <v>215</v>
      </c>
      <c r="L1" s="16" t="s">
        <v>221</v>
      </c>
      <c r="M1" s="10" t="s">
        <v>226</v>
      </c>
      <c r="N1" s="7" t="s">
        <v>230</v>
      </c>
      <c r="O1" s="7" t="s">
        <v>234</v>
      </c>
      <c r="P1" s="7" t="s">
        <v>239</v>
      </c>
      <c r="Q1" s="9" t="s">
        <v>545</v>
      </c>
      <c r="R1" s="7" t="s">
        <v>244</v>
      </c>
      <c r="S1" s="9"/>
      <c r="T1" s="7"/>
      <c r="U1" s="7"/>
      <c r="V1" s="11"/>
      <c r="W1" s="11"/>
    </row>
    <row r="3" spans="1:23" x14ac:dyDescent="0.25">
      <c r="B3" s="13"/>
    </row>
    <row r="4" spans="1:23" x14ac:dyDescent="0.25">
      <c r="B4" s="13"/>
    </row>
    <row r="5" spans="1:23" x14ac:dyDescent="0.25">
      <c r="B5" s="13"/>
    </row>
    <row r="6" spans="1:23" x14ac:dyDescent="0.25">
      <c r="B6" s="13"/>
    </row>
    <row r="7" spans="1:23" x14ac:dyDescent="0.25">
      <c r="B7" s="13"/>
    </row>
    <row r="8" spans="1:23" x14ac:dyDescent="0.25">
      <c r="B8" s="13"/>
    </row>
    <row r="9" spans="1:23" x14ac:dyDescent="0.25">
      <c r="B9" s="13"/>
    </row>
    <row r="10" spans="1:23" x14ac:dyDescent="0.25">
      <c r="B10" s="13"/>
    </row>
    <row r="11" spans="1:23" x14ac:dyDescent="0.25">
      <c r="B11" s="13"/>
    </row>
    <row r="12" spans="1:23" x14ac:dyDescent="0.25">
      <c r="B12" s="13"/>
    </row>
    <row r="13" spans="1:23" x14ac:dyDescent="0.25">
      <c r="B13" s="13"/>
    </row>
    <row r="14" spans="1:23" x14ac:dyDescent="0.25">
      <c r="B14" s="13"/>
    </row>
    <row r="15" spans="1:23" x14ac:dyDescent="0.25">
      <c r="B15" s="13"/>
    </row>
    <row r="16" spans="1:23" x14ac:dyDescent="0.25">
      <c r="B16" s="13"/>
    </row>
    <row r="17" spans="2:2" x14ac:dyDescent="0.25">
      <c r="B17" s="13"/>
    </row>
    <row r="18" spans="2:2" x14ac:dyDescent="0.25">
      <c r="B18" s="13"/>
    </row>
    <row r="19" spans="2:2" x14ac:dyDescent="0.25">
      <c r="B19" s="13"/>
    </row>
    <row r="20" spans="2:2" x14ac:dyDescent="0.25">
      <c r="B20" s="13"/>
    </row>
    <row r="21" spans="2:2" x14ac:dyDescent="0.25">
      <c r="B21" s="13"/>
    </row>
    <row r="22" spans="2:2" x14ac:dyDescent="0.25">
      <c r="B22" s="13"/>
    </row>
    <row r="23" spans="2:2" x14ac:dyDescent="0.25">
      <c r="B23" s="13"/>
    </row>
    <row r="24" spans="2:2" x14ac:dyDescent="0.25">
      <c r="B24" s="13"/>
    </row>
    <row r="25" spans="2:2" x14ac:dyDescent="0.25">
      <c r="B25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Y1543"/>
  <sheetViews>
    <sheetView workbookViewId="0">
      <selection activeCell="A2" sqref="A2:S1543"/>
    </sheetView>
  </sheetViews>
  <sheetFormatPr defaultRowHeight="15" x14ac:dyDescent="0.25"/>
  <cols>
    <col min="1" max="11" width="9.140625" style="15" customWidth="1"/>
    <col min="12" max="12" width="6.28515625" style="15" bestFit="1" customWidth="1"/>
    <col min="13" max="13" width="4.5703125" style="15" bestFit="1" customWidth="1"/>
    <col min="14" max="14" width="3.5703125" style="15" bestFit="1" customWidth="1"/>
    <col min="15" max="15" width="25.7109375" style="15" bestFit="1" customWidth="1"/>
    <col min="16" max="19" width="9.140625" style="15" customWidth="1"/>
    <col min="25" max="25" width="20.85546875" bestFit="1" customWidth="1"/>
  </cols>
  <sheetData>
    <row r="1" spans="1:19" x14ac:dyDescent="0.25"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</row>
    <row r="2" spans="1:19" x14ac:dyDescent="0.25">
      <c r="A2" s="15">
        <v>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</row>
    <row r="3" spans="1:19" x14ac:dyDescent="0.25">
      <c r="A3" s="15">
        <v>1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 t="s">
        <v>764</v>
      </c>
      <c r="P3" s="66"/>
      <c r="Q3" s="66"/>
      <c r="R3" s="66"/>
      <c r="S3" s="66"/>
    </row>
    <row r="4" spans="1:19" x14ac:dyDescent="0.25">
      <c r="A4" s="15">
        <v>1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 t="s">
        <v>832</v>
      </c>
      <c r="P4" s="66"/>
      <c r="Q4" s="66"/>
      <c r="R4" s="66"/>
      <c r="S4" s="66"/>
    </row>
    <row r="5" spans="1:19" x14ac:dyDescent="0.25">
      <c r="A5" s="15">
        <v>1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 t="s">
        <v>842</v>
      </c>
      <c r="P5" s="66"/>
      <c r="Q5" s="66"/>
      <c r="R5" s="66"/>
      <c r="S5" s="66"/>
    </row>
    <row r="6" spans="1:19" x14ac:dyDescent="0.25">
      <c r="A6" s="15">
        <v>1</v>
      </c>
      <c r="B6" s="66"/>
      <c r="C6" s="66" t="s">
        <v>77</v>
      </c>
      <c r="D6" s="66"/>
      <c r="E6" s="66" t="s">
        <v>763</v>
      </c>
      <c r="F6" s="66">
        <v>14</v>
      </c>
      <c r="G6" s="66"/>
      <c r="H6" s="66">
        <v>7</v>
      </c>
      <c r="I6" s="66">
        <v>7.666666666666667</v>
      </c>
      <c r="J6" s="66" t="s">
        <v>850</v>
      </c>
      <c r="K6" s="66"/>
      <c r="L6" s="66"/>
      <c r="M6" s="66"/>
      <c r="N6" s="66"/>
      <c r="O6" s="66" t="s">
        <v>849</v>
      </c>
      <c r="P6" s="66"/>
      <c r="Q6" s="66">
        <v>1</v>
      </c>
      <c r="R6" s="66">
        <v>269</v>
      </c>
      <c r="S6" s="66"/>
    </row>
    <row r="7" spans="1:19" x14ac:dyDescent="0.25">
      <c r="A7" s="15">
        <v>1</v>
      </c>
      <c r="B7" s="66"/>
      <c r="C7" s="66">
        <v>2429</v>
      </c>
      <c r="D7" s="66"/>
      <c r="E7" s="66" t="s">
        <v>763</v>
      </c>
      <c r="F7" s="66">
        <v>14</v>
      </c>
      <c r="G7" s="66"/>
      <c r="H7" s="66"/>
      <c r="I7" s="66">
        <v>19.583333333333332</v>
      </c>
      <c r="J7" s="66" t="s">
        <v>850</v>
      </c>
      <c r="K7" s="66"/>
      <c r="L7" s="66"/>
      <c r="M7" s="66"/>
      <c r="N7" s="66"/>
      <c r="O7" s="66" t="s">
        <v>852</v>
      </c>
      <c r="P7" s="66"/>
      <c r="Q7" s="66">
        <v>1</v>
      </c>
      <c r="R7" s="66">
        <v>336</v>
      </c>
      <c r="S7" s="66"/>
    </row>
    <row r="8" spans="1:19" x14ac:dyDescent="0.25">
      <c r="A8" s="15">
        <v>1</v>
      </c>
      <c r="B8" s="66"/>
      <c r="C8" s="66">
        <v>2429</v>
      </c>
      <c r="D8" s="66"/>
      <c r="E8" s="66" t="s">
        <v>763</v>
      </c>
      <c r="F8" s="66">
        <v>1</v>
      </c>
      <c r="G8" s="66"/>
      <c r="H8" s="66" t="e">
        <v>#N/A</v>
      </c>
      <c r="I8" s="66"/>
      <c r="J8" s="66" t="s">
        <v>870</v>
      </c>
      <c r="K8" s="66" t="s">
        <v>757</v>
      </c>
      <c r="L8" s="66" t="s">
        <v>757</v>
      </c>
      <c r="M8" s="66" t="s">
        <v>757</v>
      </c>
      <c r="N8" s="66" t="s">
        <v>757</v>
      </c>
      <c r="O8" s="66" t="s">
        <v>869</v>
      </c>
      <c r="P8" s="66"/>
      <c r="Q8" s="66">
        <v>1</v>
      </c>
      <c r="R8" s="66">
        <v>568</v>
      </c>
      <c r="S8" s="66"/>
    </row>
    <row r="9" spans="1:19" x14ac:dyDescent="0.25">
      <c r="A9" s="15">
        <v>1</v>
      </c>
      <c r="B9" s="66"/>
      <c r="C9" s="66">
        <v>2429</v>
      </c>
      <c r="D9" s="66"/>
      <c r="E9" s="66" t="s">
        <v>763</v>
      </c>
      <c r="F9" s="66">
        <v>0</v>
      </c>
      <c r="G9" s="66"/>
      <c r="H9" s="66">
        <v>3</v>
      </c>
      <c r="I9" s="66" t="e">
        <v>#N/A</v>
      </c>
      <c r="J9" s="66" t="s">
        <v>870</v>
      </c>
      <c r="K9" s="66"/>
      <c r="L9" s="66"/>
      <c r="M9" s="66"/>
      <c r="N9" s="66"/>
      <c r="O9" s="66" t="s">
        <v>882</v>
      </c>
      <c r="P9" s="66"/>
      <c r="Q9" s="66">
        <v>1</v>
      </c>
      <c r="R9" s="66">
        <v>795</v>
      </c>
      <c r="S9" s="66"/>
    </row>
    <row r="10" spans="1:19" x14ac:dyDescent="0.25">
      <c r="A10" s="15">
        <v>1</v>
      </c>
      <c r="B10" s="66"/>
      <c r="C10" s="66">
        <v>2429</v>
      </c>
      <c r="D10" s="66"/>
      <c r="E10" s="66" t="s">
        <v>763</v>
      </c>
      <c r="F10" s="66">
        <v>3</v>
      </c>
      <c r="G10" s="66"/>
      <c r="H10" s="66">
        <v>3</v>
      </c>
      <c r="I10" s="66" t="e">
        <v>#N/A</v>
      </c>
      <c r="J10" s="66" t="s">
        <v>870</v>
      </c>
      <c r="K10" s="66"/>
      <c r="L10" s="66"/>
      <c r="M10" s="66"/>
      <c r="N10" s="66"/>
      <c r="O10" s="66" t="s">
        <v>894</v>
      </c>
      <c r="P10" s="66"/>
      <c r="Q10" s="66">
        <v>1</v>
      </c>
      <c r="R10" s="66">
        <v>1022</v>
      </c>
      <c r="S10" s="66"/>
    </row>
    <row r="11" spans="1:19" x14ac:dyDescent="0.25">
      <c r="A11" s="15">
        <v>1</v>
      </c>
      <c r="B11" s="66"/>
      <c r="C11" s="66">
        <v>2429</v>
      </c>
      <c r="D11" s="66"/>
      <c r="E11" s="66" t="s">
        <v>763</v>
      </c>
      <c r="F11" s="66">
        <v>3</v>
      </c>
      <c r="G11" s="66"/>
      <c r="H11" s="66" t="e">
        <v>#N/A</v>
      </c>
      <c r="I11" s="66"/>
      <c r="J11" s="66" t="s">
        <v>870</v>
      </c>
      <c r="K11" s="66"/>
      <c r="L11" s="66"/>
      <c r="M11" s="66"/>
      <c r="N11" s="66"/>
      <c r="O11" s="66" t="s">
        <v>906</v>
      </c>
      <c r="P11" s="66"/>
      <c r="Q11" s="66">
        <v>1</v>
      </c>
      <c r="R11" s="66">
        <v>1249</v>
      </c>
      <c r="S11" s="66"/>
    </row>
    <row r="12" spans="1:19" x14ac:dyDescent="0.25">
      <c r="A12" s="15">
        <v>1</v>
      </c>
      <c r="B12" s="66"/>
      <c r="C12" s="66">
        <v>2429</v>
      </c>
      <c r="D12" s="66"/>
      <c r="E12" s="66" t="s">
        <v>763</v>
      </c>
      <c r="F12" s="66">
        <v>5</v>
      </c>
      <c r="G12" s="66"/>
      <c r="H12" s="66" t="e">
        <v>#N/A</v>
      </c>
      <c r="I12" s="66"/>
      <c r="J12" s="66" t="s">
        <v>870</v>
      </c>
      <c r="K12" s="66"/>
      <c r="L12" s="66"/>
      <c r="M12" s="66"/>
      <c r="N12" s="66"/>
      <c r="O12" s="66" t="s">
        <v>908</v>
      </c>
      <c r="P12" s="66"/>
      <c r="Q12" s="66">
        <v>1</v>
      </c>
      <c r="R12" s="66">
        <v>1316</v>
      </c>
      <c r="S12" s="66"/>
    </row>
    <row r="13" spans="1:19" x14ac:dyDescent="0.25">
      <c r="A13" s="15">
        <v>2</v>
      </c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</row>
    <row r="14" spans="1:19" x14ac:dyDescent="0.25">
      <c r="A14" s="15">
        <v>2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 t="s">
        <v>775</v>
      </c>
      <c r="P14" s="66"/>
      <c r="Q14" s="66"/>
      <c r="R14" s="66"/>
      <c r="S14" s="66"/>
    </row>
    <row r="15" spans="1:19" x14ac:dyDescent="0.25">
      <c r="A15" s="15">
        <v>2</v>
      </c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 t="s">
        <v>836</v>
      </c>
      <c r="P15" s="66"/>
      <c r="Q15" s="66"/>
      <c r="R15" s="66"/>
      <c r="S15" s="66"/>
    </row>
    <row r="16" spans="1:19" x14ac:dyDescent="0.25">
      <c r="A16" s="15">
        <v>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 t="s">
        <v>842</v>
      </c>
      <c r="P16" s="66"/>
      <c r="Q16" s="66"/>
      <c r="R16" s="66"/>
      <c r="S16" s="66"/>
    </row>
    <row r="17" spans="1:19" x14ac:dyDescent="0.25">
      <c r="A17" s="15">
        <v>2</v>
      </c>
      <c r="B17" s="66"/>
      <c r="C17" s="66" t="s">
        <v>77</v>
      </c>
      <c r="D17" s="66"/>
      <c r="E17" s="66" t="s">
        <v>763</v>
      </c>
      <c r="F17" s="66">
        <v>8</v>
      </c>
      <c r="G17" s="66"/>
      <c r="H17" s="66">
        <v>7</v>
      </c>
      <c r="I17" s="66">
        <v>7.666666666666667</v>
      </c>
      <c r="J17" s="66" t="s">
        <v>850</v>
      </c>
      <c r="K17" s="66"/>
      <c r="L17" s="66"/>
      <c r="M17" s="66"/>
      <c r="N17" s="66"/>
      <c r="O17" s="66" t="s">
        <v>849</v>
      </c>
      <c r="P17" s="66"/>
      <c r="Q17" s="66">
        <v>1</v>
      </c>
      <c r="R17" s="66">
        <v>280</v>
      </c>
      <c r="S17" s="66"/>
    </row>
    <row r="18" spans="1:19" x14ac:dyDescent="0.25">
      <c r="A18" s="15">
        <v>2</v>
      </c>
      <c r="B18" s="66"/>
      <c r="C18" s="66">
        <v>2429</v>
      </c>
      <c r="D18" s="66"/>
      <c r="E18" s="66" t="s">
        <v>763</v>
      </c>
      <c r="F18" s="66">
        <v>8</v>
      </c>
      <c r="G18" s="66"/>
      <c r="H18" s="66"/>
      <c r="I18" s="66">
        <v>19.583333333333332</v>
      </c>
      <c r="J18" s="66" t="s">
        <v>850</v>
      </c>
      <c r="K18" s="66"/>
      <c r="L18" s="66"/>
      <c r="M18" s="66"/>
      <c r="N18" s="66"/>
      <c r="O18" s="66" t="s">
        <v>852</v>
      </c>
      <c r="P18" s="66"/>
      <c r="Q18" s="66">
        <v>1</v>
      </c>
      <c r="R18" s="66">
        <v>347</v>
      </c>
      <c r="S18" s="66"/>
    </row>
    <row r="19" spans="1:19" x14ac:dyDescent="0.25">
      <c r="A19" s="15">
        <v>2</v>
      </c>
      <c r="B19" s="66"/>
      <c r="C19" s="66">
        <v>2429</v>
      </c>
      <c r="D19" s="66"/>
      <c r="E19" s="66" t="s">
        <v>763</v>
      </c>
      <c r="F19" s="66">
        <v>1</v>
      </c>
      <c r="G19" s="66"/>
      <c r="H19" s="66" t="e">
        <v>#N/A</v>
      </c>
      <c r="I19" s="66"/>
      <c r="J19" s="66" t="s">
        <v>870</v>
      </c>
      <c r="K19" s="66" t="s">
        <v>757</v>
      </c>
      <c r="L19" s="66" t="s">
        <v>757</v>
      </c>
      <c r="M19" s="66" t="s">
        <v>757</v>
      </c>
      <c r="N19" s="66" t="s">
        <v>757</v>
      </c>
      <c r="O19" s="66" t="s">
        <v>869</v>
      </c>
      <c r="P19" s="66"/>
      <c r="Q19" s="66">
        <v>1</v>
      </c>
      <c r="R19" s="66">
        <v>579</v>
      </c>
      <c r="S19" s="66"/>
    </row>
    <row r="20" spans="1:19" x14ac:dyDescent="0.25">
      <c r="A20" s="15">
        <v>2</v>
      </c>
      <c r="B20" s="66"/>
      <c r="C20" s="66">
        <v>2429</v>
      </c>
      <c r="D20" s="66"/>
      <c r="E20" s="66" t="s">
        <v>763</v>
      </c>
      <c r="F20" s="66">
        <v>0</v>
      </c>
      <c r="G20" s="66"/>
      <c r="H20" s="66">
        <v>3</v>
      </c>
      <c r="I20" s="66" t="e">
        <v>#N/A</v>
      </c>
      <c r="J20" s="66" t="s">
        <v>870</v>
      </c>
      <c r="K20" s="66"/>
      <c r="L20" s="66"/>
      <c r="M20" s="66"/>
      <c r="N20" s="66"/>
      <c r="O20" s="66" t="s">
        <v>882</v>
      </c>
      <c r="P20" s="66"/>
      <c r="Q20" s="66">
        <v>1</v>
      </c>
      <c r="R20" s="66">
        <v>806</v>
      </c>
      <c r="S20" s="66"/>
    </row>
    <row r="21" spans="1:19" x14ac:dyDescent="0.25">
      <c r="A21" s="15">
        <v>2</v>
      </c>
      <c r="B21" s="66"/>
      <c r="C21" s="66">
        <v>2429</v>
      </c>
      <c r="D21" s="66"/>
      <c r="E21" s="66" t="s">
        <v>763</v>
      </c>
      <c r="F21" s="66">
        <v>3</v>
      </c>
      <c r="G21" s="66"/>
      <c r="H21" s="66">
        <v>3</v>
      </c>
      <c r="I21" s="66" t="e">
        <v>#N/A</v>
      </c>
      <c r="J21" s="66" t="s">
        <v>870</v>
      </c>
      <c r="K21" s="66"/>
      <c r="L21" s="66"/>
      <c r="M21" s="66"/>
      <c r="N21" s="66"/>
      <c r="O21" s="66" t="s">
        <v>894</v>
      </c>
      <c r="P21" s="66"/>
      <c r="Q21" s="66">
        <v>1</v>
      </c>
      <c r="R21" s="66">
        <v>1033</v>
      </c>
      <c r="S21" s="66"/>
    </row>
    <row r="22" spans="1:19" x14ac:dyDescent="0.25">
      <c r="A22" s="15">
        <v>2</v>
      </c>
      <c r="B22" s="66"/>
      <c r="C22" s="66">
        <v>2429</v>
      </c>
      <c r="D22" s="66"/>
      <c r="E22" s="66" t="s">
        <v>763</v>
      </c>
      <c r="F22" s="66">
        <v>3</v>
      </c>
      <c r="G22" s="66"/>
      <c r="H22" s="66" t="e">
        <v>#N/A</v>
      </c>
      <c r="I22" s="66"/>
      <c r="J22" s="66" t="s">
        <v>870</v>
      </c>
      <c r="K22" s="66"/>
      <c r="L22" s="66"/>
      <c r="M22" s="66"/>
      <c r="N22" s="66"/>
      <c r="O22" s="66" t="s">
        <v>906</v>
      </c>
      <c r="P22" s="66"/>
      <c r="Q22" s="66">
        <v>1</v>
      </c>
      <c r="R22" s="66">
        <v>1260</v>
      </c>
      <c r="S22" s="66"/>
    </row>
    <row r="23" spans="1:19" x14ac:dyDescent="0.25">
      <c r="A23" s="15">
        <v>2</v>
      </c>
      <c r="B23" s="66"/>
      <c r="C23" s="66">
        <v>2429</v>
      </c>
      <c r="D23" s="66"/>
      <c r="E23" s="66" t="s">
        <v>763</v>
      </c>
      <c r="F23" s="66">
        <v>5</v>
      </c>
      <c r="G23" s="66"/>
      <c r="H23" s="66" t="e">
        <v>#N/A</v>
      </c>
      <c r="I23" s="66"/>
      <c r="J23" s="66" t="s">
        <v>870</v>
      </c>
      <c r="K23" s="66"/>
      <c r="L23" s="66"/>
      <c r="M23" s="66"/>
      <c r="N23" s="66"/>
      <c r="O23" s="66" t="s">
        <v>908</v>
      </c>
      <c r="P23" s="66"/>
      <c r="Q23" s="66">
        <v>1</v>
      </c>
      <c r="R23" s="66">
        <v>1327</v>
      </c>
      <c r="S23" s="66"/>
    </row>
    <row r="24" spans="1:19" x14ac:dyDescent="0.25">
      <c r="A24" s="15">
        <v>3</v>
      </c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</row>
    <row r="25" spans="1:19" x14ac:dyDescent="0.25">
      <c r="A25" s="15">
        <v>3</v>
      </c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 t="s">
        <v>786</v>
      </c>
      <c r="P25" s="66"/>
      <c r="Q25" s="66"/>
      <c r="R25" s="66"/>
      <c r="S25" s="66"/>
    </row>
    <row r="26" spans="1:19" x14ac:dyDescent="0.25">
      <c r="A26" s="15">
        <v>3</v>
      </c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 t="s">
        <v>833</v>
      </c>
      <c r="P26" s="66"/>
      <c r="Q26" s="66"/>
      <c r="R26" s="66"/>
      <c r="S26" s="66"/>
    </row>
    <row r="27" spans="1:19" x14ac:dyDescent="0.25">
      <c r="A27" s="15">
        <v>3</v>
      </c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 t="s">
        <v>842</v>
      </c>
      <c r="P27" s="66"/>
      <c r="Q27" s="66"/>
      <c r="R27" s="66"/>
      <c r="S27" s="66"/>
    </row>
    <row r="28" spans="1:19" x14ac:dyDescent="0.25">
      <c r="A28" s="15">
        <v>3</v>
      </c>
      <c r="B28" s="66"/>
      <c r="C28" s="66" t="s">
        <v>77</v>
      </c>
      <c r="D28" s="66"/>
      <c r="E28" s="66" t="s">
        <v>763</v>
      </c>
      <c r="F28" s="66">
        <v>6</v>
      </c>
      <c r="G28" s="66"/>
      <c r="H28" s="66">
        <v>7</v>
      </c>
      <c r="I28" s="66">
        <v>7.666666666666667</v>
      </c>
      <c r="J28" s="66" t="s">
        <v>850</v>
      </c>
      <c r="K28" s="66"/>
      <c r="L28" s="66"/>
      <c r="M28" s="66"/>
      <c r="N28" s="66"/>
      <c r="O28" s="66" t="s">
        <v>849</v>
      </c>
      <c r="P28" s="66"/>
      <c r="Q28" s="66">
        <v>1</v>
      </c>
      <c r="R28" s="66">
        <v>291</v>
      </c>
      <c r="S28" s="66"/>
    </row>
    <row r="29" spans="1:19" x14ac:dyDescent="0.25">
      <c r="A29" s="15">
        <v>3</v>
      </c>
      <c r="B29" s="66"/>
      <c r="C29" s="66">
        <v>2429</v>
      </c>
      <c r="D29" s="66"/>
      <c r="E29" s="66" t="s">
        <v>763</v>
      </c>
      <c r="F29" s="66">
        <v>6</v>
      </c>
      <c r="G29" s="66"/>
      <c r="H29" s="66"/>
      <c r="I29" s="66">
        <v>19.583333333333332</v>
      </c>
      <c r="J29" s="66" t="s">
        <v>850</v>
      </c>
      <c r="K29" s="66"/>
      <c r="L29" s="66"/>
      <c r="M29" s="66"/>
      <c r="N29" s="66"/>
      <c r="O29" s="66" t="s">
        <v>852</v>
      </c>
      <c r="P29" s="66"/>
      <c r="Q29" s="66">
        <v>1</v>
      </c>
      <c r="R29" s="66">
        <v>391</v>
      </c>
      <c r="S29" s="66"/>
    </row>
    <row r="30" spans="1:19" x14ac:dyDescent="0.25">
      <c r="A30" s="15">
        <v>3</v>
      </c>
      <c r="B30" s="66"/>
      <c r="C30" s="66">
        <v>2429</v>
      </c>
      <c r="D30" s="66"/>
      <c r="E30" s="66" t="s">
        <v>763</v>
      </c>
      <c r="F30" s="66">
        <v>1</v>
      </c>
      <c r="G30" s="66"/>
      <c r="H30" s="66" t="e">
        <v>#N/A</v>
      </c>
      <c r="I30" s="66"/>
      <c r="J30" s="66" t="s">
        <v>870</v>
      </c>
      <c r="K30" s="66" t="s">
        <v>757</v>
      </c>
      <c r="L30" s="66" t="s">
        <v>757</v>
      </c>
      <c r="M30" s="66" t="s">
        <v>757</v>
      </c>
      <c r="N30" s="66" t="s">
        <v>757</v>
      </c>
      <c r="O30" s="66" t="s">
        <v>869</v>
      </c>
      <c r="P30" s="66"/>
      <c r="Q30" s="66">
        <v>1</v>
      </c>
      <c r="R30" s="66">
        <v>623</v>
      </c>
      <c r="S30" s="66"/>
    </row>
    <row r="31" spans="1:19" x14ac:dyDescent="0.25">
      <c r="A31" s="15">
        <v>3</v>
      </c>
      <c r="B31" s="66"/>
      <c r="C31" s="66">
        <v>2429</v>
      </c>
      <c r="D31" s="66"/>
      <c r="E31" s="66" t="s">
        <v>763</v>
      </c>
      <c r="F31" s="66">
        <v>0</v>
      </c>
      <c r="G31" s="66"/>
      <c r="H31" s="66">
        <v>3</v>
      </c>
      <c r="I31" s="66" t="e">
        <v>#N/A</v>
      </c>
      <c r="J31" s="66" t="s">
        <v>870</v>
      </c>
      <c r="K31" s="66"/>
      <c r="L31" s="66"/>
      <c r="M31" s="66"/>
      <c r="N31" s="66"/>
      <c r="O31" s="66" t="s">
        <v>882</v>
      </c>
      <c r="P31" s="66"/>
      <c r="Q31" s="66">
        <v>1</v>
      </c>
      <c r="R31" s="66">
        <v>850</v>
      </c>
      <c r="S31" s="66"/>
    </row>
    <row r="32" spans="1:19" x14ac:dyDescent="0.25">
      <c r="A32" s="15">
        <v>3</v>
      </c>
      <c r="B32" s="66"/>
      <c r="C32" s="66">
        <v>2429</v>
      </c>
      <c r="D32" s="66"/>
      <c r="E32" s="66" t="s">
        <v>763</v>
      </c>
      <c r="F32" s="66">
        <v>3</v>
      </c>
      <c r="G32" s="66"/>
      <c r="H32" s="66">
        <v>3</v>
      </c>
      <c r="I32" s="66" t="e">
        <v>#N/A</v>
      </c>
      <c r="J32" s="66" t="s">
        <v>870</v>
      </c>
      <c r="K32" s="66"/>
      <c r="L32" s="66"/>
      <c r="M32" s="66"/>
      <c r="N32" s="66"/>
      <c r="O32" s="66" t="s">
        <v>894</v>
      </c>
      <c r="P32" s="66"/>
      <c r="Q32" s="66">
        <v>1</v>
      </c>
      <c r="R32" s="66">
        <v>1077</v>
      </c>
      <c r="S32" s="66"/>
    </row>
    <row r="33" spans="1:19" x14ac:dyDescent="0.25">
      <c r="A33" s="15">
        <v>3</v>
      </c>
      <c r="B33" s="66"/>
      <c r="C33" s="66">
        <v>2429</v>
      </c>
      <c r="D33" s="66"/>
      <c r="E33" s="66" t="s">
        <v>763</v>
      </c>
      <c r="F33" s="66">
        <v>3</v>
      </c>
      <c r="G33" s="66"/>
      <c r="H33" s="66" t="e">
        <v>#N/A</v>
      </c>
      <c r="I33" s="66"/>
      <c r="J33" s="66" t="s">
        <v>870</v>
      </c>
      <c r="K33" s="66"/>
      <c r="L33" s="66"/>
      <c r="M33" s="66"/>
      <c r="N33" s="66"/>
      <c r="O33" s="66" t="s">
        <v>906</v>
      </c>
      <c r="P33" s="66"/>
      <c r="Q33" s="66">
        <v>1</v>
      </c>
      <c r="R33" s="66">
        <v>1271</v>
      </c>
      <c r="S33" s="66"/>
    </row>
    <row r="34" spans="1:19" x14ac:dyDescent="0.25">
      <c r="A34" s="15">
        <v>3</v>
      </c>
      <c r="B34" s="66"/>
      <c r="C34" s="66">
        <v>2429</v>
      </c>
      <c r="D34" s="66"/>
      <c r="E34" s="66" t="s">
        <v>763</v>
      </c>
      <c r="F34" s="66">
        <v>5</v>
      </c>
      <c r="G34" s="66"/>
      <c r="H34" s="66" t="e">
        <v>#N/A</v>
      </c>
      <c r="I34" s="66"/>
      <c r="J34" s="66" t="s">
        <v>870</v>
      </c>
      <c r="K34" s="66"/>
      <c r="L34" s="66"/>
      <c r="M34" s="66"/>
      <c r="N34" s="66"/>
      <c r="O34" s="66" t="s">
        <v>908</v>
      </c>
      <c r="P34" s="66"/>
      <c r="Q34" s="66">
        <v>1</v>
      </c>
      <c r="R34" s="66">
        <v>1371</v>
      </c>
      <c r="S34" s="66"/>
    </row>
    <row r="35" spans="1:19" x14ac:dyDescent="0.25">
      <c r="A35" s="15">
        <v>4</v>
      </c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1:19" x14ac:dyDescent="0.25">
      <c r="A36" s="15">
        <v>4</v>
      </c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 t="s">
        <v>797</v>
      </c>
      <c r="P36" s="66"/>
      <c r="Q36" s="66"/>
      <c r="R36" s="66"/>
      <c r="S36" s="66"/>
    </row>
    <row r="37" spans="1:19" x14ac:dyDescent="0.25">
      <c r="A37" s="15">
        <v>4</v>
      </c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 t="s">
        <v>832</v>
      </c>
      <c r="P37" s="66"/>
      <c r="Q37" s="66"/>
      <c r="R37" s="66"/>
      <c r="S37" s="66"/>
    </row>
    <row r="38" spans="1:19" x14ac:dyDescent="0.25">
      <c r="A38" s="15">
        <v>4</v>
      </c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 t="s">
        <v>842</v>
      </c>
      <c r="P38" s="66"/>
      <c r="Q38" s="66"/>
      <c r="R38" s="66"/>
      <c r="S38" s="66"/>
    </row>
    <row r="39" spans="1:19" x14ac:dyDescent="0.25">
      <c r="A39" s="15">
        <v>4</v>
      </c>
      <c r="B39" s="66"/>
      <c r="C39" s="66" t="s">
        <v>77</v>
      </c>
      <c r="D39" s="66"/>
      <c r="E39" s="66" t="s">
        <v>763</v>
      </c>
      <c r="F39" s="66">
        <v>14</v>
      </c>
      <c r="G39" s="66"/>
      <c r="H39" s="66">
        <v>7</v>
      </c>
      <c r="I39" s="66">
        <v>7.666666666666667</v>
      </c>
      <c r="J39" s="66" t="s">
        <v>850</v>
      </c>
      <c r="K39" s="66"/>
      <c r="L39" s="66"/>
      <c r="M39" s="66"/>
      <c r="N39" s="66"/>
      <c r="O39" s="66" t="s">
        <v>849</v>
      </c>
      <c r="P39" s="66"/>
      <c r="Q39" s="66">
        <v>1</v>
      </c>
      <c r="R39" s="66">
        <v>302</v>
      </c>
      <c r="S39" s="66"/>
    </row>
    <row r="40" spans="1:19" x14ac:dyDescent="0.25">
      <c r="A40" s="15">
        <v>4</v>
      </c>
      <c r="B40" s="66"/>
      <c r="C40" s="66">
        <v>2429</v>
      </c>
      <c r="D40" s="66"/>
      <c r="E40" s="66" t="s">
        <v>763</v>
      </c>
      <c r="F40" s="66">
        <v>14</v>
      </c>
      <c r="G40" s="66"/>
      <c r="H40" s="66"/>
      <c r="I40" s="66">
        <v>19.583333333333332</v>
      </c>
      <c r="J40" s="66" t="s">
        <v>850</v>
      </c>
      <c r="K40" s="66"/>
      <c r="L40" s="66"/>
      <c r="M40" s="66"/>
      <c r="N40" s="66"/>
      <c r="O40" s="66" t="s">
        <v>852</v>
      </c>
      <c r="P40" s="66"/>
      <c r="Q40" s="66">
        <v>1</v>
      </c>
      <c r="R40" s="66">
        <v>445</v>
      </c>
      <c r="S40" s="66"/>
    </row>
    <row r="41" spans="1:19" x14ac:dyDescent="0.25">
      <c r="A41" s="15">
        <v>4</v>
      </c>
      <c r="B41" s="66"/>
      <c r="C41" s="66">
        <v>2429</v>
      </c>
      <c r="D41" s="66"/>
      <c r="E41" s="66" t="s">
        <v>763</v>
      </c>
      <c r="F41" s="66">
        <v>1</v>
      </c>
      <c r="G41" s="66"/>
      <c r="H41" s="66" t="e">
        <v>#N/A</v>
      </c>
      <c r="I41" s="66"/>
      <c r="J41" s="66" t="s">
        <v>870</v>
      </c>
      <c r="K41" s="66" t="s">
        <v>757</v>
      </c>
      <c r="L41" s="66" t="s">
        <v>757</v>
      </c>
      <c r="M41" s="66" t="s">
        <v>757</v>
      </c>
      <c r="N41" s="66" t="s">
        <v>757</v>
      </c>
      <c r="O41" s="66" t="s">
        <v>869</v>
      </c>
      <c r="P41" s="66"/>
      <c r="Q41" s="66">
        <v>1</v>
      </c>
      <c r="R41" s="66">
        <v>677</v>
      </c>
      <c r="S41" s="66"/>
    </row>
    <row r="42" spans="1:19" x14ac:dyDescent="0.25">
      <c r="A42" s="15">
        <v>4</v>
      </c>
      <c r="B42" s="66"/>
      <c r="C42" s="66">
        <v>2429</v>
      </c>
      <c r="D42" s="66"/>
      <c r="E42" s="66" t="s">
        <v>763</v>
      </c>
      <c r="F42" s="66">
        <v>0</v>
      </c>
      <c r="G42" s="66"/>
      <c r="H42" s="66">
        <v>3</v>
      </c>
      <c r="I42" s="66" t="e">
        <v>#N/A</v>
      </c>
      <c r="J42" s="66" t="s">
        <v>870</v>
      </c>
      <c r="K42" s="66"/>
      <c r="L42" s="66"/>
      <c r="M42" s="66"/>
      <c r="N42" s="66"/>
      <c r="O42" s="66" t="s">
        <v>882</v>
      </c>
      <c r="P42" s="66"/>
      <c r="Q42" s="66">
        <v>1</v>
      </c>
      <c r="R42" s="66">
        <v>904</v>
      </c>
      <c r="S42" s="66"/>
    </row>
    <row r="43" spans="1:19" x14ac:dyDescent="0.25">
      <c r="A43" s="15">
        <v>4</v>
      </c>
      <c r="B43" s="66"/>
      <c r="C43" s="66">
        <v>2429</v>
      </c>
      <c r="D43" s="66"/>
      <c r="E43" s="66" t="s">
        <v>763</v>
      </c>
      <c r="F43" s="66">
        <v>3</v>
      </c>
      <c r="G43" s="66"/>
      <c r="H43" s="66">
        <v>3</v>
      </c>
      <c r="I43" s="66" t="e">
        <v>#N/A</v>
      </c>
      <c r="J43" s="66" t="s">
        <v>870</v>
      </c>
      <c r="K43" s="66"/>
      <c r="L43" s="66"/>
      <c r="M43" s="66"/>
      <c r="N43" s="66"/>
      <c r="O43" s="66" t="s">
        <v>894</v>
      </c>
      <c r="P43" s="66"/>
      <c r="Q43" s="66">
        <v>1</v>
      </c>
      <c r="R43" s="66">
        <v>1131</v>
      </c>
      <c r="S43" s="66"/>
    </row>
    <row r="44" spans="1:19" x14ac:dyDescent="0.25">
      <c r="A44" s="15">
        <v>4</v>
      </c>
      <c r="B44" s="66"/>
      <c r="C44" s="66">
        <v>2429</v>
      </c>
      <c r="D44" s="66"/>
      <c r="E44" s="66" t="s">
        <v>763</v>
      </c>
      <c r="F44" s="66">
        <v>3</v>
      </c>
      <c r="G44" s="66"/>
      <c r="H44" s="66" t="e">
        <v>#N/A</v>
      </c>
      <c r="I44" s="66"/>
      <c r="J44" s="66" t="s">
        <v>870</v>
      </c>
      <c r="K44" s="66"/>
      <c r="L44" s="66"/>
      <c r="M44" s="66"/>
      <c r="N44" s="66"/>
      <c r="O44" s="66" t="s">
        <v>906</v>
      </c>
      <c r="P44" s="66"/>
      <c r="Q44" s="66">
        <v>1</v>
      </c>
      <c r="R44" s="66">
        <v>1282</v>
      </c>
      <c r="S44" s="66"/>
    </row>
    <row r="45" spans="1:19" x14ac:dyDescent="0.25">
      <c r="A45" s="15">
        <v>4</v>
      </c>
      <c r="B45" s="66"/>
      <c r="C45" s="66">
        <v>2429</v>
      </c>
      <c r="D45" s="66"/>
      <c r="E45" s="66" t="s">
        <v>763</v>
      </c>
      <c r="F45" s="66">
        <v>5</v>
      </c>
      <c r="G45" s="66"/>
      <c r="H45" s="66" t="e">
        <v>#N/A</v>
      </c>
      <c r="I45" s="66"/>
      <c r="J45" s="66" t="s">
        <v>870</v>
      </c>
      <c r="K45" s="66"/>
      <c r="L45" s="66"/>
      <c r="M45" s="66"/>
      <c r="N45" s="66"/>
      <c r="O45" s="66" t="s">
        <v>908</v>
      </c>
      <c r="P45" s="66"/>
      <c r="Q45" s="66">
        <v>1</v>
      </c>
      <c r="R45" s="66">
        <v>1425</v>
      </c>
      <c r="S45" s="66"/>
    </row>
    <row r="46" spans="1:19" x14ac:dyDescent="0.25">
      <c r="A46" s="15">
        <v>5</v>
      </c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</row>
    <row r="47" spans="1:19" x14ac:dyDescent="0.25">
      <c r="A47" s="15">
        <v>5</v>
      </c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 t="s">
        <v>808</v>
      </c>
      <c r="P47" s="66"/>
      <c r="Q47" s="66"/>
      <c r="R47" s="66"/>
      <c r="S47" s="66"/>
    </row>
    <row r="48" spans="1:19" x14ac:dyDescent="0.25">
      <c r="A48" s="15">
        <v>5</v>
      </c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 t="s">
        <v>832</v>
      </c>
      <c r="P48" s="66"/>
      <c r="Q48" s="66"/>
      <c r="R48" s="66"/>
      <c r="S48" s="66"/>
    </row>
    <row r="49" spans="1:19" x14ac:dyDescent="0.25">
      <c r="A49" s="15">
        <v>5</v>
      </c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 t="s">
        <v>842</v>
      </c>
      <c r="P49" s="66"/>
      <c r="Q49" s="66"/>
      <c r="R49" s="66"/>
      <c r="S49" s="66"/>
    </row>
    <row r="50" spans="1:19" x14ac:dyDescent="0.25">
      <c r="A50" s="15">
        <v>5</v>
      </c>
      <c r="B50" s="66"/>
      <c r="C50" s="66" t="s">
        <v>77</v>
      </c>
      <c r="D50" s="66"/>
      <c r="E50" s="66" t="s">
        <v>763</v>
      </c>
      <c r="F50" s="66">
        <v>14</v>
      </c>
      <c r="G50" s="66"/>
      <c r="H50" s="66">
        <v>7</v>
      </c>
      <c r="I50" s="66">
        <v>7.666666666666667</v>
      </c>
      <c r="J50" s="66" t="s">
        <v>850</v>
      </c>
      <c r="K50" s="66"/>
      <c r="L50" s="66"/>
      <c r="M50" s="66"/>
      <c r="N50" s="66"/>
      <c r="O50" s="66" t="s">
        <v>849</v>
      </c>
      <c r="P50" s="66"/>
      <c r="Q50" s="66">
        <v>1</v>
      </c>
      <c r="R50" s="66">
        <v>313</v>
      </c>
      <c r="S50" s="66"/>
    </row>
    <row r="51" spans="1:19" x14ac:dyDescent="0.25">
      <c r="A51" s="15">
        <v>5</v>
      </c>
      <c r="B51" s="66"/>
      <c r="C51" s="66">
        <v>2429</v>
      </c>
      <c r="D51" s="66"/>
      <c r="E51" s="66" t="s">
        <v>763</v>
      </c>
      <c r="F51" s="66">
        <v>14</v>
      </c>
      <c r="G51" s="66"/>
      <c r="H51" s="66"/>
      <c r="I51" s="66">
        <v>19.583333333333332</v>
      </c>
      <c r="J51" s="66" t="s">
        <v>850</v>
      </c>
      <c r="K51" s="66"/>
      <c r="L51" s="66"/>
      <c r="M51" s="66"/>
      <c r="N51" s="66"/>
      <c r="O51" s="66" t="s">
        <v>852</v>
      </c>
      <c r="P51" s="66"/>
      <c r="Q51" s="66">
        <v>1</v>
      </c>
      <c r="R51" s="66">
        <v>500</v>
      </c>
      <c r="S51" s="66"/>
    </row>
    <row r="52" spans="1:19" x14ac:dyDescent="0.25">
      <c r="A52" s="15">
        <v>5</v>
      </c>
      <c r="B52" s="66"/>
      <c r="C52" s="66">
        <v>2429</v>
      </c>
      <c r="D52" s="66"/>
      <c r="E52" s="66" t="s">
        <v>763</v>
      </c>
      <c r="F52" s="66">
        <v>1</v>
      </c>
      <c r="G52" s="66"/>
      <c r="H52" s="66" t="e">
        <v>#N/A</v>
      </c>
      <c r="I52" s="66"/>
      <c r="J52" s="66" t="s">
        <v>870</v>
      </c>
      <c r="K52" s="66" t="s">
        <v>757</v>
      </c>
      <c r="L52" s="66" t="s">
        <v>757</v>
      </c>
      <c r="M52" s="66" t="s">
        <v>757</v>
      </c>
      <c r="N52" s="66" t="s">
        <v>757</v>
      </c>
      <c r="O52" s="66" t="s">
        <v>869</v>
      </c>
      <c r="P52" s="66"/>
      <c r="Q52" s="66">
        <v>1</v>
      </c>
      <c r="R52" s="66">
        <v>732</v>
      </c>
      <c r="S52" s="66"/>
    </row>
    <row r="53" spans="1:19" x14ac:dyDescent="0.25">
      <c r="A53" s="15">
        <v>5</v>
      </c>
      <c r="B53" s="66"/>
      <c r="C53" s="66">
        <v>2429</v>
      </c>
      <c r="D53" s="66"/>
      <c r="E53" s="66" t="s">
        <v>763</v>
      </c>
      <c r="F53" s="66">
        <v>0</v>
      </c>
      <c r="G53" s="66"/>
      <c r="H53" s="66">
        <v>3</v>
      </c>
      <c r="I53" s="66" t="e">
        <v>#N/A</v>
      </c>
      <c r="J53" s="66" t="s">
        <v>870</v>
      </c>
      <c r="K53" s="66"/>
      <c r="L53" s="66"/>
      <c r="M53" s="66"/>
      <c r="N53" s="66"/>
      <c r="O53" s="66" t="s">
        <v>882</v>
      </c>
      <c r="P53" s="66"/>
      <c r="Q53" s="66">
        <v>1</v>
      </c>
      <c r="R53" s="66">
        <v>959</v>
      </c>
      <c r="S53" s="66"/>
    </row>
    <row r="54" spans="1:19" x14ac:dyDescent="0.25">
      <c r="A54" s="15">
        <v>5</v>
      </c>
      <c r="B54" s="66"/>
      <c r="C54" s="66">
        <v>2429</v>
      </c>
      <c r="D54" s="66"/>
      <c r="E54" s="66" t="s">
        <v>763</v>
      </c>
      <c r="F54" s="66">
        <v>3</v>
      </c>
      <c r="G54" s="66"/>
      <c r="H54" s="66">
        <v>3</v>
      </c>
      <c r="I54" s="66" t="e">
        <v>#N/A</v>
      </c>
      <c r="J54" s="66" t="s">
        <v>870</v>
      </c>
      <c r="K54" s="66"/>
      <c r="L54" s="66"/>
      <c r="M54" s="66"/>
      <c r="N54" s="66"/>
      <c r="O54" s="66" t="s">
        <v>894</v>
      </c>
      <c r="P54" s="66"/>
      <c r="Q54" s="66">
        <v>1</v>
      </c>
      <c r="R54" s="66">
        <v>1186</v>
      </c>
      <c r="S54" s="66"/>
    </row>
    <row r="55" spans="1:19" x14ac:dyDescent="0.25">
      <c r="A55" s="15">
        <v>5</v>
      </c>
      <c r="B55" s="66"/>
      <c r="C55" s="66">
        <v>2429</v>
      </c>
      <c r="D55" s="66"/>
      <c r="E55" s="66" t="s">
        <v>763</v>
      </c>
      <c r="F55" s="66">
        <v>3</v>
      </c>
      <c r="G55" s="66"/>
      <c r="H55" s="66" t="e">
        <v>#N/A</v>
      </c>
      <c r="I55" s="66"/>
      <c r="J55" s="66" t="s">
        <v>870</v>
      </c>
      <c r="K55" s="66"/>
      <c r="L55" s="66"/>
      <c r="M55" s="66"/>
      <c r="N55" s="66"/>
      <c r="O55" s="66" t="s">
        <v>906</v>
      </c>
      <c r="P55" s="66"/>
      <c r="Q55" s="66">
        <v>1</v>
      </c>
      <c r="R55" s="66">
        <v>1293</v>
      </c>
      <c r="S55" s="66"/>
    </row>
    <row r="56" spans="1:19" x14ac:dyDescent="0.25">
      <c r="A56" s="15">
        <v>5</v>
      </c>
      <c r="B56" s="66"/>
      <c r="C56" s="66">
        <v>2429</v>
      </c>
      <c r="D56" s="66"/>
      <c r="E56" s="66" t="s">
        <v>763</v>
      </c>
      <c r="F56" s="66">
        <v>5</v>
      </c>
      <c r="G56" s="66"/>
      <c r="H56" s="66" t="e">
        <v>#N/A</v>
      </c>
      <c r="I56" s="66"/>
      <c r="J56" s="66" t="s">
        <v>870</v>
      </c>
      <c r="K56" s="66"/>
      <c r="L56" s="66"/>
      <c r="M56" s="66"/>
      <c r="N56" s="66"/>
      <c r="O56" s="66" t="s">
        <v>908</v>
      </c>
      <c r="P56" s="66"/>
      <c r="Q56" s="66">
        <v>1</v>
      </c>
      <c r="R56" s="66">
        <v>1480</v>
      </c>
      <c r="S56" s="66"/>
    </row>
    <row r="57" spans="1:19" x14ac:dyDescent="0.25">
      <c r="A57" s="15">
        <v>6</v>
      </c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</row>
    <row r="58" spans="1:19" x14ac:dyDescent="0.25">
      <c r="A58" s="15">
        <v>6</v>
      </c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 t="s">
        <v>819</v>
      </c>
      <c r="P58" s="66"/>
      <c r="Q58" s="66"/>
      <c r="R58" s="66"/>
      <c r="S58" s="66"/>
    </row>
    <row r="59" spans="1:19" x14ac:dyDescent="0.25">
      <c r="A59" s="15">
        <v>6</v>
      </c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 t="s">
        <v>834</v>
      </c>
      <c r="P59" s="66"/>
      <c r="Q59" s="66"/>
      <c r="R59" s="66"/>
      <c r="S59" s="66"/>
    </row>
    <row r="60" spans="1:19" x14ac:dyDescent="0.25">
      <c r="A60" s="15">
        <v>6</v>
      </c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 t="s">
        <v>842</v>
      </c>
      <c r="P60" s="66"/>
      <c r="Q60" s="66"/>
      <c r="R60" s="66"/>
      <c r="S60" s="66"/>
    </row>
    <row r="61" spans="1:19" x14ac:dyDescent="0.25">
      <c r="A61" s="15">
        <v>6</v>
      </c>
      <c r="B61" s="66"/>
      <c r="C61" s="66" t="s">
        <v>77</v>
      </c>
      <c r="D61" s="66"/>
      <c r="E61" s="66" t="s">
        <v>763</v>
      </c>
      <c r="F61" s="66">
        <v>12</v>
      </c>
      <c r="G61" s="66"/>
      <c r="H61" s="66">
        <v>9</v>
      </c>
      <c r="I61" s="66">
        <v>9.0833333333333339</v>
      </c>
      <c r="J61" s="66" t="s">
        <v>850</v>
      </c>
      <c r="K61" s="66"/>
      <c r="L61" s="66"/>
      <c r="M61" s="66"/>
      <c r="N61" s="66"/>
      <c r="O61" s="66" t="s">
        <v>849</v>
      </c>
      <c r="P61" s="66"/>
      <c r="Q61" s="66">
        <v>1</v>
      </c>
      <c r="R61" s="66">
        <v>324</v>
      </c>
      <c r="S61" s="66"/>
    </row>
    <row r="62" spans="1:19" x14ac:dyDescent="0.25">
      <c r="A62" s="15">
        <v>6</v>
      </c>
      <c r="B62" s="66"/>
      <c r="C62" s="66">
        <v>2429</v>
      </c>
      <c r="D62" s="66"/>
      <c r="E62" s="66" t="s">
        <v>763</v>
      </c>
      <c r="F62" s="66">
        <v>12</v>
      </c>
      <c r="G62" s="66"/>
      <c r="H62" s="66"/>
      <c r="I62" s="66">
        <v>19.583333333333332</v>
      </c>
      <c r="J62" s="66" t="s">
        <v>850</v>
      </c>
      <c r="K62" s="66"/>
      <c r="L62" s="66"/>
      <c r="M62" s="66"/>
      <c r="N62" s="66"/>
      <c r="O62" s="66" t="s">
        <v>852</v>
      </c>
      <c r="P62" s="66"/>
      <c r="Q62" s="66">
        <v>1</v>
      </c>
      <c r="R62" s="66">
        <v>511</v>
      </c>
      <c r="S62" s="66"/>
    </row>
    <row r="63" spans="1:19" x14ac:dyDescent="0.25">
      <c r="A63" s="15">
        <v>6</v>
      </c>
      <c r="B63" s="66"/>
      <c r="C63" s="66">
        <v>2429</v>
      </c>
      <c r="D63" s="66"/>
      <c r="E63" s="66" t="s">
        <v>763</v>
      </c>
      <c r="F63" s="66">
        <v>1</v>
      </c>
      <c r="G63" s="66"/>
      <c r="H63" s="66" t="e">
        <v>#N/A</v>
      </c>
      <c r="I63" s="66"/>
      <c r="J63" s="66" t="s">
        <v>870</v>
      </c>
      <c r="K63" s="66" t="s">
        <v>757</v>
      </c>
      <c r="L63" s="66" t="s">
        <v>757</v>
      </c>
      <c r="M63" s="66" t="s">
        <v>757</v>
      </c>
      <c r="N63" s="66" t="s">
        <v>757</v>
      </c>
      <c r="O63" s="66" t="s">
        <v>869</v>
      </c>
      <c r="P63" s="66"/>
      <c r="Q63" s="66">
        <v>1</v>
      </c>
      <c r="R63" s="66">
        <v>743</v>
      </c>
      <c r="S63" s="66"/>
    </row>
    <row r="64" spans="1:19" x14ac:dyDescent="0.25">
      <c r="A64" s="15">
        <v>6</v>
      </c>
      <c r="B64" s="66"/>
      <c r="C64" s="66">
        <v>2429</v>
      </c>
      <c r="D64" s="66"/>
      <c r="E64" s="66" t="s">
        <v>763</v>
      </c>
      <c r="F64" s="66">
        <v>0</v>
      </c>
      <c r="G64" s="66"/>
      <c r="H64" s="66">
        <v>3</v>
      </c>
      <c r="I64" s="66" t="e">
        <v>#N/A</v>
      </c>
      <c r="J64" s="66" t="s">
        <v>870</v>
      </c>
      <c r="K64" s="66"/>
      <c r="L64" s="66"/>
      <c r="M64" s="66"/>
      <c r="N64" s="66"/>
      <c r="O64" s="66" t="s">
        <v>882</v>
      </c>
      <c r="P64" s="66"/>
      <c r="Q64" s="66">
        <v>1</v>
      </c>
      <c r="R64" s="66">
        <v>970</v>
      </c>
      <c r="S64" s="66"/>
    </row>
    <row r="65" spans="1:19" x14ac:dyDescent="0.25">
      <c r="A65" s="15">
        <v>6</v>
      </c>
      <c r="B65" s="66"/>
      <c r="C65" s="66">
        <v>2429</v>
      </c>
      <c r="D65" s="66"/>
      <c r="E65" s="66" t="s">
        <v>763</v>
      </c>
      <c r="F65" s="66">
        <v>3</v>
      </c>
      <c r="G65" s="66"/>
      <c r="H65" s="66">
        <v>3</v>
      </c>
      <c r="I65" s="66" t="e">
        <v>#N/A</v>
      </c>
      <c r="J65" s="66" t="s">
        <v>870</v>
      </c>
      <c r="K65" s="66"/>
      <c r="L65" s="66"/>
      <c r="M65" s="66"/>
      <c r="N65" s="66"/>
      <c r="O65" s="66" t="s">
        <v>894</v>
      </c>
      <c r="P65" s="66"/>
      <c r="Q65" s="66">
        <v>1</v>
      </c>
      <c r="R65" s="66">
        <v>1197</v>
      </c>
      <c r="S65" s="66"/>
    </row>
    <row r="66" spans="1:19" x14ac:dyDescent="0.25">
      <c r="A66" s="15">
        <v>6</v>
      </c>
      <c r="B66" s="66"/>
      <c r="C66" s="66">
        <v>2429</v>
      </c>
      <c r="D66" s="66"/>
      <c r="E66" s="66" t="s">
        <v>763</v>
      </c>
      <c r="F66" s="66">
        <v>3</v>
      </c>
      <c r="G66" s="66"/>
      <c r="H66" s="66" t="e">
        <v>#N/A</v>
      </c>
      <c r="I66" s="66"/>
      <c r="J66" s="66" t="s">
        <v>870</v>
      </c>
      <c r="K66" s="66"/>
      <c r="L66" s="66"/>
      <c r="M66" s="66"/>
      <c r="N66" s="66"/>
      <c r="O66" s="66" t="s">
        <v>906</v>
      </c>
      <c r="P66" s="66"/>
      <c r="Q66" s="66">
        <v>1</v>
      </c>
      <c r="R66" s="66">
        <v>1304</v>
      </c>
      <c r="S66" s="66"/>
    </row>
    <row r="67" spans="1:19" x14ac:dyDescent="0.25">
      <c r="A67" s="15">
        <v>6</v>
      </c>
      <c r="B67" s="66"/>
      <c r="C67" s="66">
        <v>2429</v>
      </c>
      <c r="D67" s="66"/>
      <c r="E67" s="66" t="s">
        <v>763</v>
      </c>
      <c r="F67" s="66">
        <v>5</v>
      </c>
      <c r="G67" s="66"/>
      <c r="H67" s="66" t="e">
        <v>#N/A</v>
      </c>
      <c r="I67" s="66"/>
      <c r="J67" s="66" t="s">
        <v>870</v>
      </c>
      <c r="K67" s="66"/>
      <c r="L67" s="66"/>
      <c r="M67" s="66"/>
      <c r="N67" s="66"/>
      <c r="O67" s="66" t="s">
        <v>908</v>
      </c>
      <c r="P67" s="66"/>
      <c r="Q67" s="66">
        <v>1</v>
      </c>
      <c r="R67" s="66">
        <v>1491</v>
      </c>
      <c r="S67" s="66"/>
    </row>
    <row r="68" spans="1:19" x14ac:dyDescent="0.25">
      <c r="A68" s="15">
        <v>7</v>
      </c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</row>
    <row r="69" spans="1:19" x14ac:dyDescent="0.25">
      <c r="A69" s="15">
        <v>7</v>
      </c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 t="s">
        <v>828</v>
      </c>
      <c r="P69" s="66"/>
      <c r="Q69" s="66"/>
      <c r="R69" s="66"/>
      <c r="S69" s="66"/>
    </row>
    <row r="70" spans="1:19" x14ac:dyDescent="0.25">
      <c r="A70" s="15">
        <v>7</v>
      </c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 t="s">
        <v>834</v>
      </c>
      <c r="P70" s="66"/>
      <c r="Q70" s="66"/>
      <c r="R70" s="66"/>
      <c r="S70" s="66"/>
    </row>
    <row r="71" spans="1:19" x14ac:dyDescent="0.25">
      <c r="A71" s="15">
        <v>7</v>
      </c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 t="s">
        <v>842</v>
      </c>
      <c r="P71" s="66"/>
      <c r="Q71" s="66"/>
      <c r="R71" s="66"/>
      <c r="S71" s="66"/>
    </row>
    <row r="72" spans="1:19" x14ac:dyDescent="0.25">
      <c r="A72" s="15">
        <v>7</v>
      </c>
      <c r="B72" s="66"/>
      <c r="C72" s="66" t="s">
        <v>77</v>
      </c>
      <c r="D72" s="66"/>
      <c r="E72" s="66" t="s">
        <v>763</v>
      </c>
      <c r="F72" s="66">
        <v>12</v>
      </c>
      <c r="G72" s="66"/>
      <c r="H72" s="66">
        <v>9</v>
      </c>
      <c r="I72" s="66">
        <v>9.0833333333333339</v>
      </c>
      <c r="J72" s="66" t="s">
        <v>850</v>
      </c>
      <c r="K72" s="66"/>
      <c r="L72" s="66"/>
      <c r="M72" s="66"/>
      <c r="N72" s="66"/>
      <c r="O72" s="66" t="s">
        <v>849</v>
      </c>
      <c r="P72" s="66"/>
      <c r="Q72" s="66">
        <v>1</v>
      </c>
      <c r="R72" s="66">
        <v>333</v>
      </c>
      <c r="S72" s="66"/>
    </row>
    <row r="73" spans="1:19" x14ac:dyDescent="0.25">
      <c r="A73" s="15">
        <v>7</v>
      </c>
      <c r="B73" s="66"/>
      <c r="C73" s="66">
        <v>2429</v>
      </c>
      <c r="D73" s="66"/>
      <c r="E73" s="66" t="s">
        <v>763</v>
      </c>
      <c r="F73" s="66">
        <v>12</v>
      </c>
      <c r="G73" s="66"/>
      <c r="H73" s="66"/>
      <c r="I73" s="66">
        <v>19.583333333333332</v>
      </c>
      <c r="J73" s="66" t="s">
        <v>850</v>
      </c>
      <c r="K73" s="66"/>
      <c r="L73" s="66"/>
      <c r="M73" s="66"/>
      <c r="N73" s="66"/>
      <c r="O73" s="66" t="s">
        <v>852</v>
      </c>
      <c r="P73" s="66"/>
      <c r="Q73" s="66">
        <v>1</v>
      </c>
      <c r="R73" s="66">
        <v>560</v>
      </c>
      <c r="S73" s="66"/>
    </row>
    <row r="74" spans="1:19" x14ac:dyDescent="0.25">
      <c r="A74" s="15">
        <v>7</v>
      </c>
      <c r="B74" s="66"/>
      <c r="C74" s="66">
        <v>2429</v>
      </c>
      <c r="D74" s="66"/>
      <c r="E74" s="66" t="s">
        <v>763</v>
      </c>
      <c r="F74" s="66">
        <v>1</v>
      </c>
      <c r="G74" s="66"/>
      <c r="H74" s="66" t="e">
        <v>#N/A</v>
      </c>
      <c r="I74" s="66"/>
      <c r="J74" s="66" t="s">
        <v>870</v>
      </c>
      <c r="K74" s="66" t="s">
        <v>757</v>
      </c>
      <c r="L74" s="66" t="s">
        <v>757</v>
      </c>
      <c r="M74" s="66" t="s">
        <v>757</v>
      </c>
      <c r="N74" s="66" t="s">
        <v>757</v>
      </c>
      <c r="O74" s="66" t="s">
        <v>869</v>
      </c>
      <c r="P74" s="66"/>
      <c r="Q74" s="66">
        <v>1</v>
      </c>
      <c r="R74" s="66">
        <v>792</v>
      </c>
      <c r="S74" s="66"/>
    </row>
    <row r="75" spans="1:19" x14ac:dyDescent="0.25">
      <c r="A75" s="15">
        <v>7</v>
      </c>
      <c r="B75" s="66"/>
      <c r="C75" s="66">
        <v>2429</v>
      </c>
      <c r="D75" s="66"/>
      <c r="E75" s="66" t="s">
        <v>763</v>
      </c>
      <c r="F75" s="66">
        <v>0</v>
      </c>
      <c r="G75" s="66"/>
      <c r="H75" s="66">
        <v>3</v>
      </c>
      <c r="I75" s="66" t="e">
        <v>#N/A</v>
      </c>
      <c r="J75" s="66" t="s">
        <v>870</v>
      </c>
      <c r="K75" s="66"/>
      <c r="L75" s="66"/>
      <c r="M75" s="66"/>
      <c r="N75" s="66"/>
      <c r="O75" s="66" t="s">
        <v>882</v>
      </c>
      <c r="P75" s="66"/>
      <c r="Q75" s="66">
        <v>1</v>
      </c>
      <c r="R75" s="66">
        <v>1019</v>
      </c>
      <c r="S75" s="66"/>
    </row>
    <row r="76" spans="1:19" x14ac:dyDescent="0.25">
      <c r="A76" s="15">
        <v>7</v>
      </c>
      <c r="B76" s="66"/>
      <c r="C76" s="66">
        <v>2429</v>
      </c>
      <c r="D76" s="66"/>
      <c r="E76" s="66" t="s">
        <v>763</v>
      </c>
      <c r="F76" s="66">
        <v>3</v>
      </c>
      <c r="G76" s="66"/>
      <c r="H76" s="66">
        <v>3</v>
      </c>
      <c r="I76" s="66" t="e">
        <v>#N/A</v>
      </c>
      <c r="J76" s="66" t="s">
        <v>870</v>
      </c>
      <c r="K76" s="66"/>
      <c r="L76" s="66"/>
      <c r="M76" s="66"/>
      <c r="N76" s="66"/>
      <c r="O76" s="66" t="s">
        <v>894</v>
      </c>
      <c r="P76" s="66"/>
      <c r="Q76" s="66">
        <v>1</v>
      </c>
      <c r="R76" s="66">
        <v>1246</v>
      </c>
      <c r="S76" s="66"/>
    </row>
    <row r="77" spans="1:19" x14ac:dyDescent="0.25">
      <c r="A77" s="15">
        <v>7</v>
      </c>
      <c r="B77" s="66"/>
      <c r="C77" s="66">
        <v>2429</v>
      </c>
      <c r="D77" s="66"/>
      <c r="E77" s="66" t="s">
        <v>763</v>
      </c>
      <c r="F77" s="66">
        <v>3</v>
      </c>
      <c r="G77" s="66"/>
      <c r="H77" s="66" t="e">
        <v>#N/A</v>
      </c>
      <c r="I77" s="66"/>
      <c r="J77" s="66" t="s">
        <v>870</v>
      </c>
      <c r="K77" s="66"/>
      <c r="L77" s="66"/>
      <c r="M77" s="66"/>
      <c r="N77" s="66"/>
      <c r="O77" s="66" t="s">
        <v>906</v>
      </c>
      <c r="P77" s="66"/>
      <c r="Q77" s="66">
        <v>1</v>
      </c>
      <c r="R77" s="66">
        <v>1313</v>
      </c>
      <c r="S77" s="66"/>
    </row>
    <row r="78" spans="1:19" x14ac:dyDescent="0.25">
      <c r="A78" s="15">
        <v>7</v>
      </c>
      <c r="B78" s="66"/>
      <c r="C78" s="66">
        <v>2429</v>
      </c>
      <c r="D78" s="66"/>
      <c r="E78" s="66" t="s">
        <v>763</v>
      </c>
      <c r="F78" s="66">
        <v>5</v>
      </c>
      <c r="G78" s="66"/>
      <c r="H78" s="66" t="e">
        <v>#N/A</v>
      </c>
      <c r="I78" s="66"/>
      <c r="J78" s="66" t="s">
        <v>870</v>
      </c>
      <c r="K78" s="66"/>
      <c r="L78" s="66"/>
      <c r="M78" s="66"/>
      <c r="N78" s="66"/>
      <c r="O78" s="66" t="s">
        <v>908</v>
      </c>
      <c r="P78" s="66"/>
      <c r="Q78" s="66">
        <v>1</v>
      </c>
      <c r="R78" s="66">
        <v>1540</v>
      </c>
      <c r="S78" s="66"/>
    </row>
    <row r="79" spans="1:19" x14ac:dyDescent="0.25">
      <c r="A79" s="15">
        <v>8</v>
      </c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</row>
    <row r="80" spans="1:19" x14ac:dyDescent="0.25">
      <c r="A80" s="15">
        <v>8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 t="s">
        <v>829</v>
      </c>
      <c r="P80" s="66"/>
      <c r="Q80" s="66"/>
      <c r="R80" s="66"/>
      <c r="S80" s="66"/>
    </row>
    <row r="81" spans="1:19" x14ac:dyDescent="0.25">
      <c r="A81" s="15">
        <v>8</v>
      </c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 t="s">
        <v>834</v>
      </c>
      <c r="P81" s="66"/>
      <c r="Q81" s="66"/>
      <c r="R81" s="66"/>
      <c r="S81" s="66"/>
    </row>
    <row r="82" spans="1:19" x14ac:dyDescent="0.25">
      <c r="A82" s="15">
        <v>8</v>
      </c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 t="s">
        <v>842</v>
      </c>
      <c r="P82" s="66"/>
      <c r="Q82" s="66"/>
      <c r="R82" s="66"/>
      <c r="S82" s="66"/>
    </row>
    <row r="83" spans="1:19" x14ac:dyDescent="0.25">
      <c r="A83" s="15">
        <v>8</v>
      </c>
      <c r="B83" s="66"/>
      <c r="C83" s="66" t="s">
        <v>77</v>
      </c>
      <c r="D83" s="66"/>
      <c r="E83" s="66" t="s">
        <v>763</v>
      </c>
      <c r="F83" s="66">
        <v>8</v>
      </c>
      <c r="G83" s="66"/>
      <c r="H83" s="66">
        <v>7</v>
      </c>
      <c r="I83" s="66">
        <v>7.666666666666667</v>
      </c>
      <c r="J83" s="66" t="s">
        <v>850</v>
      </c>
      <c r="K83" s="66"/>
      <c r="L83" s="66"/>
      <c r="M83" s="66"/>
      <c r="N83" s="66"/>
      <c r="O83" s="66" t="s">
        <v>849</v>
      </c>
      <c r="P83" s="66"/>
      <c r="Q83" s="66">
        <v>1</v>
      </c>
      <c r="R83" s="66">
        <v>334</v>
      </c>
      <c r="S83" s="66"/>
    </row>
    <row r="84" spans="1:19" x14ac:dyDescent="0.25">
      <c r="A84" s="15">
        <v>8</v>
      </c>
      <c r="B84" s="66"/>
      <c r="C84" s="66">
        <v>2429</v>
      </c>
      <c r="D84" s="66"/>
      <c r="E84" s="66" t="s">
        <v>763</v>
      </c>
      <c r="F84" s="66">
        <v>8</v>
      </c>
      <c r="G84" s="66"/>
      <c r="H84" s="66"/>
      <c r="I84" s="66">
        <v>19.583333333333332</v>
      </c>
      <c r="J84" s="66" t="s">
        <v>850</v>
      </c>
      <c r="K84" s="66"/>
      <c r="L84" s="66"/>
      <c r="M84" s="66"/>
      <c r="N84" s="66"/>
      <c r="O84" s="66" t="s">
        <v>852</v>
      </c>
      <c r="P84" s="66"/>
      <c r="Q84" s="66">
        <v>1</v>
      </c>
      <c r="R84" s="66">
        <v>561</v>
      </c>
      <c r="S84" s="66"/>
    </row>
    <row r="85" spans="1:19" x14ac:dyDescent="0.25">
      <c r="A85" s="15">
        <v>8</v>
      </c>
      <c r="B85" s="66"/>
      <c r="C85" s="66">
        <v>2429</v>
      </c>
      <c r="D85" s="66"/>
      <c r="E85" s="66" t="s">
        <v>763</v>
      </c>
      <c r="F85" s="66">
        <v>1</v>
      </c>
      <c r="G85" s="66"/>
      <c r="H85" s="66" t="e">
        <v>#N/A</v>
      </c>
      <c r="I85" s="66"/>
      <c r="J85" s="66" t="s">
        <v>870</v>
      </c>
      <c r="K85" s="66" t="s">
        <v>757</v>
      </c>
      <c r="L85" s="66" t="s">
        <v>757</v>
      </c>
      <c r="M85" s="66" t="s">
        <v>757</v>
      </c>
      <c r="N85" s="66" t="s">
        <v>757</v>
      </c>
      <c r="O85" s="66" t="s">
        <v>869</v>
      </c>
      <c r="P85" s="66"/>
      <c r="Q85" s="66">
        <v>1</v>
      </c>
      <c r="R85" s="66">
        <v>793</v>
      </c>
      <c r="S85" s="66"/>
    </row>
    <row r="86" spans="1:19" x14ac:dyDescent="0.25">
      <c r="A86" s="15">
        <v>8</v>
      </c>
      <c r="B86" s="66"/>
      <c r="C86" s="66">
        <v>2429</v>
      </c>
      <c r="D86" s="66"/>
      <c r="E86" s="66" t="s">
        <v>763</v>
      </c>
      <c r="F86" s="66">
        <v>0</v>
      </c>
      <c r="G86" s="66"/>
      <c r="H86" s="66">
        <v>3</v>
      </c>
      <c r="I86" s="66" t="e">
        <v>#N/A</v>
      </c>
      <c r="J86" s="66" t="s">
        <v>870</v>
      </c>
      <c r="K86" s="66"/>
      <c r="L86" s="66"/>
      <c r="M86" s="66"/>
      <c r="N86" s="66"/>
      <c r="O86" s="66" t="s">
        <v>882</v>
      </c>
      <c r="P86" s="66"/>
      <c r="Q86" s="66">
        <v>1</v>
      </c>
      <c r="R86" s="66">
        <v>1020</v>
      </c>
      <c r="S86" s="66"/>
    </row>
    <row r="87" spans="1:19" x14ac:dyDescent="0.25">
      <c r="A87" s="15">
        <v>8</v>
      </c>
      <c r="B87" s="66"/>
      <c r="C87" s="66">
        <v>2429</v>
      </c>
      <c r="D87" s="66"/>
      <c r="E87" s="66" t="s">
        <v>763</v>
      </c>
      <c r="F87" s="66">
        <v>3</v>
      </c>
      <c r="G87" s="66"/>
      <c r="H87" s="66">
        <v>3</v>
      </c>
      <c r="I87" s="66" t="e">
        <v>#N/A</v>
      </c>
      <c r="J87" s="66" t="s">
        <v>870</v>
      </c>
      <c r="K87" s="66"/>
      <c r="L87" s="66"/>
      <c r="M87" s="66"/>
      <c r="N87" s="66"/>
      <c r="O87" s="66" t="s">
        <v>894</v>
      </c>
      <c r="P87" s="66"/>
      <c r="Q87" s="66">
        <v>1</v>
      </c>
      <c r="R87" s="66">
        <v>1247</v>
      </c>
      <c r="S87" s="66"/>
    </row>
    <row r="88" spans="1:19" x14ac:dyDescent="0.25">
      <c r="A88" s="15">
        <v>8</v>
      </c>
      <c r="B88" s="66"/>
      <c r="C88" s="66">
        <v>2429</v>
      </c>
      <c r="D88" s="66"/>
      <c r="E88" s="66" t="s">
        <v>763</v>
      </c>
      <c r="F88" s="66">
        <v>3</v>
      </c>
      <c r="G88" s="66"/>
      <c r="H88" s="66" t="e">
        <v>#N/A</v>
      </c>
      <c r="I88" s="66"/>
      <c r="J88" s="66" t="s">
        <v>870</v>
      </c>
      <c r="K88" s="66"/>
      <c r="L88" s="66"/>
      <c r="M88" s="66"/>
      <c r="N88" s="66"/>
      <c r="O88" s="66" t="s">
        <v>906</v>
      </c>
      <c r="P88" s="66"/>
      <c r="Q88" s="66">
        <v>1</v>
      </c>
      <c r="R88" s="66">
        <v>1314</v>
      </c>
      <c r="S88" s="66"/>
    </row>
    <row r="89" spans="1:19" x14ac:dyDescent="0.25">
      <c r="A89" s="15">
        <v>8</v>
      </c>
      <c r="B89" s="66"/>
      <c r="C89" s="66">
        <v>2429</v>
      </c>
      <c r="D89" s="66"/>
      <c r="E89" s="66" t="s">
        <v>763</v>
      </c>
      <c r="F89" s="66">
        <v>5</v>
      </c>
      <c r="G89" s="66"/>
      <c r="H89" s="66" t="e">
        <v>#N/A</v>
      </c>
      <c r="I89" s="66"/>
      <c r="J89" s="66" t="s">
        <v>870</v>
      </c>
      <c r="K89" s="66"/>
      <c r="L89" s="66"/>
      <c r="M89" s="66"/>
      <c r="N89" s="66"/>
      <c r="O89" s="66" t="s">
        <v>908</v>
      </c>
      <c r="P89" s="66"/>
      <c r="Q89" s="66">
        <v>1</v>
      </c>
      <c r="R89" s="66">
        <v>1541</v>
      </c>
      <c r="S89" s="66"/>
    </row>
    <row r="90" spans="1:19" x14ac:dyDescent="0.25">
      <c r="A90" s="15">
        <v>9</v>
      </c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</row>
    <row r="91" spans="1:19" x14ac:dyDescent="0.25">
      <c r="A91" s="15">
        <v>9</v>
      </c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 t="s">
        <v>830</v>
      </c>
      <c r="P91" s="66"/>
      <c r="Q91" s="66"/>
      <c r="R91" s="66"/>
      <c r="S91" s="66"/>
    </row>
    <row r="92" spans="1:19" x14ac:dyDescent="0.25">
      <c r="A92" s="15">
        <v>9</v>
      </c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 t="s">
        <v>835</v>
      </c>
      <c r="P92" s="66"/>
      <c r="Q92" s="66"/>
      <c r="R92" s="66"/>
      <c r="S92" s="66"/>
    </row>
    <row r="93" spans="1:19" x14ac:dyDescent="0.25">
      <c r="A93" s="15">
        <v>9</v>
      </c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 t="s">
        <v>842</v>
      </c>
      <c r="P93" s="66"/>
      <c r="Q93" s="66"/>
      <c r="R93" s="66"/>
      <c r="S93" s="66"/>
    </row>
    <row r="94" spans="1:19" x14ac:dyDescent="0.25">
      <c r="A94" s="15">
        <v>9</v>
      </c>
      <c r="B94" s="66"/>
      <c r="C94" s="66" t="s">
        <v>77</v>
      </c>
      <c r="D94" s="66"/>
      <c r="E94" s="66" t="s">
        <v>763</v>
      </c>
      <c r="F94" s="66">
        <v>6</v>
      </c>
      <c r="G94" s="66"/>
      <c r="H94" s="66">
        <v>7</v>
      </c>
      <c r="I94" s="66">
        <v>8.1666666666666679</v>
      </c>
      <c r="J94" s="66" t="s">
        <v>850</v>
      </c>
      <c r="K94" s="66"/>
      <c r="L94" s="66"/>
      <c r="M94" s="66"/>
      <c r="N94" s="66"/>
      <c r="O94" s="66" t="s">
        <v>849</v>
      </c>
      <c r="P94" s="66"/>
      <c r="Q94" s="66">
        <v>1</v>
      </c>
      <c r="R94" s="66">
        <v>335</v>
      </c>
      <c r="S94" s="66"/>
    </row>
    <row r="95" spans="1:19" x14ac:dyDescent="0.25">
      <c r="A95" s="15">
        <v>9</v>
      </c>
      <c r="B95" s="66"/>
      <c r="C95" s="66">
        <v>2429</v>
      </c>
      <c r="D95" s="66"/>
      <c r="E95" s="66" t="s">
        <v>763</v>
      </c>
      <c r="F95" s="66">
        <v>6</v>
      </c>
      <c r="G95" s="66"/>
      <c r="H95" s="66"/>
      <c r="I95" s="66">
        <v>19.583333333333332</v>
      </c>
      <c r="J95" s="66" t="s">
        <v>850</v>
      </c>
      <c r="K95" s="66"/>
      <c r="L95" s="66"/>
      <c r="M95" s="66"/>
      <c r="N95" s="66"/>
      <c r="O95" s="66" t="s">
        <v>852</v>
      </c>
      <c r="P95" s="66"/>
      <c r="Q95" s="66">
        <v>1</v>
      </c>
      <c r="R95" s="66">
        <v>562</v>
      </c>
      <c r="S95" s="66"/>
    </row>
    <row r="96" spans="1:19" x14ac:dyDescent="0.25">
      <c r="A96" s="15">
        <v>9</v>
      </c>
      <c r="B96" s="66"/>
      <c r="C96" s="66">
        <v>2429</v>
      </c>
      <c r="D96" s="66"/>
      <c r="E96" s="66" t="s">
        <v>763</v>
      </c>
      <c r="F96" s="66">
        <v>1</v>
      </c>
      <c r="G96" s="66"/>
      <c r="H96" s="66" t="e">
        <v>#N/A</v>
      </c>
      <c r="I96" s="66"/>
      <c r="J96" s="66" t="s">
        <v>870</v>
      </c>
      <c r="K96" s="66" t="s">
        <v>757</v>
      </c>
      <c r="L96" s="66" t="s">
        <v>757</v>
      </c>
      <c r="M96" s="66" t="s">
        <v>757</v>
      </c>
      <c r="N96" s="66" t="s">
        <v>757</v>
      </c>
      <c r="O96" s="66" t="s">
        <v>869</v>
      </c>
      <c r="P96" s="66"/>
      <c r="Q96" s="66">
        <v>1</v>
      </c>
      <c r="R96" s="66">
        <v>794</v>
      </c>
      <c r="S96" s="66"/>
    </row>
    <row r="97" spans="1:19" x14ac:dyDescent="0.25">
      <c r="A97" s="15">
        <v>9</v>
      </c>
      <c r="B97" s="66"/>
      <c r="C97" s="66">
        <v>2429</v>
      </c>
      <c r="D97" s="66"/>
      <c r="E97" s="66" t="s">
        <v>763</v>
      </c>
      <c r="F97" s="66">
        <v>0</v>
      </c>
      <c r="G97" s="66"/>
      <c r="H97" s="66">
        <v>3</v>
      </c>
      <c r="I97" s="66" t="e">
        <v>#N/A</v>
      </c>
      <c r="J97" s="66" t="s">
        <v>870</v>
      </c>
      <c r="K97" s="66"/>
      <c r="L97" s="66"/>
      <c r="M97" s="66"/>
      <c r="N97" s="66"/>
      <c r="O97" s="66" t="s">
        <v>882</v>
      </c>
      <c r="P97" s="66"/>
      <c r="Q97" s="66">
        <v>1</v>
      </c>
      <c r="R97" s="66">
        <v>1021</v>
      </c>
      <c r="S97" s="66"/>
    </row>
    <row r="98" spans="1:19" x14ac:dyDescent="0.25">
      <c r="A98" s="15">
        <v>9</v>
      </c>
      <c r="B98" s="66"/>
      <c r="C98" s="66">
        <v>2429</v>
      </c>
      <c r="D98" s="66"/>
      <c r="E98" s="66" t="s">
        <v>763</v>
      </c>
      <c r="F98" s="66">
        <v>3</v>
      </c>
      <c r="G98" s="66"/>
      <c r="H98" s="66">
        <v>3</v>
      </c>
      <c r="I98" s="66" t="e">
        <v>#N/A</v>
      </c>
      <c r="J98" s="66" t="s">
        <v>870</v>
      </c>
      <c r="K98" s="66"/>
      <c r="L98" s="66"/>
      <c r="M98" s="66"/>
      <c r="N98" s="66"/>
      <c r="O98" s="66" t="s">
        <v>894</v>
      </c>
      <c r="P98" s="66"/>
      <c r="Q98" s="66">
        <v>1</v>
      </c>
      <c r="R98" s="66">
        <v>1248</v>
      </c>
      <c r="S98" s="66"/>
    </row>
    <row r="99" spans="1:19" x14ac:dyDescent="0.25">
      <c r="A99" s="15">
        <v>9</v>
      </c>
      <c r="B99" s="66"/>
      <c r="C99" s="66">
        <v>2429</v>
      </c>
      <c r="D99" s="66"/>
      <c r="E99" s="66" t="s">
        <v>763</v>
      </c>
      <c r="F99" s="66">
        <v>3</v>
      </c>
      <c r="G99" s="66"/>
      <c r="H99" s="66" t="e">
        <v>#N/A</v>
      </c>
      <c r="I99" s="66"/>
      <c r="J99" s="66" t="s">
        <v>870</v>
      </c>
      <c r="K99" s="66"/>
      <c r="L99" s="66"/>
      <c r="M99" s="66"/>
      <c r="N99" s="66"/>
      <c r="O99" s="66" t="s">
        <v>906</v>
      </c>
      <c r="P99" s="66"/>
      <c r="Q99" s="66">
        <v>1</v>
      </c>
      <c r="R99" s="66">
        <v>1315</v>
      </c>
      <c r="S99" s="66"/>
    </row>
    <row r="100" spans="1:19" x14ac:dyDescent="0.25">
      <c r="A100" s="15">
        <v>9</v>
      </c>
      <c r="B100" s="66"/>
      <c r="C100" s="66">
        <v>2429</v>
      </c>
      <c r="D100" s="66"/>
      <c r="E100" s="66" t="s">
        <v>763</v>
      </c>
      <c r="F100" s="66">
        <v>5</v>
      </c>
      <c r="G100" s="66"/>
      <c r="H100" s="66" t="e">
        <v>#N/A</v>
      </c>
      <c r="I100" s="66"/>
      <c r="J100" s="66" t="s">
        <v>870</v>
      </c>
      <c r="K100" s="66"/>
      <c r="L100" s="66"/>
      <c r="M100" s="66"/>
      <c r="N100" s="66"/>
      <c r="O100" s="66" t="s">
        <v>908</v>
      </c>
      <c r="P100" s="66"/>
      <c r="Q100" s="66">
        <v>1</v>
      </c>
      <c r="R100" s="66">
        <v>1542</v>
      </c>
      <c r="S100" s="66"/>
    </row>
    <row r="101" spans="1:19" x14ac:dyDescent="0.25">
      <c r="A101" s="15">
        <v>10</v>
      </c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</row>
    <row r="102" spans="1:19" x14ac:dyDescent="0.25">
      <c r="A102" s="15">
        <v>10</v>
      </c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 t="s">
        <v>765</v>
      </c>
      <c r="P102" s="66"/>
      <c r="Q102" s="66"/>
      <c r="R102" s="66"/>
      <c r="S102" s="66"/>
    </row>
    <row r="103" spans="1:19" x14ac:dyDescent="0.25">
      <c r="A103" s="15">
        <v>10</v>
      </c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 t="s">
        <v>833</v>
      </c>
      <c r="P103" s="66"/>
      <c r="Q103" s="66"/>
      <c r="R103" s="66"/>
      <c r="S103" s="66"/>
    </row>
    <row r="104" spans="1:19" x14ac:dyDescent="0.25">
      <c r="A104" s="15">
        <v>10</v>
      </c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 t="s">
        <v>842</v>
      </c>
      <c r="P104" s="66"/>
      <c r="Q104" s="66"/>
      <c r="R104" s="66"/>
      <c r="S104" s="66"/>
    </row>
    <row r="105" spans="1:19" x14ac:dyDescent="0.25">
      <c r="A105" s="15">
        <v>10</v>
      </c>
      <c r="B105" s="66"/>
      <c r="C105" s="66" t="s">
        <v>77</v>
      </c>
      <c r="D105" s="66"/>
      <c r="E105" s="66" t="s">
        <v>763</v>
      </c>
      <c r="F105" s="66">
        <v>6</v>
      </c>
      <c r="G105" s="66"/>
      <c r="H105" s="66">
        <v>7</v>
      </c>
      <c r="I105" s="66">
        <v>7.666666666666667</v>
      </c>
      <c r="J105" s="66" t="s">
        <v>850</v>
      </c>
      <c r="K105" s="66"/>
      <c r="L105" s="66"/>
      <c r="M105" s="66"/>
      <c r="N105" s="66"/>
      <c r="O105" s="66" t="s">
        <v>849</v>
      </c>
      <c r="P105" s="66"/>
      <c r="Q105" s="66">
        <v>1</v>
      </c>
      <c r="R105" s="66">
        <v>270</v>
      </c>
      <c r="S105" s="66"/>
    </row>
    <row r="106" spans="1:19" x14ac:dyDescent="0.25">
      <c r="A106" s="15">
        <v>10</v>
      </c>
      <c r="B106" s="66"/>
      <c r="C106" s="66">
        <v>2429</v>
      </c>
      <c r="D106" s="66"/>
      <c r="E106" s="66" t="s">
        <v>763</v>
      </c>
      <c r="F106" s="66">
        <v>6</v>
      </c>
      <c r="G106" s="66"/>
      <c r="H106" s="66"/>
      <c r="I106" s="66">
        <v>19.583333333333332</v>
      </c>
      <c r="J106" s="66" t="s">
        <v>850</v>
      </c>
      <c r="K106" s="66"/>
      <c r="L106" s="66"/>
      <c r="M106" s="66"/>
      <c r="N106" s="66"/>
      <c r="O106" s="66" t="s">
        <v>852</v>
      </c>
      <c r="P106" s="66"/>
      <c r="Q106" s="66">
        <v>1</v>
      </c>
      <c r="R106" s="66">
        <v>337</v>
      </c>
      <c r="S106" s="66"/>
    </row>
    <row r="107" spans="1:19" x14ac:dyDescent="0.25">
      <c r="A107" s="15">
        <v>10</v>
      </c>
      <c r="B107" s="66"/>
      <c r="C107" s="66">
        <v>2429</v>
      </c>
      <c r="D107" s="66"/>
      <c r="E107" s="66" t="s">
        <v>763</v>
      </c>
      <c r="F107" s="66">
        <v>1</v>
      </c>
      <c r="G107" s="66"/>
      <c r="H107" s="66" t="e">
        <v>#N/A</v>
      </c>
      <c r="I107" s="66"/>
      <c r="J107" s="66" t="s">
        <v>870</v>
      </c>
      <c r="K107" s="66" t="s">
        <v>757</v>
      </c>
      <c r="L107" s="66" t="s">
        <v>757</v>
      </c>
      <c r="M107" s="66" t="s">
        <v>757</v>
      </c>
      <c r="N107" s="66" t="s">
        <v>757</v>
      </c>
      <c r="O107" s="66" t="s">
        <v>869</v>
      </c>
      <c r="P107" s="66"/>
      <c r="Q107" s="66">
        <v>1</v>
      </c>
      <c r="R107" s="66">
        <v>569</v>
      </c>
      <c r="S107" s="66"/>
    </row>
    <row r="108" spans="1:19" x14ac:dyDescent="0.25">
      <c r="A108" s="15">
        <v>10</v>
      </c>
      <c r="B108" s="66"/>
      <c r="C108" s="66">
        <v>2429</v>
      </c>
      <c r="D108" s="66"/>
      <c r="E108" s="66" t="s">
        <v>763</v>
      </c>
      <c r="F108" s="66">
        <v>0</v>
      </c>
      <c r="G108" s="66"/>
      <c r="H108" s="66">
        <v>3</v>
      </c>
      <c r="I108" s="66" t="e">
        <v>#N/A</v>
      </c>
      <c r="J108" s="66" t="s">
        <v>870</v>
      </c>
      <c r="K108" s="66"/>
      <c r="L108" s="66"/>
      <c r="M108" s="66"/>
      <c r="N108" s="66"/>
      <c r="O108" s="66" t="s">
        <v>882</v>
      </c>
      <c r="P108" s="66"/>
      <c r="Q108" s="66">
        <v>1</v>
      </c>
      <c r="R108" s="66">
        <v>796</v>
      </c>
      <c r="S108" s="66"/>
    </row>
    <row r="109" spans="1:19" x14ac:dyDescent="0.25">
      <c r="A109" s="15">
        <v>10</v>
      </c>
      <c r="B109" s="66"/>
      <c r="C109" s="66">
        <v>2429</v>
      </c>
      <c r="D109" s="66"/>
      <c r="E109" s="66" t="s">
        <v>763</v>
      </c>
      <c r="F109" s="66">
        <v>3</v>
      </c>
      <c r="G109" s="66"/>
      <c r="H109" s="66">
        <v>3</v>
      </c>
      <c r="I109" s="66" t="e">
        <v>#N/A</v>
      </c>
      <c r="J109" s="66" t="s">
        <v>870</v>
      </c>
      <c r="K109" s="66"/>
      <c r="L109" s="66"/>
      <c r="M109" s="66"/>
      <c r="N109" s="66"/>
      <c r="O109" s="66" t="s">
        <v>894</v>
      </c>
      <c r="P109" s="66"/>
      <c r="Q109" s="66">
        <v>1</v>
      </c>
      <c r="R109" s="66">
        <v>1023</v>
      </c>
      <c r="S109" s="66"/>
    </row>
    <row r="110" spans="1:19" x14ac:dyDescent="0.25">
      <c r="A110" s="15">
        <v>10</v>
      </c>
      <c r="B110" s="66"/>
      <c r="C110" s="66">
        <v>2429</v>
      </c>
      <c r="D110" s="66"/>
      <c r="E110" s="66" t="s">
        <v>763</v>
      </c>
      <c r="F110" s="66">
        <v>3</v>
      </c>
      <c r="G110" s="66"/>
      <c r="H110" s="66" t="e">
        <v>#N/A</v>
      </c>
      <c r="I110" s="66"/>
      <c r="J110" s="66" t="s">
        <v>870</v>
      </c>
      <c r="K110" s="66"/>
      <c r="L110" s="66"/>
      <c r="M110" s="66"/>
      <c r="N110" s="66"/>
      <c r="O110" s="66" t="s">
        <v>906</v>
      </c>
      <c r="P110" s="66"/>
      <c r="Q110" s="66">
        <v>1</v>
      </c>
      <c r="R110" s="66">
        <v>1250</v>
      </c>
      <c r="S110" s="66"/>
    </row>
    <row r="111" spans="1:19" x14ac:dyDescent="0.25">
      <c r="A111" s="15">
        <v>10</v>
      </c>
      <c r="B111" s="66"/>
      <c r="C111" s="66">
        <v>2429</v>
      </c>
      <c r="D111" s="66"/>
      <c r="E111" s="66" t="s">
        <v>763</v>
      </c>
      <c r="F111" s="66">
        <v>5</v>
      </c>
      <c r="G111" s="66"/>
      <c r="H111" s="66" t="e">
        <v>#N/A</v>
      </c>
      <c r="I111" s="66"/>
      <c r="J111" s="66" t="s">
        <v>870</v>
      </c>
      <c r="K111" s="66"/>
      <c r="L111" s="66"/>
      <c r="M111" s="66"/>
      <c r="N111" s="66"/>
      <c r="O111" s="66" t="s">
        <v>908</v>
      </c>
      <c r="P111" s="66"/>
      <c r="Q111" s="66">
        <v>1</v>
      </c>
      <c r="R111" s="66">
        <v>1317</v>
      </c>
      <c r="S111" s="66"/>
    </row>
    <row r="112" spans="1:19" x14ac:dyDescent="0.25">
      <c r="A112" s="15">
        <v>11</v>
      </c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</row>
    <row r="113" spans="1:19" x14ac:dyDescent="0.25">
      <c r="A113" s="15">
        <v>11</v>
      </c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 t="s">
        <v>766</v>
      </c>
      <c r="P113" s="66"/>
      <c r="Q113" s="66"/>
      <c r="R113" s="66"/>
      <c r="S113" s="66"/>
    </row>
    <row r="114" spans="1:19" x14ac:dyDescent="0.25">
      <c r="A114" s="15">
        <v>11</v>
      </c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 t="s">
        <v>833</v>
      </c>
      <c r="P114" s="66"/>
      <c r="Q114" s="66"/>
      <c r="R114" s="66"/>
      <c r="S114" s="66"/>
    </row>
    <row r="115" spans="1:19" x14ac:dyDescent="0.25">
      <c r="A115" s="15">
        <v>11</v>
      </c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 t="s">
        <v>842</v>
      </c>
      <c r="P115" s="66"/>
      <c r="Q115" s="66"/>
      <c r="R115" s="66"/>
      <c r="S115" s="66"/>
    </row>
    <row r="116" spans="1:19" x14ac:dyDescent="0.25">
      <c r="A116" s="15">
        <v>11</v>
      </c>
      <c r="B116" s="66"/>
      <c r="C116" s="66" t="s">
        <v>77</v>
      </c>
      <c r="D116" s="66"/>
      <c r="E116" s="66" t="s">
        <v>763</v>
      </c>
      <c r="F116" s="66">
        <v>6</v>
      </c>
      <c r="G116" s="66"/>
      <c r="H116" s="66">
        <v>7</v>
      </c>
      <c r="I116" s="66">
        <v>7.666666666666667</v>
      </c>
      <c r="J116" s="66" t="s">
        <v>850</v>
      </c>
      <c r="K116" s="66"/>
      <c r="L116" s="66"/>
      <c r="M116" s="66"/>
      <c r="N116" s="66"/>
      <c r="O116" s="66" t="s">
        <v>849</v>
      </c>
      <c r="P116" s="66"/>
      <c r="Q116" s="66">
        <v>1</v>
      </c>
      <c r="R116" s="66">
        <v>271</v>
      </c>
      <c r="S116" s="66"/>
    </row>
    <row r="117" spans="1:19" x14ac:dyDescent="0.25">
      <c r="A117" s="15">
        <v>11</v>
      </c>
      <c r="B117" s="66"/>
      <c r="C117" s="66">
        <v>2429</v>
      </c>
      <c r="D117" s="66"/>
      <c r="E117" s="66" t="s">
        <v>763</v>
      </c>
      <c r="F117" s="66">
        <v>6</v>
      </c>
      <c r="G117" s="66"/>
      <c r="H117" s="66"/>
      <c r="I117" s="66">
        <v>19.583333333333332</v>
      </c>
      <c r="J117" s="66" t="s">
        <v>850</v>
      </c>
      <c r="K117" s="66"/>
      <c r="L117" s="66"/>
      <c r="M117" s="66"/>
      <c r="N117" s="66"/>
      <c r="O117" s="66" t="s">
        <v>852</v>
      </c>
      <c r="P117" s="66"/>
      <c r="Q117" s="66">
        <v>1</v>
      </c>
      <c r="R117" s="66">
        <v>338</v>
      </c>
      <c r="S117" s="66"/>
    </row>
    <row r="118" spans="1:19" x14ac:dyDescent="0.25">
      <c r="A118" s="15">
        <v>11</v>
      </c>
      <c r="B118" s="66"/>
      <c r="C118" s="66">
        <v>2429</v>
      </c>
      <c r="D118" s="66"/>
      <c r="E118" s="66" t="s">
        <v>763</v>
      </c>
      <c r="F118" s="66">
        <v>1</v>
      </c>
      <c r="G118" s="66"/>
      <c r="H118" s="66" t="e">
        <v>#N/A</v>
      </c>
      <c r="I118" s="66"/>
      <c r="J118" s="66" t="s">
        <v>870</v>
      </c>
      <c r="K118" s="66" t="s">
        <v>757</v>
      </c>
      <c r="L118" s="66" t="s">
        <v>757</v>
      </c>
      <c r="M118" s="66" t="s">
        <v>757</v>
      </c>
      <c r="N118" s="66" t="s">
        <v>757</v>
      </c>
      <c r="O118" s="66" t="s">
        <v>869</v>
      </c>
      <c r="P118" s="66"/>
      <c r="Q118" s="66">
        <v>1</v>
      </c>
      <c r="R118" s="66">
        <v>570</v>
      </c>
      <c r="S118" s="66"/>
    </row>
    <row r="119" spans="1:19" x14ac:dyDescent="0.25">
      <c r="A119" s="15">
        <v>11</v>
      </c>
      <c r="B119" s="66"/>
      <c r="C119" s="66">
        <v>2429</v>
      </c>
      <c r="D119" s="66"/>
      <c r="E119" s="66" t="s">
        <v>763</v>
      </c>
      <c r="F119" s="66">
        <v>0</v>
      </c>
      <c r="G119" s="66"/>
      <c r="H119" s="66">
        <v>3</v>
      </c>
      <c r="I119" s="66" t="e">
        <v>#N/A</v>
      </c>
      <c r="J119" s="66" t="s">
        <v>870</v>
      </c>
      <c r="K119" s="66"/>
      <c r="L119" s="66"/>
      <c r="M119" s="66"/>
      <c r="N119" s="66"/>
      <c r="O119" s="66" t="s">
        <v>882</v>
      </c>
      <c r="P119" s="66"/>
      <c r="Q119" s="66">
        <v>1</v>
      </c>
      <c r="R119" s="66">
        <v>797</v>
      </c>
      <c r="S119" s="66"/>
    </row>
    <row r="120" spans="1:19" x14ac:dyDescent="0.25">
      <c r="A120" s="15">
        <v>11</v>
      </c>
      <c r="B120" s="66"/>
      <c r="C120" s="66">
        <v>2429</v>
      </c>
      <c r="D120" s="66"/>
      <c r="E120" s="66" t="s">
        <v>763</v>
      </c>
      <c r="F120" s="66">
        <v>3</v>
      </c>
      <c r="G120" s="66"/>
      <c r="H120" s="66">
        <v>3</v>
      </c>
      <c r="I120" s="66" t="e">
        <v>#N/A</v>
      </c>
      <c r="J120" s="66" t="s">
        <v>870</v>
      </c>
      <c r="K120" s="66"/>
      <c r="L120" s="66"/>
      <c r="M120" s="66"/>
      <c r="N120" s="66"/>
      <c r="O120" s="66" t="s">
        <v>894</v>
      </c>
      <c r="P120" s="66"/>
      <c r="Q120" s="66">
        <v>1</v>
      </c>
      <c r="R120" s="66">
        <v>1024</v>
      </c>
      <c r="S120" s="66"/>
    </row>
    <row r="121" spans="1:19" x14ac:dyDescent="0.25">
      <c r="A121" s="15">
        <v>11</v>
      </c>
      <c r="B121" s="66"/>
      <c r="C121" s="66">
        <v>2429</v>
      </c>
      <c r="D121" s="66"/>
      <c r="E121" s="66" t="s">
        <v>763</v>
      </c>
      <c r="F121" s="66">
        <v>3</v>
      </c>
      <c r="G121" s="66"/>
      <c r="H121" s="66" t="e">
        <v>#N/A</v>
      </c>
      <c r="I121" s="66"/>
      <c r="J121" s="66" t="s">
        <v>870</v>
      </c>
      <c r="K121" s="66"/>
      <c r="L121" s="66"/>
      <c r="M121" s="66"/>
      <c r="N121" s="66"/>
      <c r="O121" s="66" t="s">
        <v>906</v>
      </c>
      <c r="P121" s="66"/>
      <c r="Q121" s="66">
        <v>1</v>
      </c>
      <c r="R121" s="66">
        <v>1251</v>
      </c>
      <c r="S121" s="66"/>
    </row>
    <row r="122" spans="1:19" x14ac:dyDescent="0.25">
      <c r="A122" s="15">
        <v>11</v>
      </c>
      <c r="B122" s="66"/>
      <c r="C122" s="66">
        <v>2429</v>
      </c>
      <c r="D122" s="66"/>
      <c r="E122" s="66" t="s">
        <v>763</v>
      </c>
      <c r="F122" s="66">
        <v>5</v>
      </c>
      <c r="G122" s="66"/>
      <c r="H122" s="66" t="e">
        <v>#N/A</v>
      </c>
      <c r="I122" s="66"/>
      <c r="J122" s="66" t="s">
        <v>870</v>
      </c>
      <c r="K122" s="66"/>
      <c r="L122" s="66"/>
      <c r="M122" s="66"/>
      <c r="N122" s="66"/>
      <c r="O122" s="66" t="s">
        <v>908</v>
      </c>
      <c r="P122" s="66"/>
      <c r="Q122" s="66">
        <v>1</v>
      </c>
      <c r="R122" s="66">
        <v>1318</v>
      </c>
      <c r="S122" s="66"/>
    </row>
    <row r="123" spans="1:19" x14ac:dyDescent="0.25">
      <c r="A123" s="15">
        <v>12</v>
      </c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</row>
    <row r="124" spans="1:19" x14ac:dyDescent="0.25">
      <c r="A124" s="15">
        <v>12</v>
      </c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 t="s">
        <v>767</v>
      </c>
      <c r="P124" s="66"/>
      <c r="Q124" s="66"/>
      <c r="R124" s="66"/>
      <c r="S124" s="66"/>
    </row>
    <row r="125" spans="1:19" x14ac:dyDescent="0.25">
      <c r="A125" s="15">
        <v>12</v>
      </c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 t="s">
        <v>834</v>
      </c>
      <c r="P125" s="66"/>
      <c r="Q125" s="66"/>
      <c r="R125" s="66"/>
      <c r="S125" s="66"/>
    </row>
    <row r="126" spans="1:19" x14ac:dyDescent="0.25">
      <c r="A126" s="15">
        <v>12</v>
      </c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 t="s">
        <v>843</v>
      </c>
      <c r="P126" s="66"/>
      <c r="Q126" s="66"/>
      <c r="R126" s="66"/>
      <c r="S126" s="66"/>
    </row>
    <row r="127" spans="1:19" x14ac:dyDescent="0.25">
      <c r="A127" s="15">
        <v>12</v>
      </c>
      <c r="B127" s="66"/>
      <c r="C127" s="66" t="s">
        <v>77</v>
      </c>
      <c r="D127" s="66"/>
      <c r="E127" s="66" t="s">
        <v>763</v>
      </c>
      <c r="F127" s="66">
        <v>12</v>
      </c>
      <c r="G127" s="66"/>
      <c r="H127" s="66">
        <v>9</v>
      </c>
      <c r="I127" s="66">
        <v>10.75</v>
      </c>
      <c r="J127" s="66" t="s">
        <v>850</v>
      </c>
      <c r="K127" s="66"/>
      <c r="L127" s="66"/>
      <c r="M127" s="66"/>
      <c r="N127" s="66"/>
      <c r="O127" s="66" t="s">
        <v>849</v>
      </c>
      <c r="P127" s="66"/>
      <c r="Q127" s="66">
        <v>1</v>
      </c>
      <c r="R127" s="66">
        <v>272</v>
      </c>
      <c r="S127" s="66"/>
    </row>
    <row r="128" spans="1:19" x14ac:dyDescent="0.25">
      <c r="A128" s="15">
        <v>12</v>
      </c>
      <c r="B128" s="66"/>
      <c r="C128" s="66">
        <v>2429</v>
      </c>
      <c r="D128" s="66"/>
      <c r="E128" s="66" t="s">
        <v>763</v>
      </c>
      <c r="F128" s="66">
        <v>12</v>
      </c>
      <c r="G128" s="66"/>
      <c r="H128" s="66"/>
      <c r="I128" s="66">
        <v>21.583333333333332</v>
      </c>
      <c r="J128" s="66" t="s">
        <v>850</v>
      </c>
      <c r="K128" s="66"/>
      <c r="L128" s="66"/>
      <c r="M128" s="66"/>
      <c r="N128" s="66"/>
      <c r="O128" s="66" t="s">
        <v>852</v>
      </c>
      <c r="P128" s="66"/>
      <c r="Q128" s="66">
        <v>1</v>
      </c>
      <c r="R128" s="66">
        <v>339</v>
      </c>
      <c r="S128" s="66"/>
    </row>
    <row r="129" spans="1:19" x14ac:dyDescent="0.25">
      <c r="A129" s="15">
        <v>12</v>
      </c>
      <c r="B129" s="66"/>
      <c r="C129" s="66">
        <v>2429</v>
      </c>
      <c r="D129" s="66"/>
      <c r="E129" s="66" t="s">
        <v>763</v>
      </c>
      <c r="F129" s="66">
        <v>1</v>
      </c>
      <c r="G129" s="66"/>
      <c r="H129" s="66" t="e">
        <v>#N/A</v>
      </c>
      <c r="I129" s="66"/>
      <c r="J129" s="66" t="s">
        <v>870</v>
      </c>
      <c r="K129" s="66" t="s">
        <v>757</v>
      </c>
      <c r="L129" s="66" t="s">
        <v>757</v>
      </c>
      <c r="M129" s="66" t="s">
        <v>757</v>
      </c>
      <c r="N129" s="66" t="s">
        <v>757</v>
      </c>
      <c r="O129" s="66" t="s">
        <v>869</v>
      </c>
      <c r="P129" s="66"/>
      <c r="Q129" s="66">
        <v>1</v>
      </c>
      <c r="R129" s="66">
        <v>571</v>
      </c>
      <c r="S129" s="66"/>
    </row>
    <row r="130" spans="1:19" x14ac:dyDescent="0.25">
      <c r="A130" s="15">
        <v>12</v>
      </c>
      <c r="B130" s="66"/>
      <c r="C130" s="66">
        <v>2429</v>
      </c>
      <c r="D130" s="66"/>
      <c r="E130" s="66" t="s">
        <v>763</v>
      </c>
      <c r="F130" s="66">
        <v>0</v>
      </c>
      <c r="G130" s="66"/>
      <c r="H130" s="66">
        <v>3</v>
      </c>
      <c r="I130" s="66" t="e">
        <v>#N/A</v>
      </c>
      <c r="J130" s="66" t="s">
        <v>870</v>
      </c>
      <c r="K130" s="66"/>
      <c r="L130" s="66"/>
      <c r="M130" s="66"/>
      <c r="N130" s="66"/>
      <c r="O130" s="66" t="s">
        <v>882</v>
      </c>
      <c r="P130" s="66"/>
      <c r="Q130" s="66">
        <v>1</v>
      </c>
      <c r="R130" s="66">
        <v>798</v>
      </c>
      <c r="S130" s="66"/>
    </row>
    <row r="131" spans="1:19" x14ac:dyDescent="0.25">
      <c r="A131" s="15">
        <v>12</v>
      </c>
      <c r="B131" s="66"/>
      <c r="C131" s="66">
        <v>2429</v>
      </c>
      <c r="D131" s="66"/>
      <c r="E131" s="66" t="s">
        <v>763</v>
      </c>
      <c r="F131" s="66">
        <v>3</v>
      </c>
      <c r="G131" s="66"/>
      <c r="H131" s="66">
        <v>3</v>
      </c>
      <c r="I131" s="66" t="e">
        <v>#N/A</v>
      </c>
      <c r="J131" s="66" t="s">
        <v>870</v>
      </c>
      <c r="K131" s="66"/>
      <c r="L131" s="66"/>
      <c r="M131" s="66"/>
      <c r="N131" s="66"/>
      <c r="O131" s="66" t="s">
        <v>894</v>
      </c>
      <c r="P131" s="66"/>
      <c r="Q131" s="66">
        <v>1</v>
      </c>
      <c r="R131" s="66">
        <v>1025</v>
      </c>
      <c r="S131" s="66"/>
    </row>
    <row r="132" spans="1:19" x14ac:dyDescent="0.25">
      <c r="A132" s="15">
        <v>12</v>
      </c>
      <c r="B132" s="66"/>
      <c r="C132" s="66">
        <v>2429</v>
      </c>
      <c r="D132" s="66"/>
      <c r="E132" s="66" t="s">
        <v>763</v>
      </c>
      <c r="F132" s="66">
        <v>3</v>
      </c>
      <c r="G132" s="66"/>
      <c r="H132" s="66" t="e">
        <v>#N/A</v>
      </c>
      <c r="I132" s="66"/>
      <c r="J132" s="66" t="s">
        <v>870</v>
      </c>
      <c r="K132" s="66"/>
      <c r="L132" s="66"/>
      <c r="M132" s="66"/>
      <c r="N132" s="66"/>
      <c r="O132" s="66" t="s">
        <v>906</v>
      </c>
      <c r="P132" s="66"/>
      <c r="Q132" s="66">
        <v>1</v>
      </c>
      <c r="R132" s="66">
        <v>1252</v>
      </c>
      <c r="S132" s="66"/>
    </row>
    <row r="133" spans="1:19" x14ac:dyDescent="0.25">
      <c r="A133" s="15">
        <v>12</v>
      </c>
      <c r="B133" s="66"/>
      <c r="C133" s="66">
        <v>2429</v>
      </c>
      <c r="D133" s="66"/>
      <c r="E133" s="66" t="s">
        <v>763</v>
      </c>
      <c r="F133" s="66">
        <v>5</v>
      </c>
      <c r="G133" s="66"/>
      <c r="H133" s="66" t="e">
        <v>#N/A</v>
      </c>
      <c r="I133" s="66"/>
      <c r="J133" s="66" t="s">
        <v>870</v>
      </c>
      <c r="K133" s="66"/>
      <c r="L133" s="66"/>
      <c r="M133" s="66"/>
      <c r="N133" s="66"/>
      <c r="O133" s="66" t="s">
        <v>908</v>
      </c>
      <c r="P133" s="66"/>
      <c r="Q133" s="66">
        <v>1</v>
      </c>
      <c r="R133" s="66">
        <v>1319</v>
      </c>
      <c r="S133" s="66"/>
    </row>
    <row r="134" spans="1:19" x14ac:dyDescent="0.25">
      <c r="A134" s="15">
        <v>13</v>
      </c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</row>
    <row r="135" spans="1:19" x14ac:dyDescent="0.25">
      <c r="A135" s="15">
        <v>13</v>
      </c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 t="s">
        <v>768</v>
      </c>
      <c r="P135" s="66"/>
      <c r="Q135" s="66"/>
      <c r="R135" s="66"/>
      <c r="S135" s="66"/>
    </row>
    <row r="136" spans="1:19" x14ac:dyDescent="0.25">
      <c r="A136" s="15">
        <v>13</v>
      </c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 t="s">
        <v>834</v>
      </c>
      <c r="P136" s="66"/>
      <c r="Q136" s="66"/>
      <c r="R136" s="66"/>
      <c r="S136" s="66"/>
    </row>
    <row r="137" spans="1:19" x14ac:dyDescent="0.25">
      <c r="A137" s="15">
        <v>13</v>
      </c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 t="s">
        <v>843</v>
      </c>
      <c r="P137" s="66"/>
      <c r="Q137" s="66"/>
      <c r="R137" s="66"/>
      <c r="S137" s="66"/>
    </row>
    <row r="138" spans="1:19" x14ac:dyDescent="0.25">
      <c r="A138" s="15">
        <v>13</v>
      </c>
      <c r="B138" s="66"/>
      <c r="C138" s="66" t="s">
        <v>77</v>
      </c>
      <c r="D138" s="66"/>
      <c r="E138" s="66" t="s">
        <v>763</v>
      </c>
      <c r="F138" s="66">
        <v>12</v>
      </c>
      <c r="G138" s="66"/>
      <c r="H138" s="66">
        <v>9</v>
      </c>
      <c r="I138" s="66">
        <v>11.083333333333334</v>
      </c>
      <c r="J138" s="66" t="s">
        <v>850</v>
      </c>
      <c r="K138" s="66"/>
      <c r="L138" s="66"/>
      <c r="M138" s="66"/>
      <c r="N138" s="66"/>
      <c r="O138" s="66" t="s">
        <v>849</v>
      </c>
      <c r="P138" s="66"/>
      <c r="Q138" s="66">
        <v>1</v>
      </c>
      <c r="R138" s="66">
        <v>273</v>
      </c>
      <c r="S138" s="66"/>
    </row>
    <row r="139" spans="1:19" x14ac:dyDescent="0.25">
      <c r="A139" s="15">
        <v>13</v>
      </c>
      <c r="B139" s="66"/>
      <c r="C139" s="66">
        <v>2429</v>
      </c>
      <c r="D139" s="66"/>
      <c r="E139" s="66" t="s">
        <v>763</v>
      </c>
      <c r="F139" s="66">
        <v>12</v>
      </c>
      <c r="G139" s="66"/>
      <c r="H139" s="66"/>
      <c r="I139" s="66">
        <v>21.583333333333332</v>
      </c>
      <c r="J139" s="66" t="s">
        <v>850</v>
      </c>
      <c r="K139" s="66"/>
      <c r="L139" s="66"/>
      <c r="M139" s="66"/>
      <c r="N139" s="66"/>
      <c r="O139" s="66" t="s">
        <v>852</v>
      </c>
      <c r="P139" s="66"/>
      <c r="Q139" s="66">
        <v>1</v>
      </c>
      <c r="R139" s="66">
        <v>340</v>
      </c>
      <c r="S139" s="66"/>
    </row>
    <row r="140" spans="1:19" x14ac:dyDescent="0.25">
      <c r="A140" s="15">
        <v>13</v>
      </c>
      <c r="B140" s="66"/>
      <c r="C140" s="66">
        <v>2429</v>
      </c>
      <c r="D140" s="66"/>
      <c r="E140" s="66" t="s">
        <v>763</v>
      </c>
      <c r="F140" s="66">
        <v>1</v>
      </c>
      <c r="G140" s="66"/>
      <c r="H140" s="66" t="e">
        <v>#N/A</v>
      </c>
      <c r="I140" s="66"/>
      <c r="J140" s="66" t="s">
        <v>870</v>
      </c>
      <c r="K140" s="66" t="s">
        <v>757</v>
      </c>
      <c r="L140" s="66" t="s">
        <v>757</v>
      </c>
      <c r="M140" s="66" t="s">
        <v>757</v>
      </c>
      <c r="N140" s="66" t="s">
        <v>757</v>
      </c>
      <c r="O140" s="66" t="s">
        <v>869</v>
      </c>
      <c r="P140" s="66"/>
      <c r="Q140" s="66">
        <v>1</v>
      </c>
      <c r="R140" s="66">
        <v>572</v>
      </c>
      <c r="S140" s="66"/>
    </row>
    <row r="141" spans="1:19" x14ac:dyDescent="0.25">
      <c r="A141" s="15">
        <v>13</v>
      </c>
      <c r="B141" s="66"/>
      <c r="C141" s="66">
        <v>2429</v>
      </c>
      <c r="D141" s="66"/>
      <c r="E141" s="66" t="s">
        <v>763</v>
      </c>
      <c r="F141" s="66">
        <v>0</v>
      </c>
      <c r="G141" s="66"/>
      <c r="H141" s="66">
        <v>3</v>
      </c>
      <c r="I141" s="66" t="e">
        <v>#N/A</v>
      </c>
      <c r="J141" s="66" t="s">
        <v>870</v>
      </c>
      <c r="K141" s="66"/>
      <c r="L141" s="66"/>
      <c r="M141" s="66"/>
      <c r="N141" s="66"/>
      <c r="O141" s="66" t="s">
        <v>882</v>
      </c>
      <c r="P141" s="66"/>
      <c r="Q141" s="66">
        <v>1</v>
      </c>
      <c r="R141" s="66">
        <v>799</v>
      </c>
      <c r="S141" s="66"/>
    </row>
    <row r="142" spans="1:19" x14ac:dyDescent="0.25">
      <c r="A142" s="15">
        <v>13</v>
      </c>
      <c r="B142" s="66"/>
      <c r="C142" s="66">
        <v>2429</v>
      </c>
      <c r="D142" s="66"/>
      <c r="E142" s="66" t="s">
        <v>763</v>
      </c>
      <c r="F142" s="66">
        <v>3</v>
      </c>
      <c r="G142" s="66"/>
      <c r="H142" s="66">
        <v>3</v>
      </c>
      <c r="I142" s="66" t="e">
        <v>#N/A</v>
      </c>
      <c r="J142" s="66" t="s">
        <v>870</v>
      </c>
      <c r="K142" s="66"/>
      <c r="L142" s="66"/>
      <c r="M142" s="66"/>
      <c r="N142" s="66"/>
      <c r="O142" s="66" t="s">
        <v>894</v>
      </c>
      <c r="P142" s="66"/>
      <c r="Q142" s="66">
        <v>1</v>
      </c>
      <c r="R142" s="66">
        <v>1026</v>
      </c>
      <c r="S142" s="66"/>
    </row>
    <row r="143" spans="1:19" x14ac:dyDescent="0.25">
      <c r="A143" s="15">
        <v>13</v>
      </c>
      <c r="B143" s="66"/>
      <c r="C143" s="66">
        <v>2429</v>
      </c>
      <c r="D143" s="66"/>
      <c r="E143" s="66" t="s">
        <v>763</v>
      </c>
      <c r="F143" s="66">
        <v>3</v>
      </c>
      <c r="G143" s="66"/>
      <c r="H143" s="66" t="e">
        <v>#N/A</v>
      </c>
      <c r="I143" s="66"/>
      <c r="J143" s="66" t="s">
        <v>870</v>
      </c>
      <c r="K143" s="66"/>
      <c r="L143" s="66"/>
      <c r="M143" s="66"/>
      <c r="N143" s="66"/>
      <c r="O143" s="66" t="s">
        <v>906</v>
      </c>
      <c r="P143" s="66"/>
      <c r="Q143" s="66">
        <v>1</v>
      </c>
      <c r="R143" s="66">
        <v>1253</v>
      </c>
      <c r="S143" s="66"/>
    </row>
    <row r="144" spans="1:19" x14ac:dyDescent="0.25">
      <c r="A144" s="15">
        <v>13</v>
      </c>
      <c r="B144" s="66"/>
      <c r="C144" s="66">
        <v>2429</v>
      </c>
      <c r="D144" s="66"/>
      <c r="E144" s="66" t="s">
        <v>763</v>
      </c>
      <c r="F144" s="66">
        <v>5</v>
      </c>
      <c r="G144" s="66"/>
      <c r="H144" s="66" t="e">
        <v>#N/A</v>
      </c>
      <c r="I144" s="66"/>
      <c r="J144" s="66" t="s">
        <v>870</v>
      </c>
      <c r="K144" s="66"/>
      <c r="L144" s="66"/>
      <c r="M144" s="66"/>
      <c r="N144" s="66"/>
      <c r="O144" s="66" t="s">
        <v>908</v>
      </c>
      <c r="P144" s="66"/>
      <c r="Q144" s="66">
        <v>1</v>
      </c>
      <c r="R144" s="66">
        <v>1320</v>
      </c>
      <c r="S144" s="66"/>
    </row>
    <row r="145" spans="1:19" x14ac:dyDescent="0.25">
      <c r="A145" s="15">
        <v>14</v>
      </c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</row>
    <row r="146" spans="1:19" x14ac:dyDescent="0.25">
      <c r="A146" s="15">
        <v>14</v>
      </c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 t="s">
        <v>769</v>
      </c>
      <c r="P146" s="66"/>
      <c r="Q146" s="66"/>
      <c r="R146" s="66"/>
      <c r="S146" s="66"/>
    </row>
    <row r="147" spans="1:19" x14ac:dyDescent="0.25">
      <c r="A147" s="15">
        <v>14</v>
      </c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 t="s">
        <v>834</v>
      </c>
      <c r="P147" s="66"/>
      <c r="Q147" s="66"/>
      <c r="R147" s="66"/>
      <c r="S147" s="66"/>
    </row>
    <row r="148" spans="1:19" x14ac:dyDescent="0.25">
      <c r="A148" s="15">
        <v>14</v>
      </c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 t="s">
        <v>843</v>
      </c>
      <c r="P148" s="66"/>
      <c r="Q148" s="66"/>
      <c r="R148" s="66"/>
      <c r="S148" s="66"/>
    </row>
    <row r="149" spans="1:19" x14ac:dyDescent="0.25">
      <c r="A149" s="15">
        <v>14</v>
      </c>
      <c r="B149" s="66"/>
      <c r="C149" s="66" t="s">
        <v>77</v>
      </c>
      <c r="D149" s="66"/>
      <c r="E149" s="66" t="s">
        <v>763</v>
      </c>
      <c r="F149" s="66">
        <v>12</v>
      </c>
      <c r="G149" s="66"/>
      <c r="H149" s="66">
        <v>9</v>
      </c>
      <c r="I149" s="66">
        <v>11.083333333333334</v>
      </c>
      <c r="J149" s="66" t="s">
        <v>850</v>
      </c>
      <c r="K149" s="66"/>
      <c r="L149" s="66"/>
      <c r="M149" s="66"/>
      <c r="N149" s="66"/>
      <c r="O149" s="66" t="s">
        <v>849</v>
      </c>
      <c r="P149" s="66"/>
      <c r="Q149" s="66">
        <v>1</v>
      </c>
      <c r="R149" s="66">
        <v>274</v>
      </c>
      <c r="S149" s="66"/>
    </row>
    <row r="150" spans="1:19" x14ac:dyDescent="0.25">
      <c r="A150" s="15">
        <v>14</v>
      </c>
      <c r="B150" s="66"/>
      <c r="C150" s="66">
        <v>2429</v>
      </c>
      <c r="D150" s="66"/>
      <c r="E150" s="66" t="s">
        <v>763</v>
      </c>
      <c r="F150" s="66">
        <v>12</v>
      </c>
      <c r="G150" s="66"/>
      <c r="H150" s="66"/>
      <c r="I150" s="66">
        <v>21.583333333333332</v>
      </c>
      <c r="J150" s="66" t="s">
        <v>850</v>
      </c>
      <c r="K150" s="66"/>
      <c r="L150" s="66"/>
      <c r="M150" s="66"/>
      <c r="N150" s="66"/>
      <c r="O150" s="66" t="s">
        <v>852</v>
      </c>
      <c r="P150" s="66"/>
      <c r="Q150" s="66">
        <v>1</v>
      </c>
      <c r="R150" s="66">
        <v>341</v>
      </c>
      <c r="S150" s="66"/>
    </row>
    <row r="151" spans="1:19" x14ac:dyDescent="0.25">
      <c r="A151" s="15">
        <v>14</v>
      </c>
      <c r="B151" s="66"/>
      <c r="C151" s="66">
        <v>2429</v>
      </c>
      <c r="D151" s="66"/>
      <c r="E151" s="66" t="s">
        <v>763</v>
      </c>
      <c r="F151" s="66">
        <v>1</v>
      </c>
      <c r="G151" s="66"/>
      <c r="H151" s="66" t="e">
        <v>#N/A</v>
      </c>
      <c r="I151" s="66"/>
      <c r="J151" s="66" t="s">
        <v>870</v>
      </c>
      <c r="K151" s="66" t="s">
        <v>757</v>
      </c>
      <c r="L151" s="66" t="s">
        <v>757</v>
      </c>
      <c r="M151" s="66" t="s">
        <v>757</v>
      </c>
      <c r="N151" s="66" t="s">
        <v>757</v>
      </c>
      <c r="O151" s="66" t="s">
        <v>869</v>
      </c>
      <c r="P151" s="66"/>
      <c r="Q151" s="66">
        <v>1</v>
      </c>
      <c r="R151" s="66">
        <v>573</v>
      </c>
      <c r="S151" s="66"/>
    </row>
    <row r="152" spans="1:19" x14ac:dyDescent="0.25">
      <c r="A152" s="15">
        <v>14</v>
      </c>
      <c r="B152" s="66"/>
      <c r="C152" s="66">
        <v>2429</v>
      </c>
      <c r="D152" s="66"/>
      <c r="E152" s="66" t="s">
        <v>763</v>
      </c>
      <c r="F152" s="66">
        <v>0</v>
      </c>
      <c r="G152" s="66"/>
      <c r="H152" s="66">
        <v>3</v>
      </c>
      <c r="I152" s="66" t="e">
        <v>#N/A</v>
      </c>
      <c r="J152" s="66" t="s">
        <v>870</v>
      </c>
      <c r="K152" s="66"/>
      <c r="L152" s="66"/>
      <c r="M152" s="66"/>
      <c r="N152" s="66"/>
      <c r="O152" s="66" t="s">
        <v>882</v>
      </c>
      <c r="P152" s="66"/>
      <c r="Q152" s="66">
        <v>1</v>
      </c>
      <c r="R152" s="66">
        <v>800</v>
      </c>
      <c r="S152" s="66"/>
    </row>
    <row r="153" spans="1:19" x14ac:dyDescent="0.25">
      <c r="A153" s="15">
        <v>14</v>
      </c>
      <c r="B153" s="66"/>
      <c r="C153" s="66">
        <v>2429</v>
      </c>
      <c r="D153" s="66"/>
      <c r="E153" s="66" t="s">
        <v>763</v>
      </c>
      <c r="F153" s="66">
        <v>3</v>
      </c>
      <c r="G153" s="66"/>
      <c r="H153" s="66">
        <v>3</v>
      </c>
      <c r="I153" s="66" t="e">
        <v>#N/A</v>
      </c>
      <c r="J153" s="66" t="s">
        <v>870</v>
      </c>
      <c r="K153" s="66"/>
      <c r="L153" s="66"/>
      <c r="M153" s="66"/>
      <c r="N153" s="66"/>
      <c r="O153" s="66" t="s">
        <v>894</v>
      </c>
      <c r="P153" s="66"/>
      <c r="Q153" s="66">
        <v>1</v>
      </c>
      <c r="R153" s="66">
        <v>1027</v>
      </c>
      <c r="S153" s="66"/>
    </row>
    <row r="154" spans="1:19" x14ac:dyDescent="0.25">
      <c r="A154" s="15">
        <v>14</v>
      </c>
      <c r="B154" s="66"/>
      <c r="C154" s="66">
        <v>2429</v>
      </c>
      <c r="D154" s="66"/>
      <c r="E154" s="66" t="s">
        <v>763</v>
      </c>
      <c r="F154" s="66">
        <v>3</v>
      </c>
      <c r="G154" s="66"/>
      <c r="H154" s="66" t="e">
        <v>#N/A</v>
      </c>
      <c r="I154" s="66"/>
      <c r="J154" s="66" t="s">
        <v>870</v>
      </c>
      <c r="K154" s="66"/>
      <c r="L154" s="66"/>
      <c r="M154" s="66"/>
      <c r="N154" s="66"/>
      <c r="O154" s="66" t="s">
        <v>906</v>
      </c>
      <c r="P154" s="66"/>
      <c r="Q154" s="66">
        <v>1</v>
      </c>
      <c r="R154" s="66">
        <v>1254</v>
      </c>
      <c r="S154" s="66"/>
    </row>
    <row r="155" spans="1:19" x14ac:dyDescent="0.25">
      <c r="A155" s="15">
        <v>14</v>
      </c>
      <c r="B155" s="66"/>
      <c r="C155" s="66">
        <v>2429</v>
      </c>
      <c r="D155" s="66"/>
      <c r="E155" s="66" t="s">
        <v>763</v>
      </c>
      <c r="F155" s="66">
        <v>5</v>
      </c>
      <c r="G155" s="66"/>
      <c r="H155" s="66" t="e">
        <v>#N/A</v>
      </c>
      <c r="I155" s="66"/>
      <c r="J155" s="66" t="s">
        <v>870</v>
      </c>
      <c r="K155" s="66"/>
      <c r="L155" s="66"/>
      <c r="M155" s="66"/>
      <c r="N155" s="66"/>
      <c r="O155" s="66" t="s">
        <v>908</v>
      </c>
      <c r="P155" s="66"/>
      <c r="Q155" s="66">
        <v>1</v>
      </c>
      <c r="R155" s="66">
        <v>1321</v>
      </c>
      <c r="S155" s="66"/>
    </row>
    <row r="156" spans="1:19" x14ac:dyDescent="0.25">
      <c r="A156" s="15">
        <v>15</v>
      </c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</row>
    <row r="157" spans="1:19" x14ac:dyDescent="0.25">
      <c r="A157" s="15">
        <v>15</v>
      </c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 t="s">
        <v>770</v>
      </c>
      <c r="P157" s="66"/>
      <c r="Q157" s="66"/>
      <c r="R157" s="66"/>
      <c r="S157" s="66"/>
    </row>
    <row r="158" spans="1:19" x14ac:dyDescent="0.25">
      <c r="A158" s="15">
        <v>15</v>
      </c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 t="s">
        <v>834</v>
      </c>
      <c r="P158" s="66"/>
      <c r="Q158" s="66"/>
      <c r="R158" s="66"/>
      <c r="S158" s="66"/>
    </row>
    <row r="159" spans="1:19" x14ac:dyDescent="0.25">
      <c r="A159" s="15">
        <v>15</v>
      </c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 t="s">
        <v>843</v>
      </c>
      <c r="P159" s="66"/>
      <c r="Q159" s="66"/>
      <c r="R159" s="66"/>
      <c r="S159" s="66"/>
    </row>
    <row r="160" spans="1:19" x14ac:dyDescent="0.25">
      <c r="A160" s="15">
        <v>15</v>
      </c>
      <c r="B160" s="66"/>
      <c r="C160" s="66" t="s">
        <v>77</v>
      </c>
      <c r="D160" s="66"/>
      <c r="E160" s="66" t="s">
        <v>763</v>
      </c>
      <c r="F160" s="66">
        <v>16</v>
      </c>
      <c r="G160" s="66"/>
      <c r="H160" s="66">
        <v>11</v>
      </c>
      <c r="I160" s="66">
        <v>13.333333333333334</v>
      </c>
      <c r="J160" s="66" t="s">
        <v>850</v>
      </c>
      <c r="K160" s="66"/>
      <c r="L160" s="66"/>
      <c r="M160" s="66"/>
      <c r="N160" s="66"/>
      <c r="O160" s="66" t="s">
        <v>849</v>
      </c>
      <c r="P160" s="66"/>
      <c r="Q160" s="66">
        <v>1</v>
      </c>
      <c r="R160" s="66">
        <v>275</v>
      </c>
      <c r="S160" s="66"/>
    </row>
    <row r="161" spans="1:19" x14ac:dyDescent="0.25">
      <c r="A161" s="15">
        <v>15</v>
      </c>
      <c r="B161" s="66"/>
      <c r="C161" s="66">
        <v>2429</v>
      </c>
      <c r="D161" s="66"/>
      <c r="E161" s="66" t="s">
        <v>763</v>
      </c>
      <c r="F161" s="66">
        <v>16</v>
      </c>
      <c r="G161" s="66"/>
      <c r="H161" s="66"/>
      <c r="I161" s="66">
        <v>21.583333333333332</v>
      </c>
      <c r="J161" s="66" t="s">
        <v>850</v>
      </c>
      <c r="K161" s="66"/>
      <c r="L161" s="66"/>
      <c r="M161" s="66"/>
      <c r="N161" s="66"/>
      <c r="O161" s="66" t="s">
        <v>852</v>
      </c>
      <c r="P161" s="66"/>
      <c r="Q161" s="66">
        <v>1</v>
      </c>
      <c r="R161" s="66">
        <v>342</v>
      </c>
      <c r="S161" s="66"/>
    </row>
    <row r="162" spans="1:19" x14ac:dyDescent="0.25">
      <c r="A162" s="15">
        <v>15</v>
      </c>
      <c r="B162" s="66"/>
      <c r="C162" s="66">
        <v>2429</v>
      </c>
      <c r="D162" s="66"/>
      <c r="E162" s="66" t="s">
        <v>763</v>
      </c>
      <c r="F162" s="66">
        <v>1</v>
      </c>
      <c r="G162" s="66"/>
      <c r="H162" s="66" t="e">
        <v>#N/A</v>
      </c>
      <c r="I162" s="66"/>
      <c r="J162" s="66" t="s">
        <v>870</v>
      </c>
      <c r="K162" s="66" t="s">
        <v>757</v>
      </c>
      <c r="L162" s="66" t="s">
        <v>757</v>
      </c>
      <c r="M162" s="66" t="s">
        <v>757</v>
      </c>
      <c r="N162" s="66" t="s">
        <v>757</v>
      </c>
      <c r="O162" s="66" t="s">
        <v>869</v>
      </c>
      <c r="P162" s="66"/>
      <c r="Q162" s="66">
        <v>1</v>
      </c>
      <c r="R162" s="66">
        <v>574</v>
      </c>
      <c r="S162" s="66"/>
    </row>
    <row r="163" spans="1:19" x14ac:dyDescent="0.25">
      <c r="A163" s="15">
        <v>15</v>
      </c>
      <c r="B163" s="66"/>
      <c r="C163" s="66">
        <v>2429</v>
      </c>
      <c r="D163" s="66"/>
      <c r="E163" s="66" t="s">
        <v>763</v>
      </c>
      <c r="F163" s="66">
        <v>0</v>
      </c>
      <c r="G163" s="66"/>
      <c r="H163" s="66">
        <v>4</v>
      </c>
      <c r="I163" s="66" t="e">
        <v>#N/A</v>
      </c>
      <c r="J163" s="66" t="s">
        <v>870</v>
      </c>
      <c r="K163" s="66"/>
      <c r="L163" s="66"/>
      <c r="M163" s="66"/>
      <c r="N163" s="66"/>
      <c r="O163" s="66" t="s">
        <v>882</v>
      </c>
      <c r="P163" s="66"/>
      <c r="Q163" s="66">
        <v>1</v>
      </c>
      <c r="R163" s="66">
        <v>801</v>
      </c>
      <c r="S163" s="66"/>
    </row>
    <row r="164" spans="1:19" x14ac:dyDescent="0.25">
      <c r="A164" s="15">
        <v>15</v>
      </c>
      <c r="B164" s="66"/>
      <c r="C164" s="66">
        <v>2429</v>
      </c>
      <c r="D164" s="66"/>
      <c r="E164" s="66" t="s">
        <v>763</v>
      </c>
      <c r="F164" s="66">
        <v>3</v>
      </c>
      <c r="G164" s="66"/>
      <c r="H164" s="66">
        <v>4</v>
      </c>
      <c r="I164" s="66" t="e">
        <v>#N/A</v>
      </c>
      <c r="J164" s="66" t="s">
        <v>870</v>
      </c>
      <c r="K164" s="66"/>
      <c r="L164" s="66"/>
      <c r="M164" s="66"/>
      <c r="N164" s="66"/>
      <c r="O164" s="66" t="s">
        <v>894</v>
      </c>
      <c r="P164" s="66"/>
      <c r="Q164" s="66">
        <v>1</v>
      </c>
      <c r="R164" s="66">
        <v>1028</v>
      </c>
      <c r="S164" s="66"/>
    </row>
    <row r="165" spans="1:19" x14ac:dyDescent="0.25">
      <c r="A165" s="15">
        <v>15</v>
      </c>
      <c r="B165" s="66"/>
      <c r="C165" s="66">
        <v>2429</v>
      </c>
      <c r="D165" s="66"/>
      <c r="E165" s="66" t="s">
        <v>763</v>
      </c>
      <c r="F165" s="66">
        <v>3</v>
      </c>
      <c r="G165" s="66"/>
      <c r="H165" s="66" t="e">
        <v>#N/A</v>
      </c>
      <c r="I165" s="66"/>
      <c r="J165" s="66" t="s">
        <v>870</v>
      </c>
      <c r="K165" s="66"/>
      <c r="L165" s="66"/>
      <c r="M165" s="66"/>
      <c r="N165" s="66"/>
      <c r="O165" s="66" t="s">
        <v>906</v>
      </c>
      <c r="P165" s="66"/>
      <c r="Q165" s="66">
        <v>1</v>
      </c>
      <c r="R165" s="66">
        <v>1255</v>
      </c>
      <c r="S165" s="66"/>
    </row>
    <row r="166" spans="1:19" x14ac:dyDescent="0.25">
      <c r="A166" s="15">
        <v>15</v>
      </c>
      <c r="B166" s="66"/>
      <c r="C166" s="66">
        <v>2429</v>
      </c>
      <c r="D166" s="66"/>
      <c r="E166" s="66" t="s">
        <v>763</v>
      </c>
      <c r="F166" s="66">
        <v>5</v>
      </c>
      <c r="G166" s="66"/>
      <c r="H166" s="66" t="e">
        <v>#N/A</v>
      </c>
      <c r="I166" s="66"/>
      <c r="J166" s="66" t="s">
        <v>870</v>
      </c>
      <c r="K166" s="66"/>
      <c r="L166" s="66"/>
      <c r="M166" s="66"/>
      <c r="N166" s="66"/>
      <c r="O166" s="66" t="s">
        <v>908</v>
      </c>
      <c r="P166" s="66"/>
      <c r="Q166" s="66">
        <v>1</v>
      </c>
      <c r="R166" s="66">
        <v>1322</v>
      </c>
      <c r="S166" s="66"/>
    </row>
    <row r="167" spans="1:19" x14ac:dyDescent="0.25">
      <c r="A167" s="15">
        <v>16</v>
      </c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</row>
    <row r="168" spans="1:19" x14ac:dyDescent="0.25">
      <c r="A168" s="15">
        <v>16</v>
      </c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 t="s">
        <v>771</v>
      </c>
      <c r="P168" s="66"/>
      <c r="Q168" s="66"/>
      <c r="R168" s="66"/>
      <c r="S168" s="66"/>
    </row>
    <row r="169" spans="1:19" x14ac:dyDescent="0.25">
      <c r="A169" s="15">
        <v>16</v>
      </c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 t="s">
        <v>835</v>
      </c>
      <c r="P169" s="66"/>
      <c r="Q169" s="66"/>
      <c r="R169" s="66"/>
      <c r="S169" s="66"/>
    </row>
    <row r="170" spans="1:19" x14ac:dyDescent="0.25">
      <c r="A170" s="15">
        <v>16</v>
      </c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 t="s">
        <v>842</v>
      </c>
      <c r="P170" s="66"/>
      <c r="Q170" s="66"/>
      <c r="R170" s="66"/>
      <c r="S170" s="66"/>
    </row>
    <row r="171" spans="1:19" x14ac:dyDescent="0.25">
      <c r="A171" s="15">
        <v>16</v>
      </c>
      <c r="B171" s="66"/>
      <c r="C171" s="66" t="s">
        <v>77</v>
      </c>
      <c r="D171" s="66"/>
      <c r="E171" s="66" t="s">
        <v>763</v>
      </c>
      <c r="F171" s="66">
        <v>12</v>
      </c>
      <c r="G171" s="66"/>
      <c r="H171" s="66">
        <v>9</v>
      </c>
      <c r="I171" s="66">
        <v>10.583333333333334</v>
      </c>
      <c r="J171" s="66" t="s">
        <v>850</v>
      </c>
      <c r="K171" s="66"/>
      <c r="L171" s="66"/>
      <c r="M171" s="66"/>
      <c r="N171" s="66"/>
      <c r="O171" s="66" t="s">
        <v>849</v>
      </c>
      <c r="P171" s="66"/>
      <c r="Q171" s="66">
        <v>1</v>
      </c>
      <c r="R171" s="66">
        <v>276</v>
      </c>
      <c r="S171" s="66"/>
    </row>
    <row r="172" spans="1:19" x14ac:dyDescent="0.25">
      <c r="A172" s="15">
        <v>16</v>
      </c>
      <c r="B172" s="66"/>
      <c r="C172" s="66">
        <v>2429</v>
      </c>
      <c r="D172" s="66"/>
      <c r="E172" s="66" t="s">
        <v>763</v>
      </c>
      <c r="F172" s="66">
        <v>12</v>
      </c>
      <c r="G172" s="66"/>
      <c r="H172" s="66"/>
      <c r="I172" s="66">
        <v>19.583333333333332</v>
      </c>
      <c r="J172" s="66" t="s">
        <v>850</v>
      </c>
      <c r="K172" s="66"/>
      <c r="L172" s="66"/>
      <c r="M172" s="66"/>
      <c r="N172" s="66"/>
      <c r="O172" s="66" t="s">
        <v>852</v>
      </c>
      <c r="P172" s="66"/>
      <c r="Q172" s="66">
        <v>1</v>
      </c>
      <c r="R172" s="66">
        <v>343</v>
      </c>
      <c r="S172" s="66"/>
    </row>
    <row r="173" spans="1:19" x14ac:dyDescent="0.25">
      <c r="A173" s="15">
        <v>16</v>
      </c>
      <c r="B173" s="66"/>
      <c r="C173" s="66">
        <v>2429</v>
      </c>
      <c r="D173" s="66"/>
      <c r="E173" s="66" t="s">
        <v>763</v>
      </c>
      <c r="F173" s="66">
        <v>1</v>
      </c>
      <c r="G173" s="66"/>
      <c r="H173" s="66" t="e">
        <v>#N/A</v>
      </c>
      <c r="I173" s="66"/>
      <c r="J173" s="66" t="s">
        <v>870</v>
      </c>
      <c r="K173" s="66" t="s">
        <v>757</v>
      </c>
      <c r="L173" s="66" t="s">
        <v>757</v>
      </c>
      <c r="M173" s="66" t="s">
        <v>757</v>
      </c>
      <c r="N173" s="66" t="s">
        <v>757</v>
      </c>
      <c r="O173" s="66" t="s">
        <v>869</v>
      </c>
      <c r="P173" s="66"/>
      <c r="Q173" s="66">
        <v>1</v>
      </c>
      <c r="R173" s="66">
        <v>575</v>
      </c>
      <c r="S173" s="66"/>
    </row>
    <row r="174" spans="1:19" x14ac:dyDescent="0.25">
      <c r="A174" s="15">
        <v>16</v>
      </c>
      <c r="B174" s="66"/>
      <c r="C174" s="66">
        <v>2429</v>
      </c>
      <c r="D174" s="66"/>
      <c r="E174" s="66" t="s">
        <v>763</v>
      </c>
      <c r="F174" s="66">
        <v>0</v>
      </c>
      <c r="G174" s="66"/>
      <c r="H174" s="66">
        <v>3</v>
      </c>
      <c r="I174" s="66" t="e">
        <v>#N/A</v>
      </c>
      <c r="J174" s="66" t="s">
        <v>870</v>
      </c>
      <c r="K174" s="66"/>
      <c r="L174" s="66"/>
      <c r="M174" s="66"/>
      <c r="N174" s="66"/>
      <c r="O174" s="66" t="s">
        <v>882</v>
      </c>
      <c r="P174" s="66"/>
      <c r="Q174" s="66">
        <v>1</v>
      </c>
      <c r="R174" s="66">
        <v>802</v>
      </c>
      <c r="S174" s="66"/>
    </row>
    <row r="175" spans="1:19" x14ac:dyDescent="0.25">
      <c r="A175" s="15">
        <v>16</v>
      </c>
      <c r="B175" s="66"/>
      <c r="C175" s="66">
        <v>2429</v>
      </c>
      <c r="D175" s="66"/>
      <c r="E175" s="66" t="s">
        <v>763</v>
      </c>
      <c r="F175" s="66">
        <v>3</v>
      </c>
      <c r="G175" s="66"/>
      <c r="H175" s="66">
        <v>3</v>
      </c>
      <c r="I175" s="66" t="e">
        <v>#N/A</v>
      </c>
      <c r="J175" s="66" t="s">
        <v>870</v>
      </c>
      <c r="K175" s="66"/>
      <c r="L175" s="66"/>
      <c r="M175" s="66"/>
      <c r="N175" s="66"/>
      <c r="O175" s="66" t="s">
        <v>894</v>
      </c>
      <c r="P175" s="66"/>
      <c r="Q175" s="66">
        <v>1</v>
      </c>
      <c r="R175" s="66">
        <v>1029</v>
      </c>
      <c r="S175" s="66"/>
    </row>
    <row r="176" spans="1:19" x14ac:dyDescent="0.25">
      <c r="A176" s="15">
        <v>16</v>
      </c>
      <c r="B176" s="66"/>
      <c r="C176" s="66">
        <v>2429</v>
      </c>
      <c r="D176" s="66"/>
      <c r="E176" s="66" t="s">
        <v>763</v>
      </c>
      <c r="F176" s="66">
        <v>3</v>
      </c>
      <c r="G176" s="66"/>
      <c r="H176" s="66" t="e">
        <v>#N/A</v>
      </c>
      <c r="I176" s="66"/>
      <c r="J176" s="66" t="s">
        <v>870</v>
      </c>
      <c r="K176" s="66"/>
      <c r="L176" s="66"/>
      <c r="M176" s="66"/>
      <c r="N176" s="66"/>
      <c r="O176" s="66" t="s">
        <v>906</v>
      </c>
      <c r="P176" s="66"/>
      <c r="Q176" s="66">
        <v>1</v>
      </c>
      <c r="R176" s="66">
        <v>1256</v>
      </c>
      <c r="S176" s="66"/>
    </row>
    <row r="177" spans="1:19" x14ac:dyDescent="0.25">
      <c r="A177" s="15">
        <v>16</v>
      </c>
      <c r="B177" s="66"/>
      <c r="C177" s="66">
        <v>2429</v>
      </c>
      <c r="D177" s="66"/>
      <c r="E177" s="66" t="s">
        <v>763</v>
      </c>
      <c r="F177" s="66">
        <v>5</v>
      </c>
      <c r="G177" s="66"/>
      <c r="H177" s="66" t="e">
        <v>#N/A</v>
      </c>
      <c r="I177" s="66"/>
      <c r="J177" s="66" t="s">
        <v>870</v>
      </c>
      <c r="K177" s="66"/>
      <c r="L177" s="66"/>
      <c r="M177" s="66"/>
      <c r="N177" s="66"/>
      <c r="O177" s="66" t="s">
        <v>908</v>
      </c>
      <c r="P177" s="66"/>
      <c r="Q177" s="66">
        <v>1</v>
      </c>
      <c r="R177" s="66">
        <v>1323</v>
      </c>
      <c r="S177" s="66"/>
    </row>
    <row r="178" spans="1:19" x14ac:dyDescent="0.25">
      <c r="A178" s="15">
        <v>17</v>
      </c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</row>
    <row r="179" spans="1:19" x14ac:dyDescent="0.25">
      <c r="A179" s="15">
        <v>17</v>
      </c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 t="s">
        <v>772</v>
      </c>
      <c r="P179" s="66"/>
      <c r="Q179" s="66"/>
      <c r="R179" s="66"/>
      <c r="S179" s="66"/>
    </row>
    <row r="180" spans="1:19" x14ac:dyDescent="0.25">
      <c r="A180" s="15">
        <v>17</v>
      </c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 t="s">
        <v>835</v>
      </c>
      <c r="P180" s="66"/>
      <c r="Q180" s="66"/>
      <c r="R180" s="66"/>
      <c r="S180" s="66"/>
    </row>
    <row r="181" spans="1:19" x14ac:dyDescent="0.25">
      <c r="A181" s="15">
        <v>17</v>
      </c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 t="s">
        <v>844</v>
      </c>
      <c r="P181" s="66"/>
      <c r="Q181" s="66"/>
      <c r="R181" s="66"/>
      <c r="S181" s="66"/>
    </row>
    <row r="182" spans="1:19" x14ac:dyDescent="0.25">
      <c r="A182" s="15">
        <v>17</v>
      </c>
      <c r="B182" s="66"/>
      <c r="C182" s="66" t="s">
        <v>77</v>
      </c>
      <c r="D182" s="66"/>
      <c r="E182" s="66" t="s">
        <v>763</v>
      </c>
      <c r="F182" s="66">
        <v>6</v>
      </c>
      <c r="G182" s="66"/>
      <c r="H182" s="66">
        <v>7</v>
      </c>
      <c r="I182" s="66">
        <v>8.6666666666666679</v>
      </c>
      <c r="J182" s="66" t="s">
        <v>850</v>
      </c>
      <c r="K182" s="66"/>
      <c r="L182" s="66"/>
      <c r="M182" s="66"/>
      <c r="N182" s="66"/>
      <c r="O182" s="66" t="s">
        <v>849</v>
      </c>
      <c r="P182" s="66"/>
      <c r="Q182" s="66">
        <v>1</v>
      </c>
      <c r="R182" s="66">
        <v>277</v>
      </c>
      <c r="S182" s="66"/>
    </row>
    <row r="183" spans="1:19" x14ac:dyDescent="0.25">
      <c r="A183" s="15">
        <v>17</v>
      </c>
      <c r="B183" s="66"/>
      <c r="C183" s="66">
        <v>2429</v>
      </c>
      <c r="D183" s="66"/>
      <c r="E183" s="66" t="s">
        <v>763</v>
      </c>
      <c r="F183" s="66">
        <v>6</v>
      </c>
      <c r="G183" s="66"/>
      <c r="H183" s="66"/>
      <c r="I183" s="66">
        <v>12.25</v>
      </c>
      <c r="J183" s="66" t="s">
        <v>850</v>
      </c>
      <c r="K183" s="66"/>
      <c r="L183" s="66"/>
      <c r="M183" s="66"/>
      <c r="N183" s="66"/>
      <c r="O183" s="66" t="s">
        <v>852</v>
      </c>
      <c r="P183" s="66"/>
      <c r="Q183" s="66">
        <v>1</v>
      </c>
      <c r="R183" s="66">
        <v>344</v>
      </c>
      <c r="S183" s="66"/>
    </row>
    <row r="184" spans="1:19" x14ac:dyDescent="0.25">
      <c r="A184" s="15">
        <v>17</v>
      </c>
      <c r="B184" s="66"/>
      <c r="C184" s="66">
        <v>2429</v>
      </c>
      <c r="D184" s="66"/>
      <c r="E184" s="66" t="s">
        <v>763</v>
      </c>
      <c r="F184" s="66">
        <v>1</v>
      </c>
      <c r="G184" s="66"/>
      <c r="H184" s="66" t="e">
        <v>#N/A</v>
      </c>
      <c r="I184" s="66"/>
      <c r="J184" s="66" t="s">
        <v>870</v>
      </c>
      <c r="K184" s="66" t="s">
        <v>757</v>
      </c>
      <c r="L184" s="66" t="s">
        <v>757</v>
      </c>
      <c r="M184" s="66" t="s">
        <v>757</v>
      </c>
      <c r="N184" s="66" t="s">
        <v>757</v>
      </c>
      <c r="O184" s="66" t="s">
        <v>869</v>
      </c>
      <c r="P184" s="66"/>
      <c r="Q184" s="66">
        <v>1</v>
      </c>
      <c r="R184" s="66">
        <v>576</v>
      </c>
      <c r="S184" s="66"/>
    </row>
    <row r="185" spans="1:19" x14ac:dyDescent="0.25">
      <c r="A185" s="15">
        <v>17</v>
      </c>
      <c r="B185" s="66"/>
      <c r="C185" s="66">
        <v>2429</v>
      </c>
      <c r="D185" s="66"/>
      <c r="E185" s="66" t="s">
        <v>763</v>
      </c>
      <c r="F185" s="66">
        <v>0</v>
      </c>
      <c r="G185" s="66"/>
      <c r="H185" s="66">
        <v>3</v>
      </c>
      <c r="I185" s="66" t="e">
        <v>#N/A</v>
      </c>
      <c r="J185" s="66" t="s">
        <v>870</v>
      </c>
      <c r="K185" s="66"/>
      <c r="L185" s="66"/>
      <c r="M185" s="66"/>
      <c r="N185" s="66"/>
      <c r="O185" s="66" t="s">
        <v>882</v>
      </c>
      <c r="P185" s="66"/>
      <c r="Q185" s="66">
        <v>1</v>
      </c>
      <c r="R185" s="66">
        <v>803</v>
      </c>
      <c r="S185" s="66"/>
    </row>
    <row r="186" spans="1:19" x14ac:dyDescent="0.25">
      <c r="A186" s="15">
        <v>17</v>
      </c>
      <c r="B186" s="66"/>
      <c r="C186" s="66">
        <v>2429</v>
      </c>
      <c r="D186" s="66"/>
      <c r="E186" s="66" t="s">
        <v>763</v>
      </c>
      <c r="F186" s="66">
        <v>3</v>
      </c>
      <c r="G186" s="66"/>
      <c r="H186" s="66">
        <v>3</v>
      </c>
      <c r="I186" s="66" t="e">
        <v>#N/A</v>
      </c>
      <c r="J186" s="66" t="s">
        <v>870</v>
      </c>
      <c r="K186" s="66"/>
      <c r="L186" s="66"/>
      <c r="M186" s="66"/>
      <c r="N186" s="66"/>
      <c r="O186" s="66" t="s">
        <v>894</v>
      </c>
      <c r="P186" s="66"/>
      <c r="Q186" s="66">
        <v>1</v>
      </c>
      <c r="R186" s="66">
        <v>1030</v>
      </c>
      <c r="S186" s="66"/>
    </row>
    <row r="187" spans="1:19" x14ac:dyDescent="0.25">
      <c r="A187" s="15">
        <v>17</v>
      </c>
      <c r="B187" s="66"/>
      <c r="C187" s="66">
        <v>2429</v>
      </c>
      <c r="D187" s="66"/>
      <c r="E187" s="66" t="s">
        <v>763</v>
      </c>
      <c r="F187" s="66">
        <v>3</v>
      </c>
      <c r="G187" s="66"/>
      <c r="H187" s="66" t="e">
        <v>#N/A</v>
      </c>
      <c r="I187" s="66"/>
      <c r="J187" s="66" t="s">
        <v>870</v>
      </c>
      <c r="K187" s="66"/>
      <c r="L187" s="66"/>
      <c r="M187" s="66"/>
      <c r="N187" s="66"/>
      <c r="O187" s="66" t="s">
        <v>906</v>
      </c>
      <c r="P187" s="66"/>
      <c r="Q187" s="66">
        <v>1</v>
      </c>
      <c r="R187" s="66">
        <v>1257</v>
      </c>
      <c r="S187" s="66"/>
    </row>
    <row r="188" spans="1:19" x14ac:dyDescent="0.25">
      <c r="A188" s="15">
        <v>17</v>
      </c>
      <c r="B188" s="66"/>
      <c r="C188" s="66">
        <v>2429</v>
      </c>
      <c r="D188" s="66"/>
      <c r="E188" s="66" t="s">
        <v>763</v>
      </c>
      <c r="F188" s="66">
        <v>5</v>
      </c>
      <c r="G188" s="66"/>
      <c r="H188" s="66" t="e">
        <v>#N/A</v>
      </c>
      <c r="I188" s="66"/>
      <c r="J188" s="66" t="s">
        <v>870</v>
      </c>
      <c r="K188" s="66"/>
      <c r="L188" s="66"/>
      <c r="M188" s="66"/>
      <c r="N188" s="66"/>
      <c r="O188" s="66" t="s">
        <v>908</v>
      </c>
      <c r="P188" s="66"/>
      <c r="Q188" s="66">
        <v>1</v>
      </c>
      <c r="R188" s="66">
        <v>1324</v>
      </c>
      <c r="S188" s="66"/>
    </row>
    <row r="189" spans="1:19" x14ac:dyDescent="0.25">
      <c r="A189" s="15">
        <v>18</v>
      </c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</row>
    <row r="190" spans="1:19" x14ac:dyDescent="0.25">
      <c r="A190" s="15">
        <v>18</v>
      </c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 t="s">
        <v>773</v>
      </c>
      <c r="P190" s="66"/>
      <c r="Q190" s="66"/>
      <c r="R190" s="66"/>
      <c r="S190" s="66"/>
    </row>
    <row r="191" spans="1:19" x14ac:dyDescent="0.25">
      <c r="A191" s="15">
        <v>18</v>
      </c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 t="s">
        <v>835</v>
      </c>
      <c r="P191" s="66"/>
      <c r="Q191" s="66"/>
      <c r="R191" s="66"/>
      <c r="S191" s="66"/>
    </row>
    <row r="192" spans="1:19" x14ac:dyDescent="0.25">
      <c r="A192" s="15">
        <v>18</v>
      </c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 t="s">
        <v>842</v>
      </c>
      <c r="P192" s="66"/>
      <c r="Q192" s="66"/>
      <c r="R192" s="66"/>
      <c r="S192" s="66"/>
    </row>
    <row r="193" spans="1:19" x14ac:dyDescent="0.25">
      <c r="A193" s="15">
        <v>18</v>
      </c>
      <c r="B193" s="66"/>
      <c r="C193" s="66" t="s">
        <v>77</v>
      </c>
      <c r="D193" s="66"/>
      <c r="E193" s="66" t="s">
        <v>763</v>
      </c>
      <c r="F193" s="66">
        <v>12</v>
      </c>
      <c r="G193" s="66"/>
      <c r="H193" s="66">
        <v>9</v>
      </c>
      <c r="I193" s="66">
        <v>9.0833333333333339</v>
      </c>
      <c r="J193" s="66" t="s">
        <v>850</v>
      </c>
      <c r="K193" s="66"/>
      <c r="L193" s="66"/>
      <c r="M193" s="66"/>
      <c r="N193" s="66"/>
      <c r="O193" s="66" t="s">
        <v>849</v>
      </c>
      <c r="P193" s="66"/>
      <c r="Q193" s="66">
        <v>1</v>
      </c>
      <c r="R193" s="66">
        <v>278</v>
      </c>
      <c r="S193" s="66"/>
    </row>
    <row r="194" spans="1:19" x14ac:dyDescent="0.25">
      <c r="A194" s="15">
        <v>18</v>
      </c>
      <c r="B194" s="66"/>
      <c r="C194" s="66">
        <v>2429</v>
      </c>
      <c r="D194" s="66"/>
      <c r="E194" s="66" t="s">
        <v>763</v>
      </c>
      <c r="F194" s="66">
        <v>12</v>
      </c>
      <c r="G194" s="66"/>
      <c r="H194" s="66"/>
      <c r="I194" s="66">
        <v>19.583333333333332</v>
      </c>
      <c r="J194" s="66" t="s">
        <v>850</v>
      </c>
      <c r="K194" s="66"/>
      <c r="L194" s="66"/>
      <c r="M194" s="66"/>
      <c r="N194" s="66"/>
      <c r="O194" s="66" t="s">
        <v>852</v>
      </c>
      <c r="P194" s="66"/>
      <c r="Q194" s="66">
        <v>1</v>
      </c>
      <c r="R194" s="66">
        <v>345</v>
      </c>
      <c r="S194" s="66"/>
    </row>
    <row r="195" spans="1:19" x14ac:dyDescent="0.25">
      <c r="A195" s="15">
        <v>18</v>
      </c>
      <c r="B195" s="66"/>
      <c r="C195" s="66">
        <v>2429</v>
      </c>
      <c r="D195" s="66"/>
      <c r="E195" s="66" t="s">
        <v>763</v>
      </c>
      <c r="F195" s="66">
        <v>1</v>
      </c>
      <c r="G195" s="66"/>
      <c r="H195" s="66" t="e">
        <v>#N/A</v>
      </c>
      <c r="I195" s="66"/>
      <c r="J195" s="66" t="s">
        <v>870</v>
      </c>
      <c r="K195" s="66" t="s">
        <v>757</v>
      </c>
      <c r="L195" s="66" t="s">
        <v>757</v>
      </c>
      <c r="M195" s="66" t="s">
        <v>757</v>
      </c>
      <c r="N195" s="66" t="s">
        <v>757</v>
      </c>
      <c r="O195" s="66" t="s">
        <v>869</v>
      </c>
      <c r="P195" s="66"/>
      <c r="Q195" s="66">
        <v>1</v>
      </c>
      <c r="R195" s="66">
        <v>577</v>
      </c>
      <c r="S195" s="66"/>
    </row>
    <row r="196" spans="1:19" x14ac:dyDescent="0.25">
      <c r="A196" s="15">
        <v>18</v>
      </c>
      <c r="B196" s="66"/>
      <c r="C196" s="66">
        <v>2429</v>
      </c>
      <c r="D196" s="66"/>
      <c r="E196" s="66" t="s">
        <v>763</v>
      </c>
      <c r="F196" s="66">
        <v>0</v>
      </c>
      <c r="G196" s="66"/>
      <c r="H196" s="66">
        <v>3</v>
      </c>
      <c r="I196" s="66" t="e">
        <v>#N/A</v>
      </c>
      <c r="J196" s="66" t="s">
        <v>870</v>
      </c>
      <c r="K196" s="66"/>
      <c r="L196" s="66"/>
      <c r="M196" s="66"/>
      <c r="N196" s="66"/>
      <c r="O196" s="66" t="s">
        <v>882</v>
      </c>
      <c r="P196" s="66"/>
      <c r="Q196" s="66">
        <v>1</v>
      </c>
      <c r="R196" s="66">
        <v>804</v>
      </c>
      <c r="S196" s="66"/>
    </row>
    <row r="197" spans="1:19" x14ac:dyDescent="0.25">
      <c r="A197" s="15">
        <v>18</v>
      </c>
      <c r="B197" s="66"/>
      <c r="C197" s="66">
        <v>2429</v>
      </c>
      <c r="D197" s="66"/>
      <c r="E197" s="66" t="s">
        <v>763</v>
      </c>
      <c r="F197" s="66">
        <v>3</v>
      </c>
      <c r="G197" s="66"/>
      <c r="H197" s="66">
        <v>3</v>
      </c>
      <c r="I197" s="66" t="e">
        <v>#N/A</v>
      </c>
      <c r="J197" s="66" t="s">
        <v>870</v>
      </c>
      <c r="K197" s="66"/>
      <c r="L197" s="66"/>
      <c r="M197" s="66"/>
      <c r="N197" s="66"/>
      <c r="O197" s="66" t="s">
        <v>894</v>
      </c>
      <c r="P197" s="66"/>
      <c r="Q197" s="66">
        <v>1</v>
      </c>
      <c r="R197" s="66">
        <v>1031</v>
      </c>
      <c r="S197" s="66"/>
    </row>
    <row r="198" spans="1:19" x14ac:dyDescent="0.25">
      <c r="A198" s="15">
        <v>18</v>
      </c>
      <c r="B198" s="66"/>
      <c r="C198" s="66">
        <v>2429</v>
      </c>
      <c r="D198" s="66"/>
      <c r="E198" s="66" t="s">
        <v>763</v>
      </c>
      <c r="F198" s="66">
        <v>3</v>
      </c>
      <c r="G198" s="66"/>
      <c r="H198" s="66" t="e">
        <v>#N/A</v>
      </c>
      <c r="I198" s="66"/>
      <c r="J198" s="66" t="s">
        <v>870</v>
      </c>
      <c r="K198" s="66"/>
      <c r="L198" s="66"/>
      <c r="M198" s="66"/>
      <c r="N198" s="66"/>
      <c r="O198" s="66" t="s">
        <v>906</v>
      </c>
      <c r="P198" s="66"/>
      <c r="Q198" s="66">
        <v>1</v>
      </c>
      <c r="R198" s="66">
        <v>1258</v>
      </c>
      <c r="S198" s="66"/>
    </row>
    <row r="199" spans="1:19" x14ac:dyDescent="0.25">
      <c r="A199" s="15">
        <v>18</v>
      </c>
      <c r="B199" s="66"/>
      <c r="C199" s="66">
        <v>2429</v>
      </c>
      <c r="D199" s="66"/>
      <c r="E199" s="66" t="s">
        <v>763</v>
      </c>
      <c r="F199" s="66">
        <v>5</v>
      </c>
      <c r="G199" s="66"/>
      <c r="H199" s="66" t="e">
        <v>#N/A</v>
      </c>
      <c r="I199" s="66"/>
      <c r="J199" s="66" t="s">
        <v>870</v>
      </c>
      <c r="K199" s="66"/>
      <c r="L199" s="66"/>
      <c r="M199" s="66"/>
      <c r="N199" s="66"/>
      <c r="O199" s="66" t="s">
        <v>908</v>
      </c>
      <c r="P199" s="66"/>
      <c r="Q199" s="66">
        <v>1</v>
      </c>
      <c r="R199" s="66">
        <v>1325</v>
      </c>
      <c r="S199" s="66"/>
    </row>
    <row r="200" spans="1:19" x14ac:dyDescent="0.25">
      <c r="A200" s="15">
        <v>19</v>
      </c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</row>
    <row r="201" spans="1:19" x14ac:dyDescent="0.25">
      <c r="A201" s="15">
        <v>19</v>
      </c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 t="s">
        <v>774</v>
      </c>
      <c r="P201" s="66"/>
      <c r="Q201" s="66"/>
      <c r="R201" s="66"/>
      <c r="S201" s="66"/>
    </row>
    <row r="202" spans="1:19" x14ac:dyDescent="0.25">
      <c r="A202" s="15">
        <v>19</v>
      </c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 t="s">
        <v>834</v>
      </c>
      <c r="P202" s="66"/>
      <c r="Q202" s="66"/>
      <c r="R202" s="66"/>
      <c r="S202" s="66"/>
    </row>
    <row r="203" spans="1:19" x14ac:dyDescent="0.25">
      <c r="A203" s="15">
        <v>19</v>
      </c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 t="s">
        <v>843</v>
      </c>
      <c r="P203" s="66"/>
      <c r="Q203" s="66"/>
      <c r="R203" s="66"/>
      <c r="S203" s="66"/>
    </row>
    <row r="204" spans="1:19" x14ac:dyDescent="0.25">
      <c r="A204" s="15">
        <v>19</v>
      </c>
      <c r="B204" s="66"/>
      <c r="C204" s="66" t="s">
        <v>77</v>
      </c>
      <c r="D204" s="66"/>
      <c r="E204" s="66" t="s">
        <v>763</v>
      </c>
      <c r="F204" s="66">
        <v>12</v>
      </c>
      <c r="G204" s="66"/>
      <c r="H204" s="66">
        <v>9</v>
      </c>
      <c r="I204" s="66">
        <v>10.083333333333334</v>
      </c>
      <c r="J204" s="66" t="s">
        <v>850</v>
      </c>
      <c r="K204" s="66"/>
      <c r="L204" s="66"/>
      <c r="M204" s="66"/>
      <c r="N204" s="66"/>
      <c r="O204" s="66" t="s">
        <v>849</v>
      </c>
      <c r="P204" s="66"/>
      <c r="Q204" s="66">
        <v>1</v>
      </c>
      <c r="R204" s="66">
        <v>279</v>
      </c>
      <c r="S204" s="66"/>
    </row>
    <row r="205" spans="1:19" x14ac:dyDescent="0.25">
      <c r="A205" s="15">
        <v>19</v>
      </c>
      <c r="B205" s="66"/>
      <c r="C205" s="66">
        <v>2429</v>
      </c>
      <c r="D205" s="66"/>
      <c r="E205" s="66" t="s">
        <v>763</v>
      </c>
      <c r="F205" s="66">
        <v>12</v>
      </c>
      <c r="G205" s="66"/>
      <c r="H205" s="66"/>
      <c r="I205" s="66">
        <v>21.583333333333332</v>
      </c>
      <c r="J205" s="66" t="s">
        <v>850</v>
      </c>
      <c r="K205" s="66"/>
      <c r="L205" s="66"/>
      <c r="M205" s="66"/>
      <c r="N205" s="66"/>
      <c r="O205" s="66" t="s">
        <v>852</v>
      </c>
      <c r="P205" s="66"/>
      <c r="Q205" s="66">
        <v>1</v>
      </c>
      <c r="R205" s="66">
        <v>346</v>
      </c>
      <c r="S205" s="66"/>
    </row>
    <row r="206" spans="1:19" x14ac:dyDescent="0.25">
      <c r="A206" s="15">
        <v>19</v>
      </c>
      <c r="B206" s="66"/>
      <c r="C206" s="66">
        <v>2429</v>
      </c>
      <c r="D206" s="66"/>
      <c r="E206" s="66" t="s">
        <v>763</v>
      </c>
      <c r="F206" s="66">
        <v>1</v>
      </c>
      <c r="G206" s="66"/>
      <c r="H206" s="66" t="e">
        <v>#N/A</v>
      </c>
      <c r="I206" s="66"/>
      <c r="J206" s="66" t="s">
        <v>870</v>
      </c>
      <c r="K206" s="66" t="s">
        <v>757</v>
      </c>
      <c r="L206" s="66" t="s">
        <v>757</v>
      </c>
      <c r="M206" s="66" t="s">
        <v>757</v>
      </c>
      <c r="N206" s="66" t="s">
        <v>757</v>
      </c>
      <c r="O206" s="66" t="s">
        <v>869</v>
      </c>
      <c r="P206" s="66"/>
      <c r="Q206" s="66">
        <v>1</v>
      </c>
      <c r="R206" s="66">
        <v>578</v>
      </c>
      <c r="S206" s="66"/>
    </row>
    <row r="207" spans="1:19" x14ac:dyDescent="0.25">
      <c r="A207" s="15">
        <v>19</v>
      </c>
      <c r="B207" s="66"/>
      <c r="C207" s="66">
        <v>2429</v>
      </c>
      <c r="D207" s="66"/>
      <c r="E207" s="66" t="s">
        <v>763</v>
      </c>
      <c r="F207" s="66">
        <v>0</v>
      </c>
      <c r="G207" s="66"/>
      <c r="H207" s="66">
        <v>3</v>
      </c>
      <c r="I207" s="66" t="e">
        <v>#N/A</v>
      </c>
      <c r="J207" s="66" t="s">
        <v>870</v>
      </c>
      <c r="K207" s="66"/>
      <c r="L207" s="66"/>
      <c r="M207" s="66"/>
      <c r="N207" s="66"/>
      <c r="O207" s="66" t="s">
        <v>882</v>
      </c>
      <c r="P207" s="66"/>
      <c r="Q207" s="66">
        <v>1</v>
      </c>
      <c r="R207" s="66">
        <v>805</v>
      </c>
      <c r="S207" s="66"/>
    </row>
    <row r="208" spans="1:19" x14ac:dyDescent="0.25">
      <c r="A208" s="15">
        <v>19</v>
      </c>
      <c r="B208" s="66"/>
      <c r="C208" s="66">
        <v>2429</v>
      </c>
      <c r="D208" s="66"/>
      <c r="E208" s="66" t="s">
        <v>763</v>
      </c>
      <c r="F208" s="66">
        <v>3</v>
      </c>
      <c r="G208" s="66"/>
      <c r="H208" s="66">
        <v>3</v>
      </c>
      <c r="I208" s="66" t="e">
        <v>#N/A</v>
      </c>
      <c r="J208" s="66" t="s">
        <v>870</v>
      </c>
      <c r="K208" s="66"/>
      <c r="L208" s="66"/>
      <c r="M208" s="66"/>
      <c r="N208" s="66"/>
      <c r="O208" s="66" t="s">
        <v>894</v>
      </c>
      <c r="P208" s="66"/>
      <c r="Q208" s="66">
        <v>1</v>
      </c>
      <c r="R208" s="66">
        <v>1032</v>
      </c>
      <c r="S208" s="66"/>
    </row>
    <row r="209" spans="1:19" x14ac:dyDescent="0.25">
      <c r="A209" s="15">
        <v>19</v>
      </c>
      <c r="B209" s="66"/>
      <c r="C209" s="66">
        <v>2429</v>
      </c>
      <c r="D209" s="66"/>
      <c r="E209" s="66" t="s">
        <v>763</v>
      </c>
      <c r="F209" s="66">
        <v>3</v>
      </c>
      <c r="G209" s="66"/>
      <c r="H209" s="66" t="e">
        <v>#N/A</v>
      </c>
      <c r="I209" s="66"/>
      <c r="J209" s="66" t="s">
        <v>870</v>
      </c>
      <c r="K209" s="66"/>
      <c r="L209" s="66"/>
      <c r="M209" s="66"/>
      <c r="N209" s="66"/>
      <c r="O209" s="66" t="s">
        <v>906</v>
      </c>
      <c r="P209" s="66"/>
      <c r="Q209" s="66">
        <v>1</v>
      </c>
      <c r="R209" s="66">
        <v>1259</v>
      </c>
      <c r="S209" s="66"/>
    </row>
    <row r="210" spans="1:19" x14ac:dyDescent="0.25">
      <c r="A210" s="15">
        <v>19</v>
      </c>
      <c r="B210" s="66"/>
      <c r="C210" s="66">
        <v>2429</v>
      </c>
      <c r="D210" s="66"/>
      <c r="E210" s="66" t="s">
        <v>763</v>
      </c>
      <c r="F210" s="66">
        <v>5</v>
      </c>
      <c r="G210" s="66"/>
      <c r="H210" s="66" t="e">
        <v>#N/A</v>
      </c>
      <c r="I210" s="66"/>
      <c r="J210" s="66" t="s">
        <v>870</v>
      </c>
      <c r="K210" s="66"/>
      <c r="L210" s="66"/>
      <c r="M210" s="66"/>
      <c r="N210" s="66"/>
      <c r="O210" s="66" t="s">
        <v>908</v>
      </c>
      <c r="P210" s="66"/>
      <c r="Q210" s="66">
        <v>1</v>
      </c>
      <c r="R210" s="66">
        <v>1326</v>
      </c>
      <c r="S210" s="66"/>
    </row>
    <row r="211" spans="1:19" x14ac:dyDescent="0.25">
      <c r="A211" s="15">
        <v>20</v>
      </c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</row>
    <row r="212" spans="1:19" x14ac:dyDescent="0.25">
      <c r="A212" s="15">
        <v>20</v>
      </c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 t="s">
        <v>776</v>
      </c>
      <c r="P212" s="66"/>
      <c r="Q212" s="66"/>
      <c r="R212" s="66"/>
      <c r="S212" s="66"/>
    </row>
    <row r="213" spans="1:19" x14ac:dyDescent="0.25">
      <c r="A213" s="15">
        <v>20</v>
      </c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 t="s">
        <v>834</v>
      </c>
      <c r="P213" s="66"/>
      <c r="Q213" s="66"/>
      <c r="R213" s="66"/>
      <c r="S213" s="66"/>
    </row>
    <row r="214" spans="1:19" x14ac:dyDescent="0.25">
      <c r="A214" s="15">
        <v>20</v>
      </c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 t="s">
        <v>843</v>
      </c>
      <c r="P214" s="66"/>
      <c r="Q214" s="66"/>
      <c r="R214" s="66"/>
      <c r="S214" s="66"/>
    </row>
    <row r="215" spans="1:19" x14ac:dyDescent="0.25">
      <c r="A215" s="15">
        <v>20</v>
      </c>
      <c r="B215" s="66"/>
      <c r="C215" s="66" t="s">
        <v>77</v>
      </c>
      <c r="D215" s="66"/>
      <c r="E215" s="66" t="s">
        <v>763</v>
      </c>
      <c r="F215" s="66">
        <v>12</v>
      </c>
      <c r="G215" s="66"/>
      <c r="H215" s="66">
        <v>9</v>
      </c>
      <c r="I215" s="66">
        <v>10.083333333333334</v>
      </c>
      <c r="J215" s="66" t="s">
        <v>850</v>
      </c>
      <c r="K215" s="66"/>
      <c r="L215" s="66"/>
      <c r="M215" s="66"/>
      <c r="N215" s="66"/>
      <c r="O215" s="66" t="s">
        <v>849</v>
      </c>
      <c r="P215" s="66"/>
      <c r="Q215" s="66">
        <v>1</v>
      </c>
      <c r="R215" s="66">
        <v>281</v>
      </c>
      <c r="S215" s="66"/>
    </row>
    <row r="216" spans="1:19" x14ac:dyDescent="0.25">
      <c r="A216" s="15">
        <v>20</v>
      </c>
      <c r="B216" s="66"/>
      <c r="C216" s="66">
        <v>2429</v>
      </c>
      <c r="D216" s="66"/>
      <c r="E216" s="66" t="s">
        <v>763</v>
      </c>
      <c r="F216" s="66">
        <v>12</v>
      </c>
      <c r="G216" s="66"/>
      <c r="H216" s="66"/>
      <c r="I216" s="66">
        <v>21.583333333333332</v>
      </c>
      <c r="J216" s="66" t="s">
        <v>850</v>
      </c>
      <c r="K216" s="66"/>
      <c r="L216" s="66"/>
      <c r="M216" s="66"/>
      <c r="N216" s="66"/>
      <c r="O216" s="66" t="s">
        <v>852</v>
      </c>
      <c r="P216" s="66"/>
      <c r="Q216" s="66">
        <v>1</v>
      </c>
      <c r="R216" s="66">
        <v>348</v>
      </c>
      <c r="S216" s="66"/>
    </row>
    <row r="217" spans="1:19" x14ac:dyDescent="0.25">
      <c r="A217" s="15">
        <v>20</v>
      </c>
      <c r="B217" s="66"/>
      <c r="C217" s="66">
        <v>2429</v>
      </c>
      <c r="D217" s="66"/>
      <c r="E217" s="66" t="s">
        <v>763</v>
      </c>
      <c r="F217" s="66">
        <v>1</v>
      </c>
      <c r="G217" s="66"/>
      <c r="H217" s="66" t="e">
        <v>#N/A</v>
      </c>
      <c r="I217" s="66"/>
      <c r="J217" s="66" t="s">
        <v>870</v>
      </c>
      <c r="K217" s="66" t="s">
        <v>757</v>
      </c>
      <c r="L217" s="66" t="s">
        <v>757</v>
      </c>
      <c r="M217" s="66" t="s">
        <v>757</v>
      </c>
      <c r="N217" s="66" t="s">
        <v>757</v>
      </c>
      <c r="O217" s="66" t="s">
        <v>869</v>
      </c>
      <c r="P217" s="66"/>
      <c r="Q217" s="66">
        <v>1</v>
      </c>
      <c r="R217" s="66">
        <v>580</v>
      </c>
      <c r="S217" s="66"/>
    </row>
    <row r="218" spans="1:19" x14ac:dyDescent="0.25">
      <c r="A218" s="15">
        <v>20</v>
      </c>
      <c r="B218" s="66"/>
      <c r="C218" s="66">
        <v>2429</v>
      </c>
      <c r="D218" s="66"/>
      <c r="E218" s="66" t="s">
        <v>763</v>
      </c>
      <c r="F218" s="66">
        <v>0</v>
      </c>
      <c r="G218" s="66"/>
      <c r="H218" s="66">
        <v>3</v>
      </c>
      <c r="I218" s="66" t="e">
        <v>#N/A</v>
      </c>
      <c r="J218" s="66" t="s">
        <v>870</v>
      </c>
      <c r="K218" s="66"/>
      <c r="L218" s="66"/>
      <c r="M218" s="66"/>
      <c r="N218" s="66"/>
      <c r="O218" s="66" t="s">
        <v>882</v>
      </c>
      <c r="P218" s="66"/>
      <c r="Q218" s="66">
        <v>1</v>
      </c>
      <c r="R218" s="66">
        <v>807</v>
      </c>
      <c r="S218" s="66"/>
    </row>
    <row r="219" spans="1:19" x14ac:dyDescent="0.25">
      <c r="A219" s="15">
        <v>20</v>
      </c>
      <c r="B219" s="66"/>
      <c r="C219" s="66">
        <v>2429</v>
      </c>
      <c r="D219" s="66"/>
      <c r="E219" s="66" t="s">
        <v>763</v>
      </c>
      <c r="F219" s="66">
        <v>3</v>
      </c>
      <c r="G219" s="66"/>
      <c r="H219" s="66">
        <v>3</v>
      </c>
      <c r="I219" s="66" t="e">
        <v>#N/A</v>
      </c>
      <c r="J219" s="66" t="s">
        <v>870</v>
      </c>
      <c r="K219" s="66"/>
      <c r="L219" s="66"/>
      <c r="M219" s="66"/>
      <c r="N219" s="66"/>
      <c r="O219" s="66" t="s">
        <v>894</v>
      </c>
      <c r="P219" s="66"/>
      <c r="Q219" s="66">
        <v>1</v>
      </c>
      <c r="R219" s="66">
        <v>1034</v>
      </c>
      <c r="S219" s="66"/>
    </row>
    <row r="220" spans="1:19" x14ac:dyDescent="0.25">
      <c r="A220" s="15">
        <v>20</v>
      </c>
      <c r="B220" s="66"/>
      <c r="C220" s="66">
        <v>2429</v>
      </c>
      <c r="D220" s="66"/>
      <c r="E220" s="66" t="s">
        <v>763</v>
      </c>
      <c r="F220" s="66">
        <v>3</v>
      </c>
      <c r="G220" s="66"/>
      <c r="H220" s="66" t="e">
        <v>#N/A</v>
      </c>
      <c r="I220" s="66"/>
      <c r="J220" s="66" t="s">
        <v>870</v>
      </c>
      <c r="K220" s="66"/>
      <c r="L220" s="66"/>
      <c r="M220" s="66"/>
      <c r="N220" s="66"/>
      <c r="O220" s="66" t="s">
        <v>906</v>
      </c>
      <c r="P220" s="66"/>
      <c r="Q220" s="66">
        <v>1</v>
      </c>
      <c r="R220" s="66">
        <v>1261</v>
      </c>
      <c r="S220" s="66"/>
    </row>
    <row r="221" spans="1:19" x14ac:dyDescent="0.25">
      <c r="A221" s="15">
        <v>20</v>
      </c>
      <c r="B221" s="66"/>
      <c r="C221" s="66">
        <v>2429</v>
      </c>
      <c r="D221" s="66"/>
      <c r="E221" s="66" t="s">
        <v>763</v>
      </c>
      <c r="F221" s="66">
        <v>5</v>
      </c>
      <c r="G221" s="66"/>
      <c r="H221" s="66" t="e">
        <v>#N/A</v>
      </c>
      <c r="I221" s="66"/>
      <c r="J221" s="66" t="s">
        <v>870</v>
      </c>
      <c r="K221" s="66"/>
      <c r="L221" s="66"/>
      <c r="M221" s="66"/>
      <c r="N221" s="66"/>
      <c r="O221" s="66" t="s">
        <v>908</v>
      </c>
      <c r="P221" s="66"/>
      <c r="Q221" s="66">
        <v>1</v>
      </c>
      <c r="R221" s="66">
        <v>1328</v>
      </c>
      <c r="S221" s="66"/>
    </row>
    <row r="222" spans="1:19" x14ac:dyDescent="0.25">
      <c r="A222" s="15">
        <v>21</v>
      </c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</row>
    <row r="223" spans="1:19" x14ac:dyDescent="0.25">
      <c r="A223" s="15">
        <v>21</v>
      </c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 t="s">
        <v>777</v>
      </c>
      <c r="P223" s="66"/>
      <c r="Q223" s="66"/>
      <c r="R223" s="66"/>
      <c r="S223" s="66"/>
    </row>
    <row r="224" spans="1:19" x14ac:dyDescent="0.25">
      <c r="A224" s="15">
        <v>21</v>
      </c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 t="s">
        <v>834</v>
      </c>
      <c r="P224" s="66"/>
      <c r="Q224" s="66"/>
      <c r="R224" s="66"/>
      <c r="S224" s="66"/>
    </row>
    <row r="225" spans="1:19" x14ac:dyDescent="0.25">
      <c r="A225" s="15">
        <v>21</v>
      </c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 t="s">
        <v>843</v>
      </c>
      <c r="P225" s="66"/>
      <c r="Q225" s="66"/>
      <c r="R225" s="66"/>
      <c r="S225" s="66"/>
    </row>
    <row r="226" spans="1:19" x14ac:dyDescent="0.25">
      <c r="A226" s="15">
        <v>21</v>
      </c>
      <c r="B226" s="66"/>
      <c r="C226" s="66" t="s">
        <v>77</v>
      </c>
      <c r="D226" s="66"/>
      <c r="E226" s="66" t="s">
        <v>763</v>
      </c>
      <c r="F226" s="66">
        <v>12</v>
      </c>
      <c r="G226" s="66"/>
      <c r="H226" s="66">
        <v>9</v>
      </c>
      <c r="I226" s="66">
        <v>10.083333333333334</v>
      </c>
      <c r="J226" s="66" t="s">
        <v>850</v>
      </c>
      <c r="K226" s="66"/>
      <c r="L226" s="66"/>
      <c r="M226" s="66"/>
      <c r="N226" s="66"/>
      <c r="O226" s="66" t="s">
        <v>849</v>
      </c>
      <c r="P226" s="66"/>
      <c r="Q226" s="66">
        <v>1</v>
      </c>
      <c r="R226" s="66">
        <v>282</v>
      </c>
      <c r="S226" s="66"/>
    </row>
    <row r="227" spans="1:19" x14ac:dyDescent="0.25">
      <c r="A227" s="15">
        <v>21</v>
      </c>
      <c r="B227" s="66"/>
      <c r="C227" s="66">
        <v>2429</v>
      </c>
      <c r="D227" s="66"/>
      <c r="E227" s="66" t="s">
        <v>763</v>
      </c>
      <c r="F227" s="66">
        <v>12</v>
      </c>
      <c r="G227" s="66"/>
      <c r="H227" s="66"/>
      <c r="I227" s="66">
        <v>21.583333333333332</v>
      </c>
      <c r="J227" s="66" t="s">
        <v>850</v>
      </c>
      <c r="K227" s="66"/>
      <c r="L227" s="66"/>
      <c r="M227" s="66"/>
      <c r="N227" s="66"/>
      <c r="O227" s="66" t="s">
        <v>852</v>
      </c>
      <c r="P227" s="66"/>
      <c r="Q227" s="66">
        <v>1</v>
      </c>
      <c r="R227" s="66">
        <v>349</v>
      </c>
      <c r="S227" s="66"/>
    </row>
    <row r="228" spans="1:19" x14ac:dyDescent="0.25">
      <c r="A228" s="15">
        <v>21</v>
      </c>
      <c r="B228" s="66"/>
      <c r="C228" s="66">
        <v>2429</v>
      </c>
      <c r="D228" s="66"/>
      <c r="E228" s="66" t="s">
        <v>763</v>
      </c>
      <c r="F228" s="66">
        <v>1</v>
      </c>
      <c r="G228" s="66"/>
      <c r="H228" s="66" t="e">
        <v>#N/A</v>
      </c>
      <c r="I228" s="66"/>
      <c r="J228" s="66" t="s">
        <v>870</v>
      </c>
      <c r="K228" s="66" t="s">
        <v>757</v>
      </c>
      <c r="L228" s="66" t="s">
        <v>757</v>
      </c>
      <c r="M228" s="66" t="s">
        <v>757</v>
      </c>
      <c r="N228" s="66" t="s">
        <v>757</v>
      </c>
      <c r="O228" s="66" t="s">
        <v>869</v>
      </c>
      <c r="P228" s="66"/>
      <c r="Q228" s="66">
        <v>1</v>
      </c>
      <c r="R228" s="66">
        <v>581</v>
      </c>
      <c r="S228" s="66"/>
    </row>
    <row r="229" spans="1:19" x14ac:dyDescent="0.25">
      <c r="A229" s="15">
        <v>21</v>
      </c>
      <c r="B229" s="66"/>
      <c r="C229" s="66">
        <v>2429</v>
      </c>
      <c r="D229" s="66"/>
      <c r="E229" s="66" t="s">
        <v>763</v>
      </c>
      <c r="F229" s="66">
        <v>0</v>
      </c>
      <c r="G229" s="66"/>
      <c r="H229" s="66">
        <v>3</v>
      </c>
      <c r="I229" s="66" t="e">
        <v>#N/A</v>
      </c>
      <c r="J229" s="66" t="s">
        <v>870</v>
      </c>
      <c r="K229" s="66"/>
      <c r="L229" s="66"/>
      <c r="M229" s="66"/>
      <c r="N229" s="66"/>
      <c r="O229" s="66" t="s">
        <v>882</v>
      </c>
      <c r="P229" s="66"/>
      <c r="Q229" s="66">
        <v>1</v>
      </c>
      <c r="R229" s="66">
        <v>808</v>
      </c>
      <c r="S229" s="66"/>
    </row>
    <row r="230" spans="1:19" x14ac:dyDescent="0.25">
      <c r="A230" s="15">
        <v>21</v>
      </c>
      <c r="B230" s="66"/>
      <c r="C230" s="66">
        <v>2429</v>
      </c>
      <c r="D230" s="66"/>
      <c r="E230" s="66" t="s">
        <v>763</v>
      </c>
      <c r="F230" s="66">
        <v>3</v>
      </c>
      <c r="G230" s="66"/>
      <c r="H230" s="66">
        <v>3</v>
      </c>
      <c r="I230" s="66" t="e">
        <v>#N/A</v>
      </c>
      <c r="J230" s="66" t="s">
        <v>870</v>
      </c>
      <c r="K230" s="66"/>
      <c r="L230" s="66"/>
      <c r="M230" s="66"/>
      <c r="N230" s="66"/>
      <c r="O230" s="66" t="s">
        <v>894</v>
      </c>
      <c r="P230" s="66"/>
      <c r="Q230" s="66">
        <v>1</v>
      </c>
      <c r="R230" s="66">
        <v>1035</v>
      </c>
      <c r="S230" s="66"/>
    </row>
    <row r="231" spans="1:19" x14ac:dyDescent="0.25">
      <c r="A231" s="15">
        <v>21</v>
      </c>
      <c r="B231" s="66"/>
      <c r="C231" s="66">
        <v>2429</v>
      </c>
      <c r="D231" s="66"/>
      <c r="E231" s="66" t="s">
        <v>763</v>
      </c>
      <c r="F231" s="66">
        <v>3</v>
      </c>
      <c r="G231" s="66"/>
      <c r="H231" s="66" t="e">
        <v>#N/A</v>
      </c>
      <c r="I231" s="66"/>
      <c r="J231" s="66" t="s">
        <v>870</v>
      </c>
      <c r="K231" s="66"/>
      <c r="L231" s="66"/>
      <c r="M231" s="66"/>
      <c r="N231" s="66"/>
      <c r="O231" s="66" t="s">
        <v>906</v>
      </c>
      <c r="P231" s="66"/>
      <c r="Q231" s="66">
        <v>1</v>
      </c>
      <c r="R231" s="66">
        <v>1262</v>
      </c>
      <c r="S231" s="66"/>
    </row>
    <row r="232" spans="1:19" x14ac:dyDescent="0.25">
      <c r="A232" s="15">
        <v>21</v>
      </c>
      <c r="B232" s="66"/>
      <c r="C232" s="66">
        <v>2429</v>
      </c>
      <c r="D232" s="66"/>
      <c r="E232" s="66" t="s">
        <v>763</v>
      </c>
      <c r="F232" s="66">
        <v>5</v>
      </c>
      <c r="G232" s="66"/>
      <c r="H232" s="66" t="e">
        <v>#N/A</v>
      </c>
      <c r="I232" s="66"/>
      <c r="J232" s="66" t="s">
        <v>870</v>
      </c>
      <c r="K232" s="66"/>
      <c r="L232" s="66"/>
      <c r="M232" s="66"/>
      <c r="N232" s="66"/>
      <c r="O232" s="66" t="s">
        <v>908</v>
      </c>
      <c r="P232" s="66"/>
      <c r="Q232" s="66">
        <v>1</v>
      </c>
      <c r="R232" s="66">
        <v>1329</v>
      </c>
      <c r="S232" s="66"/>
    </row>
    <row r="233" spans="1:19" x14ac:dyDescent="0.25">
      <c r="A233" s="15">
        <v>22</v>
      </c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</row>
    <row r="234" spans="1:19" x14ac:dyDescent="0.25">
      <c r="A234" s="15">
        <v>22</v>
      </c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 t="s">
        <v>778</v>
      </c>
      <c r="P234" s="66"/>
      <c r="Q234" s="66"/>
      <c r="R234" s="66"/>
      <c r="S234" s="66"/>
    </row>
    <row r="235" spans="1:19" x14ac:dyDescent="0.25">
      <c r="A235" s="15">
        <v>22</v>
      </c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 t="s">
        <v>834</v>
      </c>
      <c r="P235" s="66"/>
      <c r="Q235" s="66"/>
      <c r="R235" s="66"/>
      <c r="S235" s="66"/>
    </row>
    <row r="236" spans="1:19" x14ac:dyDescent="0.25">
      <c r="A236" s="15">
        <v>22</v>
      </c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 t="s">
        <v>843</v>
      </c>
      <c r="P236" s="66"/>
      <c r="Q236" s="66"/>
      <c r="R236" s="66"/>
      <c r="S236" s="66"/>
    </row>
    <row r="237" spans="1:19" x14ac:dyDescent="0.25">
      <c r="A237" s="15">
        <v>22</v>
      </c>
      <c r="B237" s="66"/>
      <c r="C237" s="66" t="s">
        <v>77</v>
      </c>
      <c r="D237" s="66"/>
      <c r="E237" s="66" t="s">
        <v>763</v>
      </c>
      <c r="F237" s="66">
        <v>18</v>
      </c>
      <c r="G237" s="66"/>
      <c r="H237" s="66">
        <v>9</v>
      </c>
      <c r="I237" s="66">
        <v>10.75</v>
      </c>
      <c r="J237" s="66" t="s">
        <v>850</v>
      </c>
      <c r="K237" s="66"/>
      <c r="L237" s="66"/>
      <c r="M237" s="66"/>
      <c r="N237" s="66"/>
      <c r="O237" s="66" t="s">
        <v>849</v>
      </c>
      <c r="P237" s="66"/>
      <c r="Q237" s="66">
        <v>1</v>
      </c>
      <c r="R237" s="66">
        <v>283</v>
      </c>
      <c r="S237" s="66"/>
    </row>
    <row r="238" spans="1:19" x14ac:dyDescent="0.25">
      <c r="A238" s="15">
        <v>22</v>
      </c>
      <c r="B238" s="66"/>
      <c r="C238" s="66">
        <v>2429</v>
      </c>
      <c r="D238" s="66"/>
      <c r="E238" s="66" t="s">
        <v>763</v>
      </c>
      <c r="F238" s="66">
        <v>18</v>
      </c>
      <c r="G238" s="66"/>
      <c r="H238" s="66"/>
      <c r="I238" s="66">
        <v>21.583333333333332</v>
      </c>
      <c r="J238" s="66" t="s">
        <v>850</v>
      </c>
      <c r="K238" s="66"/>
      <c r="L238" s="66"/>
      <c r="M238" s="66"/>
      <c r="N238" s="66"/>
      <c r="O238" s="66" t="s">
        <v>852</v>
      </c>
      <c r="P238" s="66"/>
      <c r="Q238" s="66">
        <v>1</v>
      </c>
      <c r="R238" s="66">
        <v>350</v>
      </c>
      <c r="S238" s="66"/>
    </row>
    <row r="239" spans="1:19" x14ac:dyDescent="0.25">
      <c r="A239" s="15">
        <v>22</v>
      </c>
      <c r="B239" s="66"/>
      <c r="C239" s="66">
        <v>2429</v>
      </c>
      <c r="D239" s="66"/>
      <c r="E239" s="66" t="s">
        <v>763</v>
      </c>
      <c r="F239" s="66">
        <v>1</v>
      </c>
      <c r="G239" s="66"/>
      <c r="H239" s="66" t="e">
        <v>#N/A</v>
      </c>
      <c r="I239" s="66"/>
      <c r="J239" s="66" t="s">
        <v>870</v>
      </c>
      <c r="K239" s="66" t="s">
        <v>757</v>
      </c>
      <c r="L239" s="66" t="s">
        <v>757</v>
      </c>
      <c r="M239" s="66" t="s">
        <v>757</v>
      </c>
      <c r="N239" s="66" t="s">
        <v>757</v>
      </c>
      <c r="O239" s="66" t="s">
        <v>869</v>
      </c>
      <c r="P239" s="66"/>
      <c r="Q239" s="66">
        <v>1</v>
      </c>
      <c r="R239" s="66">
        <v>582</v>
      </c>
      <c r="S239" s="66"/>
    </row>
    <row r="240" spans="1:19" x14ac:dyDescent="0.25">
      <c r="A240" s="15">
        <v>22</v>
      </c>
      <c r="B240" s="66"/>
      <c r="C240" s="66">
        <v>2429</v>
      </c>
      <c r="D240" s="66"/>
      <c r="E240" s="66" t="s">
        <v>763</v>
      </c>
      <c r="F240" s="66">
        <v>0</v>
      </c>
      <c r="G240" s="66"/>
      <c r="H240" s="66">
        <v>3</v>
      </c>
      <c r="I240" s="66" t="e">
        <v>#N/A</v>
      </c>
      <c r="J240" s="66" t="s">
        <v>870</v>
      </c>
      <c r="K240" s="66"/>
      <c r="L240" s="66"/>
      <c r="M240" s="66"/>
      <c r="N240" s="66"/>
      <c r="O240" s="66" t="s">
        <v>882</v>
      </c>
      <c r="P240" s="66"/>
      <c r="Q240" s="66">
        <v>1</v>
      </c>
      <c r="R240" s="66">
        <v>809</v>
      </c>
      <c r="S240" s="66"/>
    </row>
    <row r="241" spans="1:19" x14ac:dyDescent="0.25">
      <c r="A241" s="15">
        <v>22</v>
      </c>
      <c r="B241" s="66"/>
      <c r="C241" s="66">
        <v>2429</v>
      </c>
      <c r="D241" s="66"/>
      <c r="E241" s="66" t="s">
        <v>763</v>
      </c>
      <c r="F241" s="66">
        <v>3</v>
      </c>
      <c r="G241" s="66"/>
      <c r="H241" s="66">
        <v>3</v>
      </c>
      <c r="I241" s="66" t="e">
        <v>#N/A</v>
      </c>
      <c r="J241" s="66" t="s">
        <v>870</v>
      </c>
      <c r="K241" s="66"/>
      <c r="L241" s="66"/>
      <c r="M241" s="66"/>
      <c r="N241" s="66"/>
      <c r="O241" s="66" t="s">
        <v>894</v>
      </c>
      <c r="P241" s="66"/>
      <c r="Q241" s="66">
        <v>1</v>
      </c>
      <c r="R241" s="66">
        <v>1036</v>
      </c>
      <c r="S241" s="66"/>
    </row>
    <row r="242" spans="1:19" x14ac:dyDescent="0.25">
      <c r="A242" s="15">
        <v>22</v>
      </c>
      <c r="B242" s="66"/>
      <c r="C242" s="66">
        <v>2429</v>
      </c>
      <c r="D242" s="66"/>
      <c r="E242" s="66" t="s">
        <v>763</v>
      </c>
      <c r="F242" s="66">
        <v>3</v>
      </c>
      <c r="G242" s="66"/>
      <c r="H242" s="66" t="e">
        <v>#N/A</v>
      </c>
      <c r="I242" s="66"/>
      <c r="J242" s="66" t="s">
        <v>870</v>
      </c>
      <c r="K242" s="66"/>
      <c r="L242" s="66"/>
      <c r="M242" s="66"/>
      <c r="N242" s="66"/>
      <c r="O242" s="66" t="s">
        <v>906</v>
      </c>
      <c r="P242" s="66"/>
      <c r="Q242" s="66">
        <v>1</v>
      </c>
      <c r="R242" s="66">
        <v>1263</v>
      </c>
      <c r="S242" s="66"/>
    </row>
    <row r="243" spans="1:19" x14ac:dyDescent="0.25">
      <c r="A243" s="15">
        <v>22</v>
      </c>
      <c r="B243" s="66"/>
      <c r="C243" s="66">
        <v>2429</v>
      </c>
      <c r="D243" s="66"/>
      <c r="E243" s="66" t="s">
        <v>763</v>
      </c>
      <c r="F243" s="66">
        <v>5</v>
      </c>
      <c r="G243" s="66"/>
      <c r="H243" s="66" t="e">
        <v>#N/A</v>
      </c>
      <c r="I243" s="66"/>
      <c r="J243" s="66" t="s">
        <v>870</v>
      </c>
      <c r="K243" s="66"/>
      <c r="L243" s="66"/>
      <c r="M243" s="66"/>
      <c r="N243" s="66"/>
      <c r="O243" s="66" t="s">
        <v>908</v>
      </c>
      <c r="P243" s="66"/>
      <c r="Q243" s="66">
        <v>1</v>
      </c>
      <c r="R243" s="66">
        <v>1330</v>
      </c>
      <c r="S243" s="66"/>
    </row>
    <row r="244" spans="1:19" x14ac:dyDescent="0.25">
      <c r="A244" s="15">
        <v>23</v>
      </c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</row>
    <row r="245" spans="1:19" x14ac:dyDescent="0.25">
      <c r="A245" s="15">
        <v>23</v>
      </c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 t="s">
        <v>779</v>
      </c>
      <c r="P245" s="66"/>
      <c r="Q245" s="66"/>
      <c r="R245" s="66"/>
      <c r="S245" s="66"/>
    </row>
    <row r="246" spans="1:19" x14ac:dyDescent="0.25">
      <c r="A246" s="15">
        <v>23</v>
      </c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 t="s">
        <v>835</v>
      </c>
      <c r="P246" s="66"/>
      <c r="Q246" s="66"/>
      <c r="R246" s="66"/>
      <c r="S246" s="66"/>
    </row>
    <row r="247" spans="1:19" x14ac:dyDescent="0.25">
      <c r="A247" s="15">
        <v>23</v>
      </c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 t="s">
        <v>842</v>
      </c>
      <c r="P247" s="66"/>
      <c r="Q247" s="66"/>
      <c r="R247" s="66"/>
      <c r="S247" s="66"/>
    </row>
    <row r="248" spans="1:19" x14ac:dyDescent="0.25">
      <c r="A248" s="15">
        <v>23</v>
      </c>
      <c r="B248" s="66"/>
      <c r="C248" s="66" t="s">
        <v>77</v>
      </c>
      <c r="D248" s="66"/>
      <c r="E248" s="66" t="s">
        <v>763</v>
      </c>
      <c r="F248" s="66">
        <v>6</v>
      </c>
      <c r="G248" s="66"/>
      <c r="H248" s="66">
        <v>7</v>
      </c>
      <c r="I248" s="66">
        <v>9.6666666666666679</v>
      </c>
      <c r="J248" s="66" t="s">
        <v>850</v>
      </c>
      <c r="K248" s="66"/>
      <c r="L248" s="66"/>
      <c r="M248" s="66"/>
      <c r="N248" s="66"/>
      <c r="O248" s="66" t="s">
        <v>849</v>
      </c>
      <c r="P248" s="66"/>
      <c r="Q248" s="66">
        <v>1</v>
      </c>
      <c r="R248" s="66">
        <v>284</v>
      </c>
      <c r="S248" s="66"/>
    </row>
    <row r="249" spans="1:19" x14ac:dyDescent="0.25">
      <c r="A249" s="15">
        <v>23</v>
      </c>
      <c r="B249" s="66"/>
      <c r="C249" s="66">
        <v>2429</v>
      </c>
      <c r="D249" s="66"/>
      <c r="E249" s="66" t="s">
        <v>763</v>
      </c>
      <c r="F249" s="66">
        <v>6</v>
      </c>
      <c r="G249" s="66"/>
      <c r="H249" s="66"/>
      <c r="I249" s="66">
        <v>19.583333333333332</v>
      </c>
      <c r="J249" s="66" t="s">
        <v>850</v>
      </c>
      <c r="K249" s="66"/>
      <c r="L249" s="66"/>
      <c r="M249" s="66"/>
      <c r="N249" s="66"/>
      <c r="O249" s="66" t="s">
        <v>852</v>
      </c>
      <c r="P249" s="66"/>
      <c r="Q249" s="66">
        <v>1</v>
      </c>
      <c r="R249" s="66">
        <v>351</v>
      </c>
      <c r="S249" s="66"/>
    </row>
    <row r="250" spans="1:19" x14ac:dyDescent="0.25">
      <c r="A250" s="15">
        <v>23</v>
      </c>
      <c r="B250" s="66"/>
      <c r="C250" s="66">
        <v>2429</v>
      </c>
      <c r="D250" s="66"/>
      <c r="E250" s="66" t="s">
        <v>763</v>
      </c>
      <c r="F250" s="66">
        <v>1</v>
      </c>
      <c r="G250" s="66"/>
      <c r="H250" s="66" t="e">
        <v>#N/A</v>
      </c>
      <c r="I250" s="66"/>
      <c r="J250" s="66" t="s">
        <v>870</v>
      </c>
      <c r="K250" s="66" t="s">
        <v>757</v>
      </c>
      <c r="L250" s="66" t="s">
        <v>757</v>
      </c>
      <c r="M250" s="66" t="s">
        <v>757</v>
      </c>
      <c r="N250" s="66" t="s">
        <v>757</v>
      </c>
      <c r="O250" s="66" t="s">
        <v>869</v>
      </c>
      <c r="P250" s="66"/>
      <c r="Q250" s="66">
        <v>1</v>
      </c>
      <c r="R250" s="66">
        <v>583</v>
      </c>
      <c r="S250" s="66"/>
    </row>
    <row r="251" spans="1:19" x14ac:dyDescent="0.25">
      <c r="A251" s="15">
        <v>23</v>
      </c>
      <c r="B251" s="66"/>
      <c r="C251" s="66">
        <v>2429</v>
      </c>
      <c r="D251" s="66"/>
      <c r="E251" s="66" t="s">
        <v>763</v>
      </c>
      <c r="F251" s="66">
        <v>0</v>
      </c>
      <c r="G251" s="66"/>
      <c r="H251" s="66">
        <v>3</v>
      </c>
      <c r="I251" s="66" t="e">
        <v>#N/A</v>
      </c>
      <c r="J251" s="66" t="s">
        <v>870</v>
      </c>
      <c r="K251" s="66"/>
      <c r="L251" s="66"/>
      <c r="M251" s="66"/>
      <c r="N251" s="66"/>
      <c r="O251" s="66" t="s">
        <v>882</v>
      </c>
      <c r="P251" s="66"/>
      <c r="Q251" s="66">
        <v>1</v>
      </c>
      <c r="R251" s="66">
        <v>810</v>
      </c>
      <c r="S251" s="66"/>
    </row>
    <row r="252" spans="1:19" x14ac:dyDescent="0.25">
      <c r="A252" s="15">
        <v>23</v>
      </c>
      <c r="B252" s="66"/>
      <c r="C252" s="66">
        <v>2429</v>
      </c>
      <c r="D252" s="66"/>
      <c r="E252" s="66" t="s">
        <v>763</v>
      </c>
      <c r="F252" s="66">
        <v>3</v>
      </c>
      <c r="G252" s="66"/>
      <c r="H252" s="66">
        <v>3</v>
      </c>
      <c r="I252" s="66" t="e">
        <v>#N/A</v>
      </c>
      <c r="J252" s="66" t="s">
        <v>870</v>
      </c>
      <c r="K252" s="66"/>
      <c r="L252" s="66"/>
      <c r="M252" s="66"/>
      <c r="N252" s="66"/>
      <c r="O252" s="66" t="s">
        <v>894</v>
      </c>
      <c r="P252" s="66"/>
      <c r="Q252" s="66">
        <v>1</v>
      </c>
      <c r="R252" s="66">
        <v>1037</v>
      </c>
      <c r="S252" s="66"/>
    </row>
    <row r="253" spans="1:19" x14ac:dyDescent="0.25">
      <c r="A253" s="15">
        <v>23</v>
      </c>
      <c r="B253" s="66"/>
      <c r="C253" s="66">
        <v>2429</v>
      </c>
      <c r="D253" s="66"/>
      <c r="E253" s="66" t="s">
        <v>763</v>
      </c>
      <c r="F253" s="66">
        <v>3</v>
      </c>
      <c r="G253" s="66"/>
      <c r="H253" s="66" t="e">
        <v>#N/A</v>
      </c>
      <c r="I253" s="66"/>
      <c r="J253" s="66" t="s">
        <v>870</v>
      </c>
      <c r="K253" s="66"/>
      <c r="L253" s="66"/>
      <c r="M253" s="66"/>
      <c r="N253" s="66"/>
      <c r="O253" s="66" t="s">
        <v>906</v>
      </c>
      <c r="P253" s="66"/>
      <c r="Q253" s="66">
        <v>1</v>
      </c>
      <c r="R253" s="66">
        <v>1264</v>
      </c>
      <c r="S253" s="66"/>
    </row>
    <row r="254" spans="1:19" x14ac:dyDescent="0.25">
      <c r="A254" s="15">
        <v>23</v>
      </c>
      <c r="B254" s="66"/>
      <c r="C254" s="66">
        <v>2429</v>
      </c>
      <c r="D254" s="66"/>
      <c r="E254" s="66" t="s">
        <v>763</v>
      </c>
      <c r="F254" s="66">
        <v>5</v>
      </c>
      <c r="G254" s="66"/>
      <c r="H254" s="66" t="e">
        <v>#N/A</v>
      </c>
      <c r="I254" s="66"/>
      <c r="J254" s="66" t="s">
        <v>870</v>
      </c>
      <c r="K254" s="66"/>
      <c r="L254" s="66"/>
      <c r="M254" s="66"/>
      <c r="N254" s="66"/>
      <c r="O254" s="66" t="s">
        <v>908</v>
      </c>
      <c r="P254" s="66"/>
      <c r="Q254" s="66">
        <v>1</v>
      </c>
      <c r="R254" s="66">
        <v>1331</v>
      </c>
      <c r="S254" s="66"/>
    </row>
    <row r="255" spans="1:19" x14ac:dyDescent="0.25">
      <c r="A255" s="15">
        <v>24</v>
      </c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</row>
    <row r="256" spans="1:19" x14ac:dyDescent="0.25">
      <c r="A256" s="15">
        <v>24</v>
      </c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 t="s">
        <v>780</v>
      </c>
      <c r="P256" s="66"/>
      <c r="Q256" s="66"/>
      <c r="R256" s="66"/>
      <c r="S256" s="66"/>
    </row>
    <row r="257" spans="1:19" x14ac:dyDescent="0.25">
      <c r="A257" s="15">
        <v>24</v>
      </c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 t="s">
        <v>835</v>
      </c>
      <c r="P257" s="66"/>
      <c r="Q257" s="66"/>
      <c r="R257" s="66"/>
      <c r="S257" s="66"/>
    </row>
    <row r="258" spans="1:19" x14ac:dyDescent="0.25">
      <c r="A258" s="15">
        <v>24</v>
      </c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 t="s">
        <v>844</v>
      </c>
      <c r="P258" s="66"/>
      <c r="Q258" s="66"/>
      <c r="R258" s="66"/>
      <c r="S258" s="66"/>
    </row>
    <row r="259" spans="1:19" x14ac:dyDescent="0.25">
      <c r="A259" s="15">
        <v>24</v>
      </c>
      <c r="B259" s="66"/>
      <c r="C259" s="66" t="s">
        <v>77</v>
      </c>
      <c r="D259" s="66"/>
      <c r="E259" s="66" t="s">
        <v>763</v>
      </c>
      <c r="F259" s="66">
        <v>6</v>
      </c>
      <c r="G259" s="66"/>
      <c r="H259" s="66">
        <v>7</v>
      </c>
      <c r="I259" s="66">
        <v>8.6666666666666679</v>
      </c>
      <c r="J259" s="66" t="s">
        <v>850</v>
      </c>
      <c r="K259" s="66"/>
      <c r="L259" s="66"/>
      <c r="M259" s="66"/>
      <c r="N259" s="66"/>
      <c r="O259" s="66" t="s">
        <v>849</v>
      </c>
      <c r="P259" s="66"/>
      <c r="Q259" s="66">
        <v>1</v>
      </c>
      <c r="R259" s="66">
        <v>285</v>
      </c>
      <c r="S259" s="66"/>
    </row>
    <row r="260" spans="1:19" x14ac:dyDescent="0.25">
      <c r="A260" s="15">
        <v>24</v>
      </c>
      <c r="B260" s="66"/>
      <c r="C260" s="66">
        <v>2429</v>
      </c>
      <c r="D260" s="66"/>
      <c r="E260" s="66" t="s">
        <v>763</v>
      </c>
      <c r="F260" s="66">
        <v>6</v>
      </c>
      <c r="G260" s="66"/>
      <c r="H260" s="66"/>
      <c r="I260" s="66">
        <v>12.25</v>
      </c>
      <c r="J260" s="66" t="s">
        <v>850</v>
      </c>
      <c r="K260" s="66"/>
      <c r="L260" s="66"/>
      <c r="M260" s="66"/>
      <c r="N260" s="66"/>
      <c r="O260" s="66" t="s">
        <v>852</v>
      </c>
      <c r="P260" s="66"/>
      <c r="Q260" s="66">
        <v>1</v>
      </c>
      <c r="R260" s="66">
        <v>352</v>
      </c>
      <c r="S260" s="66"/>
    </row>
    <row r="261" spans="1:19" x14ac:dyDescent="0.25">
      <c r="A261" s="15">
        <v>24</v>
      </c>
      <c r="B261" s="66"/>
      <c r="C261" s="66">
        <v>2429</v>
      </c>
      <c r="D261" s="66"/>
      <c r="E261" s="66" t="s">
        <v>763</v>
      </c>
      <c r="F261" s="66">
        <v>1</v>
      </c>
      <c r="G261" s="66"/>
      <c r="H261" s="66" t="e">
        <v>#N/A</v>
      </c>
      <c r="I261" s="66"/>
      <c r="J261" s="66" t="s">
        <v>870</v>
      </c>
      <c r="K261" s="66" t="s">
        <v>757</v>
      </c>
      <c r="L261" s="66" t="s">
        <v>757</v>
      </c>
      <c r="M261" s="66" t="s">
        <v>757</v>
      </c>
      <c r="N261" s="66" t="s">
        <v>757</v>
      </c>
      <c r="O261" s="66" t="s">
        <v>869</v>
      </c>
      <c r="P261" s="66"/>
      <c r="Q261" s="66">
        <v>1</v>
      </c>
      <c r="R261" s="66">
        <v>584</v>
      </c>
      <c r="S261" s="66"/>
    </row>
    <row r="262" spans="1:19" x14ac:dyDescent="0.25">
      <c r="A262" s="15">
        <v>24</v>
      </c>
      <c r="B262" s="66"/>
      <c r="C262" s="66">
        <v>2429</v>
      </c>
      <c r="D262" s="66"/>
      <c r="E262" s="66" t="s">
        <v>763</v>
      </c>
      <c r="F262" s="66">
        <v>0</v>
      </c>
      <c r="G262" s="66"/>
      <c r="H262" s="66">
        <v>3</v>
      </c>
      <c r="I262" s="66" t="e">
        <v>#N/A</v>
      </c>
      <c r="J262" s="66" t="s">
        <v>870</v>
      </c>
      <c r="K262" s="66"/>
      <c r="L262" s="66"/>
      <c r="M262" s="66"/>
      <c r="N262" s="66"/>
      <c r="O262" s="66" t="s">
        <v>882</v>
      </c>
      <c r="P262" s="66"/>
      <c r="Q262" s="66">
        <v>1</v>
      </c>
      <c r="R262" s="66">
        <v>811</v>
      </c>
      <c r="S262" s="66"/>
    </row>
    <row r="263" spans="1:19" x14ac:dyDescent="0.25">
      <c r="A263" s="15">
        <v>24</v>
      </c>
      <c r="B263" s="66"/>
      <c r="C263" s="66">
        <v>2429</v>
      </c>
      <c r="D263" s="66"/>
      <c r="E263" s="66" t="s">
        <v>763</v>
      </c>
      <c r="F263" s="66">
        <v>3</v>
      </c>
      <c r="G263" s="66"/>
      <c r="H263" s="66">
        <v>3</v>
      </c>
      <c r="I263" s="66" t="e">
        <v>#N/A</v>
      </c>
      <c r="J263" s="66" t="s">
        <v>870</v>
      </c>
      <c r="K263" s="66"/>
      <c r="L263" s="66"/>
      <c r="M263" s="66"/>
      <c r="N263" s="66"/>
      <c r="O263" s="66" t="s">
        <v>894</v>
      </c>
      <c r="P263" s="66"/>
      <c r="Q263" s="66">
        <v>1</v>
      </c>
      <c r="R263" s="66">
        <v>1038</v>
      </c>
      <c r="S263" s="66"/>
    </row>
    <row r="264" spans="1:19" x14ac:dyDescent="0.25">
      <c r="A264" s="15">
        <v>24</v>
      </c>
      <c r="B264" s="66"/>
      <c r="C264" s="66">
        <v>2429</v>
      </c>
      <c r="D264" s="66"/>
      <c r="E264" s="66" t="s">
        <v>763</v>
      </c>
      <c r="F264" s="66">
        <v>3</v>
      </c>
      <c r="G264" s="66"/>
      <c r="H264" s="66" t="e">
        <v>#N/A</v>
      </c>
      <c r="I264" s="66"/>
      <c r="J264" s="66" t="s">
        <v>870</v>
      </c>
      <c r="K264" s="66"/>
      <c r="L264" s="66"/>
      <c r="M264" s="66"/>
      <c r="N264" s="66"/>
      <c r="O264" s="66" t="s">
        <v>906</v>
      </c>
      <c r="P264" s="66"/>
      <c r="Q264" s="66">
        <v>1</v>
      </c>
      <c r="R264" s="66">
        <v>1265</v>
      </c>
      <c r="S264" s="66"/>
    </row>
    <row r="265" spans="1:19" x14ac:dyDescent="0.25">
      <c r="A265" s="15">
        <v>24</v>
      </c>
      <c r="B265" s="66"/>
      <c r="C265" s="66">
        <v>2429</v>
      </c>
      <c r="D265" s="66"/>
      <c r="E265" s="66" t="s">
        <v>763</v>
      </c>
      <c r="F265" s="66">
        <v>5</v>
      </c>
      <c r="G265" s="66"/>
      <c r="H265" s="66" t="e">
        <v>#N/A</v>
      </c>
      <c r="I265" s="66"/>
      <c r="J265" s="66" t="s">
        <v>870</v>
      </c>
      <c r="K265" s="66"/>
      <c r="L265" s="66"/>
      <c r="M265" s="66"/>
      <c r="N265" s="66"/>
      <c r="O265" s="66" t="s">
        <v>908</v>
      </c>
      <c r="P265" s="66"/>
      <c r="Q265" s="66">
        <v>1</v>
      </c>
      <c r="R265" s="66">
        <v>1332</v>
      </c>
      <c r="S265" s="66"/>
    </row>
    <row r="266" spans="1:19" x14ac:dyDescent="0.25">
      <c r="A266" s="15">
        <v>25</v>
      </c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</row>
    <row r="267" spans="1:19" x14ac:dyDescent="0.25">
      <c r="A267" s="15">
        <v>25</v>
      </c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 t="s">
        <v>781</v>
      </c>
      <c r="P267" s="66"/>
      <c r="Q267" s="66"/>
      <c r="R267" s="66"/>
      <c r="S267" s="66"/>
    </row>
    <row r="268" spans="1:19" x14ac:dyDescent="0.25">
      <c r="A268" s="15">
        <v>25</v>
      </c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 t="s">
        <v>835</v>
      </c>
      <c r="P268" s="66"/>
      <c r="Q268" s="66"/>
      <c r="R268" s="66"/>
      <c r="S268" s="66"/>
    </row>
    <row r="269" spans="1:19" x14ac:dyDescent="0.25">
      <c r="A269" s="15">
        <v>25</v>
      </c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 t="s">
        <v>842</v>
      </c>
      <c r="P269" s="66"/>
      <c r="Q269" s="66"/>
      <c r="R269" s="66"/>
      <c r="S269" s="66"/>
    </row>
    <row r="270" spans="1:19" x14ac:dyDescent="0.25">
      <c r="A270" s="15">
        <v>25</v>
      </c>
      <c r="B270" s="66"/>
      <c r="C270" s="66" t="s">
        <v>77</v>
      </c>
      <c r="D270" s="66"/>
      <c r="E270" s="66" t="s">
        <v>763</v>
      </c>
      <c r="F270" s="66">
        <v>6</v>
      </c>
      <c r="G270" s="66"/>
      <c r="H270" s="66">
        <v>7</v>
      </c>
      <c r="I270" s="66">
        <v>7.666666666666667</v>
      </c>
      <c r="J270" s="66" t="s">
        <v>850</v>
      </c>
      <c r="K270" s="66"/>
      <c r="L270" s="66"/>
      <c r="M270" s="66"/>
      <c r="N270" s="66"/>
      <c r="O270" s="66" t="s">
        <v>849</v>
      </c>
      <c r="P270" s="66"/>
      <c r="Q270" s="66">
        <v>1</v>
      </c>
      <c r="R270" s="66">
        <v>286</v>
      </c>
      <c r="S270" s="66"/>
    </row>
    <row r="271" spans="1:19" x14ac:dyDescent="0.25">
      <c r="A271" s="15">
        <v>25</v>
      </c>
      <c r="B271" s="66"/>
      <c r="C271" s="66">
        <v>2429</v>
      </c>
      <c r="D271" s="66"/>
      <c r="E271" s="66" t="s">
        <v>763</v>
      </c>
      <c r="F271" s="66">
        <v>6</v>
      </c>
      <c r="G271" s="66"/>
      <c r="H271" s="66"/>
      <c r="I271" s="66">
        <v>19.583333333333332</v>
      </c>
      <c r="J271" s="66" t="s">
        <v>850</v>
      </c>
      <c r="K271" s="66"/>
      <c r="L271" s="66"/>
      <c r="M271" s="66"/>
      <c r="N271" s="66"/>
      <c r="O271" s="66" t="s">
        <v>852</v>
      </c>
      <c r="P271" s="66"/>
      <c r="Q271" s="66">
        <v>1</v>
      </c>
      <c r="R271" s="66">
        <v>353</v>
      </c>
      <c r="S271" s="66"/>
    </row>
    <row r="272" spans="1:19" x14ac:dyDescent="0.25">
      <c r="A272" s="15">
        <v>25</v>
      </c>
      <c r="B272" s="66"/>
      <c r="C272" s="66">
        <v>2429</v>
      </c>
      <c r="D272" s="66"/>
      <c r="E272" s="66" t="s">
        <v>763</v>
      </c>
      <c r="F272" s="66">
        <v>1</v>
      </c>
      <c r="G272" s="66"/>
      <c r="H272" s="66" t="e">
        <v>#N/A</v>
      </c>
      <c r="I272" s="66"/>
      <c r="J272" s="66" t="s">
        <v>870</v>
      </c>
      <c r="K272" s="66" t="s">
        <v>757</v>
      </c>
      <c r="L272" s="66" t="s">
        <v>757</v>
      </c>
      <c r="M272" s="66" t="s">
        <v>757</v>
      </c>
      <c r="N272" s="66" t="s">
        <v>757</v>
      </c>
      <c r="O272" s="66" t="s">
        <v>869</v>
      </c>
      <c r="P272" s="66"/>
      <c r="Q272" s="66">
        <v>1</v>
      </c>
      <c r="R272" s="66">
        <v>585</v>
      </c>
      <c r="S272" s="66"/>
    </row>
    <row r="273" spans="1:19" x14ac:dyDescent="0.25">
      <c r="A273" s="15">
        <v>25</v>
      </c>
      <c r="B273" s="66"/>
      <c r="C273" s="66">
        <v>2429</v>
      </c>
      <c r="D273" s="66"/>
      <c r="E273" s="66" t="s">
        <v>763</v>
      </c>
      <c r="F273" s="66">
        <v>0</v>
      </c>
      <c r="G273" s="66"/>
      <c r="H273" s="66">
        <v>3</v>
      </c>
      <c r="I273" s="66" t="e">
        <v>#N/A</v>
      </c>
      <c r="J273" s="66" t="s">
        <v>870</v>
      </c>
      <c r="K273" s="66"/>
      <c r="L273" s="66"/>
      <c r="M273" s="66"/>
      <c r="N273" s="66"/>
      <c r="O273" s="66" t="s">
        <v>882</v>
      </c>
      <c r="P273" s="66"/>
      <c r="Q273" s="66">
        <v>1</v>
      </c>
      <c r="R273" s="66">
        <v>812</v>
      </c>
      <c r="S273" s="66"/>
    </row>
    <row r="274" spans="1:19" x14ac:dyDescent="0.25">
      <c r="A274" s="15">
        <v>25</v>
      </c>
      <c r="B274" s="66"/>
      <c r="C274" s="66">
        <v>2429</v>
      </c>
      <c r="D274" s="66"/>
      <c r="E274" s="66" t="s">
        <v>763</v>
      </c>
      <c r="F274" s="66">
        <v>3</v>
      </c>
      <c r="G274" s="66"/>
      <c r="H274" s="66">
        <v>3</v>
      </c>
      <c r="I274" s="66" t="e">
        <v>#N/A</v>
      </c>
      <c r="J274" s="66" t="s">
        <v>870</v>
      </c>
      <c r="K274" s="66"/>
      <c r="L274" s="66"/>
      <c r="M274" s="66"/>
      <c r="N274" s="66"/>
      <c r="O274" s="66" t="s">
        <v>894</v>
      </c>
      <c r="P274" s="66"/>
      <c r="Q274" s="66">
        <v>1</v>
      </c>
      <c r="R274" s="66">
        <v>1039</v>
      </c>
      <c r="S274" s="66"/>
    </row>
    <row r="275" spans="1:19" x14ac:dyDescent="0.25">
      <c r="A275" s="15">
        <v>25</v>
      </c>
      <c r="B275" s="66"/>
      <c r="C275" s="66">
        <v>2429</v>
      </c>
      <c r="D275" s="66"/>
      <c r="E275" s="66" t="s">
        <v>763</v>
      </c>
      <c r="F275" s="66">
        <v>3</v>
      </c>
      <c r="G275" s="66"/>
      <c r="H275" s="66" t="e">
        <v>#N/A</v>
      </c>
      <c r="I275" s="66"/>
      <c r="J275" s="66" t="s">
        <v>870</v>
      </c>
      <c r="K275" s="66"/>
      <c r="L275" s="66"/>
      <c r="M275" s="66"/>
      <c r="N275" s="66"/>
      <c r="O275" s="66" t="s">
        <v>906</v>
      </c>
      <c r="P275" s="66"/>
      <c r="Q275" s="66">
        <v>1</v>
      </c>
      <c r="R275" s="66">
        <v>1266</v>
      </c>
      <c r="S275" s="66"/>
    </row>
    <row r="276" spans="1:19" x14ac:dyDescent="0.25">
      <c r="A276" s="15">
        <v>25</v>
      </c>
      <c r="B276" s="66"/>
      <c r="C276" s="66">
        <v>2429</v>
      </c>
      <c r="D276" s="66"/>
      <c r="E276" s="66" t="s">
        <v>763</v>
      </c>
      <c r="F276" s="66">
        <v>5</v>
      </c>
      <c r="G276" s="66"/>
      <c r="H276" s="66" t="e">
        <v>#N/A</v>
      </c>
      <c r="I276" s="66"/>
      <c r="J276" s="66" t="s">
        <v>870</v>
      </c>
      <c r="K276" s="66"/>
      <c r="L276" s="66"/>
      <c r="M276" s="66"/>
      <c r="N276" s="66"/>
      <c r="O276" s="66" t="s">
        <v>908</v>
      </c>
      <c r="P276" s="66"/>
      <c r="Q276" s="66">
        <v>1</v>
      </c>
      <c r="R276" s="66">
        <v>1333</v>
      </c>
      <c r="S276" s="66"/>
    </row>
    <row r="277" spans="1:19" x14ac:dyDescent="0.25">
      <c r="A277" s="15">
        <v>26</v>
      </c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</row>
    <row r="278" spans="1:19" x14ac:dyDescent="0.25">
      <c r="A278" s="15">
        <v>26</v>
      </c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 t="s">
        <v>782</v>
      </c>
      <c r="P278" s="66"/>
      <c r="Q278" s="66"/>
      <c r="R278" s="66"/>
      <c r="S278" s="66"/>
    </row>
    <row r="279" spans="1:19" x14ac:dyDescent="0.25">
      <c r="A279" s="15">
        <v>26</v>
      </c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 t="s">
        <v>837</v>
      </c>
      <c r="P279" s="66"/>
      <c r="Q279" s="66"/>
      <c r="R279" s="66"/>
      <c r="S279" s="66"/>
    </row>
    <row r="280" spans="1:19" x14ac:dyDescent="0.25">
      <c r="A280" s="15">
        <v>26</v>
      </c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 t="s">
        <v>845</v>
      </c>
      <c r="P280" s="66"/>
      <c r="Q280" s="66"/>
      <c r="R280" s="66"/>
      <c r="S280" s="66"/>
    </row>
    <row r="281" spans="1:19" x14ac:dyDescent="0.25">
      <c r="A281" s="15">
        <v>26</v>
      </c>
      <c r="B281" s="66"/>
      <c r="C281" s="66" t="s">
        <v>77</v>
      </c>
      <c r="D281" s="66"/>
      <c r="E281" s="66" t="s">
        <v>763</v>
      </c>
      <c r="F281" s="66">
        <v>8</v>
      </c>
      <c r="G281" s="66"/>
      <c r="H281" s="66">
        <v>10</v>
      </c>
      <c r="I281" s="66">
        <v>12.75</v>
      </c>
      <c r="J281" s="66" t="s">
        <v>850</v>
      </c>
      <c r="K281" s="66"/>
      <c r="L281" s="66"/>
      <c r="M281" s="66"/>
      <c r="N281" s="66"/>
      <c r="O281" s="66" t="s">
        <v>849</v>
      </c>
      <c r="P281" s="66"/>
      <c r="Q281" s="66">
        <v>1</v>
      </c>
      <c r="R281" s="66">
        <v>287</v>
      </c>
      <c r="S281" s="66"/>
    </row>
    <row r="282" spans="1:19" x14ac:dyDescent="0.25">
      <c r="A282" s="15">
        <v>26</v>
      </c>
      <c r="B282" s="66"/>
      <c r="C282" s="66">
        <v>2429</v>
      </c>
      <c r="D282" s="66"/>
      <c r="E282" s="66" t="s">
        <v>763</v>
      </c>
      <c r="F282" s="66">
        <v>8</v>
      </c>
      <c r="G282" s="66"/>
      <c r="H282" s="66"/>
      <c r="I282" s="66">
        <v>26.666666666666668</v>
      </c>
      <c r="J282" s="66" t="s">
        <v>850</v>
      </c>
      <c r="K282" s="66"/>
      <c r="L282" s="66"/>
      <c r="M282" s="66"/>
      <c r="N282" s="66"/>
      <c r="O282" s="66" t="s">
        <v>852</v>
      </c>
      <c r="P282" s="66"/>
      <c r="Q282" s="66">
        <v>1</v>
      </c>
      <c r="R282" s="66">
        <v>354</v>
      </c>
      <c r="S282" s="66"/>
    </row>
    <row r="283" spans="1:19" x14ac:dyDescent="0.25">
      <c r="A283" s="15">
        <v>26</v>
      </c>
      <c r="B283" s="66"/>
      <c r="C283" s="66">
        <v>2429</v>
      </c>
      <c r="D283" s="66"/>
      <c r="E283" s="66" t="s">
        <v>763</v>
      </c>
      <c r="F283" s="66">
        <v>10</v>
      </c>
      <c r="G283" s="66"/>
      <c r="H283" s="66"/>
      <c r="I283" s="66">
        <v>15.666666666666666</v>
      </c>
      <c r="J283" s="66" t="s">
        <v>850</v>
      </c>
      <c r="K283" s="66"/>
      <c r="L283" s="66"/>
      <c r="M283" s="66"/>
      <c r="N283" s="66"/>
      <c r="O283" s="66" t="s">
        <v>853</v>
      </c>
      <c r="P283" s="66"/>
      <c r="Q283" s="66">
        <v>1</v>
      </c>
      <c r="R283" s="66">
        <v>355</v>
      </c>
      <c r="S283" s="66"/>
    </row>
    <row r="284" spans="1:19" x14ac:dyDescent="0.25">
      <c r="A284" s="15">
        <v>26</v>
      </c>
      <c r="B284" s="66"/>
      <c r="C284" s="66">
        <v>2429</v>
      </c>
      <c r="D284" s="66"/>
      <c r="E284" s="66" t="s">
        <v>763</v>
      </c>
      <c r="F284" s="66">
        <v>6</v>
      </c>
      <c r="G284" s="66"/>
      <c r="H284" s="66"/>
      <c r="I284" s="66">
        <v>15.666666666666666</v>
      </c>
      <c r="J284" s="66" t="s">
        <v>850</v>
      </c>
      <c r="K284" s="66"/>
      <c r="L284" s="66"/>
      <c r="M284" s="66"/>
      <c r="N284" s="66"/>
      <c r="O284" s="66" t="s">
        <v>854</v>
      </c>
      <c r="P284" s="66"/>
      <c r="Q284" s="66">
        <v>1</v>
      </c>
      <c r="R284" s="66">
        <v>356</v>
      </c>
      <c r="S284" s="66"/>
    </row>
    <row r="285" spans="1:19" x14ac:dyDescent="0.25">
      <c r="A285" s="15">
        <v>26</v>
      </c>
      <c r="B285" s="66"/>
      <c r="C285" s="66">
        <v>2429</v>
      </c>
      <c r="D285" s="66"/>
      <c r="E285" s="66" t="s">
        <v>763</v>
      </c>
      <c r="F285" s="66">
        <v>6</v>
      </c>
      <c r="G285" s="66"/>
      <c r="H285" s="66"/>
      <c r="I285" s="66">
        <v>15.666666666666666</v>
      </c>
      <c r="J285" s="66" t="s">
        <v>850</v>
      </c>
      <c r="K285" s="66"/>
      <c r="L285" s="66"/>
      <c r="M285" s="66"/>
      <c r="N285" s="66"/>
      <c r="O285" s="66" t="s">
        <v>855</v>
      </c>
      <c r="P285" s="66"/>
      <c r="Q285" s="66">
        <v>1</v>
      </c>
      <c r="R285" s="66">
        <v>357</v>
      </c>
      <c r="S285" s="66"/>
    </row>
    <row r="286" spans="1:19" x14ac:dyDescent="0.25">
      <c r="A286" s="15">
        <v>26</v>
      </c>
      <c r="B286" s="66"/>
      <c r="C286" s="66">
        <v>2429</v>
      </c>
      <c r="D286" s="66"/>
      <c r="E286" s="66" t="s">
        <v>763</v>
      </c>
      <c r="F286" s="66">
        <v>6</v>
      </c>
      <c r="G286" s="66"/>
      <c r="H286" s="66"/>
      <c r="I286" s="66">
        <v>15.666666666666666</v>
      </c>
      <c r="J286" s="66" t="s">
        <v>850</v>
      </c>
      <c r="K286" s="66"/>
      <c r="L286" s="66"/>
      <c r="M286" s="66"/>
      <c r="N286" s="66"/>
      <c r="O286" s="66" t="s">
        <v>856</v>
      </c>
      <c r="P286" s="66"/>
      <c r="Q286" s="66">
        <v>1</v>
      </c>
      <c r="R286" s="66">
        <v>358</v>
      </c>
      <c r="S286" s="66"/>
    </row>
    <row r="287" spans="1:19" x14ac:dyDescent="0.25">
      <c r="A287" s="15">
        <v>26</v>
      </c>
      <c r="B287" s="66"/>
      <c r="C287" s="66">
        <v>2429</v>
      </c>
      <c r="D287" s="66"/>
      <c r="E287" s="66" t="s">
        <v>763</v>
      </c>
      <c r="F287" s="66">
        <v>6</v>
      </c>
      <c r="G287" s="66"/>
      <c r="H287" s="66"/>
      <c r="I287" s="66">
        <v>15.666666666666666</v>
      </c>
      <c r="J287" s="66" t="s">
        <v>850</v>
      </c>
      <c r="K287" s="66"/>
      <c r="L287" s="66"/>
      <c r="M287" s="66"/>
      <c r="N287" s="66"/>
      <c r="O287" s="66" t="s">
        <v>857</v>
      </c>
      <c r="P287" s="66"/>
      <c r="Q287" s="66">
        <v>1</v>
      </c>
      <c r="R287" s="66">
        <v>359</v>
      </c>
      <c r="S287" s="66"/>
    </row>
    <row r="288" spans="1:19" x14ac:dyDescent="0.25">
      <c r="A288" s="15">
        <v>26</v>
      </c>
      <c r="B288" s="66"/>
      <c r="C288" s="66">
        <v>2429</v>
      </c>
      <c r="D288" s="66"/>
      <c r="E288" s="66" t="s">
        <v>763</v>
      </c>
      <c r="F288" s="66">
        <v>6</v>
      </c>
      <c r="G288" s="66"/>
      <c r="H288" s="66"/>
      <c r="I288" s="66">
        <v>15.666666666666666</v>
      </c>
      <c r="J288" s="66" t="s">
        <v>850</v>
      </c>
      <c r="K288" s="66"/>
      <c r="L288" s="66"/>
      <c r="M288" s="66"/>
      <c r="N288" s="66"/>
      <c r="O288" s="66" t="s">
        <v>858</v>
      </c>
      <c r="P288" s="66"/>
      <c r="Q288" s="66">
        <v>1</v>
      </c>
      <c r="R288" s="66">
        <v>360</v>
      </c>
      <c r="S288" s="66"/>
    </row>
    <row r="289" spans="1:19" x14ac:dyDescent="0.25">
      <c r="A289" s="15">
        <v>26</v>
      </c>
      <c r="B289" s="66"/>
      <c r="C289" s="66">
        <v>2429</v>
      </c>
      <c r="D289" s="66"/>
      <c r="E289" s="66" t="s">
        <v>763</v>
      </c>
      <c r="F289" s="66">
        <v>6</v>
      </c>
      <c r="G289" s="66"/>
      <c r="H289" s="66"/>
      <c r="I289" s="66">
        <v>15.666666666666666</v>
      </c>
      <c r="J289" s="66" t="s">
        <v>850</v>
      </c>
      <c r="K289" s="66"/>
      <c r="L289" s="66"/>
      <c r="M289" s="66"/>
      <c r="N289" s="66"/>
      <c r="O289" s="66" t="s">
        <v>859</v>
      </c>
      <c r="P289" s="66"/>
      <c r="Q289" s="66">
        <v>1</v>
      </c>
      <c r="R289" s="66">
        <v>361</v>
      </c>
      <c r="S289" s="66"/>
    </row>
    <row r="290" spans="1:19" x14ac:dyDescent="0.25">
      <c r="A290" s="15">
        <v>26</v>
      </c>
      <c r="B290" s="66"/>
      <c r="C290" s="66">
        <v>2429</v>
      </c>
      <c r="D290" s="66"/>
      <c r="E290" s="66" t="s">
        <v>763</v>
      </c>
      <c r="F290" s="66">
        <v>6</v>
      </c>
      <c r="G290" s="66"/>
      <c r="H290" s="66"/>
      <c r="I290" s="66">
        <v>15.666666666666666</v>
      </c>
      <c r="J290" s="66" t="s">
        <v>850</v>
      </c>
      <c r="K290" s="66"/>
      <c r="L290" s="66"/>
      <c r="M290" s="66"/>
      <c r="N290" s="66"/>
      <c r="O290" s="66" t="s">
        <v>860</v>
      </c>
      <c r="P290" s="66"/>
      <c r="Q290" s="66">
        <v>1</v>
      </c>
      <c r="R290" s="66">
        <v>362</v>
      </c>
      <c r="S290" s="66"/>
    </row>
    <row r="291" spans="1:19" x14ac:dyDescent="0.25">
      <c r="A291" s="15">
        <v>26</v>
      </c>
      <c r="B291" s="66"/>
      <c r="C291" s="66">
        <v>2429</v>
      </c>
      <c r="D291" s="66"/>
      <c r="E291" s="66" t="s">
        <v>763</v>
      </c>
      <c r="F291" s="66">
        <v>6</v>
      </c>
      <c r="G291" s="66"/>
      <c r="H291" s="66"/>
      <c r="I291" s="66">
        <v>15.666666666666666</v>
      </c>
      <c r="J291" s="66" t="s">
        <v>850</v>
      </c>
      <c r="K291" s="66"/>
      <c r="L291" s="66"/>
      <c r="M291" s="66"/>
      <c r="N291" s="66"/>
      <c r="O291" s="66" t="s">
        <v>861</v>
      </c>
      <c r="P291" s="66"/>
      <c r="Q291" s="66">
        <v>1</v>
      </c>
      <c r="R291" s="66">
        <v>363</v>
      </c>
      <c r="S291" s="66"/>
    </row>
    <row r="292" spans="1:19" x14ac:dyDescent="0.25">
      <c r="A292" s="15">
        <v>26</v>
      </c>
      <c r="B292" s="66"/>
      <c r="C292" s="66">
        <v>2429</v>
      </c>
      <c r="D292" s="66"/>
      <c r="E292" s="66" t="s">
        <v>763</v>
      </c>
      <c r="F292" s="66">
        <v>6</v>
      </c>
      <c r="G292" s="66"/>
      <c r="H292" s="66"/>
      <c r="I292" s="66">
        <v>15.666666666666666</v>
      </c>
      <c r="J292" s="66" t="s">
        <v>850</v>
      </c>
      <c r="K292" s="66"/>
      <c r="L292" s="66"/>
      <c r="M292" s="66"/>
      <c r="N292" s="66"/>
      <c r="O292" s="66" t="s">
        <v>862</v>
      </c>
      <c r="P292" s="66"/>
      <c r="Q292" s="66">
        <v>1</v>
      </c>
      <c r="R292" s="66">
        <v>364</v>
      </c>
      <c r="S292" s="66"/>
    </row>
    <row r="293" spans="1:19" x14ac:dyDescent="0.25">
      <c r="A293" s="15">
        <v>26</v>
      </c>
      <c r="B293" s="66"/>
      <c r="C293" s="66">
        <v>2429</v>
      </c>
      <c r="D293" s="66"/>
      <c r="E293" s="66" t="s">
        <v>763</v>
      </c>
      <c r="F293" s="66">
        <v>10</v>
      </c>
      <c r="G293" s="66"/>
      <c r="H293" s="66"/>
      <c r="I293" s="66">
        <v>10.583333333333334</v>
      </c>
      <c r="J293" s="66" t="s">
        <v>850</v>
      </c>
      <c r="K293" s="66"/>
      <c r="L293" s="66"/>
      <c r="M293" s="66"/>
      <c r="N293" s="66"/>
      <c r="O293" s="66" t="s">
        <v>863</v>
      </c>
      <c r="P293" s="66"/>
      <c r="Q293" s="66">
        <v>1</v>
      </c>
      <c r="R293" s="66">
        <v>365</v>
      </c>
      <c r="S293" s="66"/>
    </row>
    <row r="294" spans="1:19" x14ac:dyDescent="0.25">
      <c r="A294" s="15">
        <v>26</v>
      </c>
      <c r="B294" s="66"/>
      <c r="C294" s="66">
        <v>2429</v>
      </c>
      <c r="D294" s="66"/>
      <c r="E294" s="66" t="s">
        <v>763</v>
      </c>
      <c r="F294" s="66" t="s">
        <v>864</v>
      </c>
      <c r="G294" s="66"/>
      <c r="H294" s="66">
        <v>0</v>
      </c>
      <c r="I294" s="66">
        <v>10.833333333333332</v>
      </c>
      <c r="J294" s="66" t="s">
        <v>866</v>
      </c>
      <c r="K294" s="66"/>
      <c r="L294" s="66"/>
      <c r="M294" s="66"/>
      <c r="N294" s="66"/>
      <c r="O294" s="66" t="s">
        <v>865</v>
      </c>
      <c r="P294" s="66"/>
      <c r="Q294" s="66">
        <v>1</v>
      </c>
      <c r="R294" s="66">
        <v>563</v>
      </c>
      <c r="S294" s="66"/>
    </row>
    <row r="295" spans="1:19" x14ac:dyDescent="0.25">
      <c r="A295" s="15">
        <v>26</v>
      </c>
      <c r="B295" s="66"/>
      <c r="C295" s="66">
        <v>2429</v>
      </c>
      <c r="D295" s="66"/>
      <c r="E295" s="66" t="s">
        <v>763</v>
      </c>
      <c r="F295" s="66">
        <v>1</v>
      </c>
      <c r="G295" s="66"/>
      <c r="H295" s="66" t="e">
        <v>#N/A</v>
      </c>
      <c r="I295" s="66"/>
      <c r="J295" s="66" t="s">
        <v>870</v>
      </c>
      <c r="K295" s="66" t="s">
        <v>757</v>
      </c>
      <c r="L295" s="66" t="s">
        <v>757</v>
      </c>
      <c r="M295" s="66" t="s">
        <v>757</v>
      </c>
      <c r="N295" s="66" t="s">
        <v>757</v>
      </c>
      <c r="O295" s="66" t="s">
        <v>869</v>
      </c>
      <c r="P295" s="66"/>
      <c r="Q295" s="66">
        <v>1</v>
      </c>
      <c r="R295" s="66">
        <v>586</v>
      </c>
      <c r="S295" s="66"/>
    </row>
    <row r="296" spans="1:19" x14ac:dyDescent="0.25">
      <c r="A296" s="15">
        <v>26</v>
      </c>
      <c r="B296" s="66"/>
      <c r="C296" s="66">
        <v>2429</v>
      </c>
      <c r="D296" s="66"/>
      <c r="E296" s="66" t="s">
        <v>763</v>
      </c>
      <c r="F296" s="66">
        <v>1</v>
      </c>
      <c r="G296" s="66"/>
      <c r="H296" s="66" t="e">
        <v>#N/A</v>
      </c>
      <c r="I296" s="66"/>
      <c r="J296" s="66" t="s">
        <v>870</v>
      </c>
      <c r="K296" s="66" t="s">
        <v>757</v>
      </c>
      <c r="L296" s="66" t="s">
        <v>757</v>
      </c>
      <c r="M296" s="66" t="s">
        <v>757</v>
      </c>
      <c r="N296" s="66" t="s">
        <v>757</v>
      </c>
      <c r="O296" s="66" t="s">
        <v>871</v>
      </c>
      <c r="P296" s="66"/>
      <c r="Q296" s="66">
        <v>1</v>
      </c>
      <c r="R296" s="66">
        <v>587</v>
      </c>
      <c r="S296" s="66"/>
    </row>
    <row r="297" spans="1:19" x14ac:dyDescent="0.25">
      <c r="A297" s="15">
        <v>26</v>
      </c>
      <c r="B297" s="66"/>
      <c r="C297" s="66">
        <v>2429</v>
      </c>
      <c r="D297" s="66"/>
      <c r="E297" s="66" t="s">
        <v>763</v>
      </c>
      <c r="F297" s="66">
        <v>1</v>
      </c>
      <c r="G297" s="66"/>
      <c r="H297" s="66" t="e">
        <v>#N/A</v>
      </c>
      <c r="I297" s="66"/>
      <c r="J297" s="66" t="s">
        <v>870</v>
      </c>
      <c r="K297" s="66" t="s">
        <v>757</v>
      </c>
      <c r="L297" s="66" t="s">
        <v>757</v>
      </c>
      <c r="M297" s="66" t="s">
        <v>757</v>
      </c>
      <c r="N297" s="66" t="s">
        <v>757</v>
      </c>
      <c r="O297" s="66" t="s">
        <v>872</v>
      </c>
      <c r="P297" s="66"/>
      <c r="Q297" s="66">
        <v>1</v>
      </c>
      <c r="R297" s="66">
        <v>588</v>
      </c>
      <c r="S297" s="66"/>
    </row>
    <row r="298" spans="1:19" x14ac:dyDescent="0.25">
      <c r="A298" s="15">
        <v>26</v>
      </c>
      <c r="B298" s="66"/>
      <c r="C298" s="66">
        <v>2429</v>
      </c>
      <c r="D298" s="66"/>
      <c r="E298" s="66" t="s">
        <v>763</v>
      </c>
      <c r="F298" s="66">
        <v>1</v>
      </c>
      <c r="G298" s="66"/>
      <c r="H298" s="66" t="e">
        <v>#N/A</v>
      </c>
      <c r="I298" s="66"/>
      <c r="J298" s="66" t="s">
        <v>870</v>
      </c>
      <c r="K298" s="66" t="s">
        <v>757</v>
      </c>
      <c r="L298" s="66" t="s">
        <v>757</v>
      </c>
      <c r="M298" s="66" t="s">
        <v>757</v>
      </c>
      <c r="N298" s="66" t="s">
        <v>757</v>
      </c>
      <c r="O298" s="66" t="s">
        <v>873</v>
      </c>
      <c r="P298" s="66"/>
      <c r="Q298" s="66">
        <v>1</v>
      </c>
      <c r="R298" s="66">
        <v>589</v>
      </c>
      <c r="S298" s="66"/>
    </row>
    <row r="299" spans="1:19" x14ac:dyDescent="0.25">
      <c r="A299" s="15">
        <v>26</v>
      </c>
      <c r="B299" s="66"/>
      <c r="C299" s="66">
        <v>2429</v>
      </c>
      <c r="D299" s="66"/>
      <c r="E299" s="66" t="s">
        <v>763</v>
      </c>
      <c r="F299" s="66">
        <v>1</v>
      </c>
      <c r="G299" s="66"/>
      <c r="H299" s="66" t="e">
        <v>#N/A</v>
      </c>
      <c r="I299" s="66"/>
      <c r="J299" s="66" t="s">
        <v>870</v>
      </c>
      <c r="K299" s="66" t="s">
        <v>757</v>
      </c>
      <c r="L299" s="66" t="s">
        <v>757</v>
      </c>
      <c r="M299" s="66" t="s">
        <v>757</v>
      </c>
      <c r="N299" s="66" t="s">
        <v>757</v>
      </c>
      <c r="O299" s="66" t="s">
        <v>874</v>
      </c>
      <c r="P299" s="66"/>
      <c r="Q299" s="66">
        <v>1</v>
      </c>
      <c r="R299" s="66">
        <v>590</v>
      </c>
      <c r="S299" s="66"/>
    </row>
    <row r="300" spans="1:19" x14ac:dyDescent="0.25">
      <c r="A300" s="15">
        <v>26</v>
      </c>
      <c r="B300" s="66"/>
      <c r="C300" s="66">
        <v>2429</v>
      </c>
      <c r="D300" s="66"/>
      <c r="E300" s="66" t="s">
        <v>763</v>
      </c>
      <c r="F300" s="66">
        <v>1</v>
      </c>
      <c r="G300" s="66"/>
      <c r="H300" s="66" t="e">
        <v>#N/A</v>
      </c>
      <c r="I300" s="66"/>
      <c r="J300" s="66" t="s">
        <v>870</v>
      </c>
      <c r="K300" s="66" t="s">
        <v>757</v>
      </c>
      <c r="L300" s="66" t="s">
        <v>757</v>
      </c>
      <c r="M300" s="66" t="s">
        <v>757</v>
      </c>
      <c r="N300" s="66" t="s">
        <v>757</v>
      </c>
      <c r="O300" s="66" t="s">
        <v>875</v>
      </c>
      <c r="P300" s="66"/>
      <c r="Q300" s="66">
        <v>1</v>
      </c>
      <c r="R300" s="66">
        <v>591</v>
      </c>
      <c r="S300" s="66"/>
    </row>
    <row r="301" spans="1:19" x14ac:dyDescent="0.25">
      <c r="A301" s="15">
        <v>26</v>
      </c>
      <c r="B301" s="66"/>
      <c r="C301" s="66">
        <v>2429</v>
      </c>
      <c r="D301" s="66"/>
      <c r="E301" s="66" t="s">
        <v>763</v>
      </c>
      <c r="F301" s="66">
        <v>1</v>
      </c>
      <c r="G301" s="66"/>
      <c r="H301" s="66" t="e">
        <v>#N/A</v>
      </c>
      <c r="I301" s="66"/>
      <c r="J301" s="66" t="s">
        <v>870</v>
      </c>
      <c r="K301" s="66" t="s">
        <v>757</v>
      </c>
      <c r="L301" s="66" t="s">
        <v>757</v>
      </c>
      <c r="M301" s="66" t="s">
        <v>757</v>
      </c>
      <c r="N301" s="66" t="s">
        <v>757</v>
      </c>
      <c r="O301" s="66" t="s">
        <v>876</v>
      </c>
      <c r="P301" s="66"/>
      <c r="Q301" s="66">
        <v>1</v>
      </c>
      <c r="R301" s="66">
        <v>592</v>
      </c>
      <c r="S301" s="66"/>
    </row>
    <row r="302" spans="1:19" x14ac:dyDescent="0.25">
      <c r="A302" s="15">
        <v>26</v>
      </c>
      <c r="B302" s="66"/>
      <c r="C302" s="66">
        <v>2429</v>
      </c>
      <c r="D302" s="66"/>
      <c r="E302" s="66" t="s">
        <v>763</v>
      </c>
      <c r="F302" s="66">
        <v>1</v>
      </c>
      <c r="G302" s="66"/>
      <c r="H302" s="66" t="e">
        <v>#N/A</v>
      </c>
      <c r="I302" s="66"/>
      <c r="J302" s="66" t="s">
        <v>870</v>
      </c>
      <c r="K302" s="66" t="s">
        <v>757</v>
      </c>
      <c r="L302" s="66" t="s">
        <v>757</v>
      </c>
      <c r="M302" s="66" t="s">
        <v>757</v>
      </c>
      <c r="N302" s="66" t="s">
        <v>757</v>
      </c>
      <c r="O302" s="66" t="s">
        <v>877</v>
      </c>
      <c r="P302" s="66"/>
      <c r="Q302" s="66">
        <v>1</v>
      </c>
      <c r="R302" s="66">
        <v>593</v>
      </c>
      <c r="S302" s="66"/>
    </row>
    <row r="303" spans="1:19" x14ac:dyDescent="0.25">
      <c r="A303" s="15">
        <v>26</v>
      </c>
      <c r="B303" s="66"/>
      <c r="C303" s="66">
        <v>2429</v>
      </c>
      <c r="D303" s="66"/>
      <c r="E303" s="66" t="s">
        <v>763</v>
      </c>
      <c r="F303" s="66">
        <v>1</v>
      </c>
      <c r="G303" s="66"/>
      <c r="H303" s="66" t="e">
        <v>#N/A</v>
      </c>
      <c r="I303" s="66"/>
      <c r="J303" s="66" t="s">
        <v>870</v>
      </c>
      <c r="K303" s="66" t="s">
        <v>757</v>
      </c>
      <c r="L303" s="66" t="s">
        <v>757</v>
      </c>
      <c r="M303" s="66" t="s">
        <v>757</v>
      </c>
      <c r="N303" s="66" t="s">
        <v>757</v>
      </c>
      <c r="O303" s="66" t="s">
        <v>878</v>
      </c>
      <c r="P303" s="66"/>
      <c r="Q303" s="66">
        <v>1</v>
      </c>
      <c r="R303" s="66">
        <v>594</v>
      </c>
      <c r="S303" s="66"/>
    </row>
    <row r="304" spans="1:19" x14ac:dyDescent="0.25">
      <c r="A304" s="15">
        <v>26</v>
      </c>
      <c r="B304" s="66"/>
      <c r="C304" s="66">
        <v>2429</v>
      </c>
      <c r="D304" s="66"/>
      <c r="E304" s="66" t="s">
        <v>763</v>
      </c>
      <c r="F304" s="66">
        <v>1</v>
      </c>
      <c r="G304" s="66"/>
      <c r="H304" s="66" t="e">
        <v>#N/A</v>
      </c>
      <c r="I304" s="66"/>
      <c r="J304" s="66" t="s">
        <v>870</v>
      </c>
      <c r="K304" s="66" t="s">
        <v>757</v>
      </c>
      <c r="L304" s="66" t="s">
        <v>757</v>
      </c>
      <c r="M304" s="66" t="s">
        <v>757</v>
      </c>
      <c r="N304" s="66" t="s">
        <v>757</v>
      </c>
      <c r="O304" s="66" t="s">
        <v>879</v>
      </c>
      <c r="P304" s="66"/>
      <c r="Q304" s="66">
        <v>1</v>
      </c>
      <c r="R304" s="66">
        <v>595</v>
      </c>
      <c r="S304" s="66"/>
    </row>
    <row r="305" spans="1:19" x14ac:dyDescent="0.25">
      <c r="A305" s="15">
        <v>26</v>
      </c>
      <c r="B305" s="66"/>
      <c r="C305" s="66">
        <v>2429</v>
      </c>
      <c r="D305" s="66"/>
      <c r="E305" s="66" t="s">
        <v>763</v>
      </c>
      <c r="F305" s="66">
        <v>1</v>
      </c>
      <c r="G305" s="66"/>
      <c r="H305" s="66" t="e">
        <v>#N/A</v>
      </c>
      <c r="I305" s="66"/>
      <c r="J305" s="66" t="s">
        <v>870</v>
      </c>
      <c r="K305" s="66" t="s">
        <v>757</v>
      </c>
      <c r="L305" s="66" t="s">
        <v>757</v>
      </c>
      <c r="M305" s="66" t="s">
        <v>757</v>
      </c>
      <c r="N305" s="66" t="s">
        <v>757</v>
      </c>
      <c r="O305" s="66" t="s">
        <v>880</v>
      </c>
      <c r="P305" s="66"/>
      <c r="Q305" s="66">
        <v>1</v>
      </c>
      <c r="R305" s="66">
        <v>596</v>
      </c>
      <c r="S305" s="66"/>
    </row>
    <row r="306" spans="1:19" x14ac:dyDescent="0.25">
      <c r="A306" s="15">
        <v>26</v>
      </c>
      <c r="B306" s="66"/>
      <c r="C306" s="66">
        <v>2429</v>
      </c>
      <c r="D306" s="66"/>
      <c r="E306" s="66" t="s">
        <v>763</v>
      </c>
      <c r="F306" s="66">
        <v>1</v>
      </c>
      <c r="G306" s="66"/>
      <c r="H306" s="66" t="e">
        <v>#N/A</v>
      </c>
      <c r="I306" s="66"/>
      <c r="J306" s="66" t="s">
        <v>870</v>
      </c>
      <c r="K306" s="66" t="s">
        <v>757</v>
      </c>
      <c r="L306" s="66" t="s">
        <v>757</v>
      </c>
      <c r="M306" s="66" t="s">
        <v>757</v>
      </c>
      <c r="N306" s="66" t="s">
        <v>757</v>
      </c>
      <c r="O306" s="66" t="s">
        <v>881</v>
      </c>
      <c r="P306" s="66"/>
      <c r="Q306" s="66">
        <v>1</v>
      </c>
      <c r="R306" s="66">
        <v>597</v>
      </c>
      <c r="S306" s="66"/>
    </row>
    <row r="307" spans="1:19" x14ac:dyDescent="0.25">
      <c r="A307" s="15">
        <v>26</v>
      </c>
      <c r="B307" s="66"/>
      <c r="C307" s="66">
        <v>2429</v>
      </c>
      <c r="D307" s="66"/>
      <c r="E307" s="66" t="s">
        <v>763</v>
      </c>
      <c r="F307" s="66">
        <v>0</v>
      </c>
      <c r="G307" s="66"/>
      <c r="H307" s="66">
        <v>3</v>
      </c>
      <c r="I307" s="66" t="e">
        <v>#N/A</v>
      </c>
      <c r="J307" s="66" t="s">
        <v>870</v>
      </c>
      <c r="K307" s="66"/>
      <c r="L307" s="66"/>
      <c r="M307" s="66"/>
      <c r="N307" s="66"/>
      <c r="O307" s="66" t="s">
        <v>882</v>
      </c>
      <c r="P307" s="66"/>
      <c r="Q307" s="66">
        <v>1</v>
      </c>
      <c r="R307" s="66">
        <v>813</v>
      </c>
      <c r="S307" s="66"/>
    </row>
    <row r="308" spans="1:19" x14ac:dyDescent="0.25">
      <c r="A308" s="15">
        <v>26</v>
      </c>
      <c r="B308" s="66"/>
      <c r="C308" s="66">
        <v>2429</v>
      </c>
      <c r="D308" s="66"/>
      <c r="E308" s="66" t="s">
        <v>763</v>
      </c>
      <c r="F308" s="66">
        <v>0</v>
      </c>
      <c r="G308" s="66"/>
      <c r="H308" s="66">
        <v>3</v>
      </c>
      <c r="I308" s="66" t="e">
        <v>#N/A</v>
      </c>
      <c r="J308" s="66" t="s">
        <v>870</v>
      </c>
      <c r="K308" s="66"/>
      <c r="L308" s="66"/>
      <c r="M308" s="66"/>
      <c r="N308" s="66"/>
      <c r="O308" s="66" t="s">
        <v>883</v>
      </c>
      <c r="P308" s="66"/>
      <c r="Q308" s="66">
        <v>1</v>
      </c>
      <c r="R308" s="66">
        <v>814</v>
      </c>
      <c r="S308" s="66"/>
    </row>
    <row r="309" spans="1:19" x14ac:dyDescent="0.25">
      <c r="A309" s="15">
        <v>26</v>
      </c>
      <c r="B309" s="66"/>
      <c r="C309" s="66">
        <v>2429</v>
      </c>
      <c r="D309" s="66"/>
      <c r="E309" s="66" t="s">
        <v>763</v>
      </c>
      <c r="F309" s="66">
        <v>0</v>
      </c>
      <c r="G309" s="66"/>
      <c r="H309" s="66">
        <v>3</v>
      </c>
      <c r="I309" s="66" t="e">
        <v>#N/A</v>
      </c>
      <c r="J309" s="66" t="s">
        <v>870</v>
      </c>
      <c r="K309" s="66"/>
      <c r="L309" s="66"/>
      <c r="M309" s="66"/>
      <c r="N309" s="66"/>
      <c r="O309" s="66" t="s">
        <v>884</v>
      </c>
      <c r="P309" s="66"/>
      <c r="Q309" s="66">
        <v>1</v>
      </c>
      <c r="R309" s="66">
        <v>815</v>
      </c>
      <c r="S309" s="66"/>
    </row>
    <row r="310" spans="1:19" x14ac:dyDescent="0.25">
      <c r="A310" s="15">
        <v>26</v>
      </c>
      <c r="B310" s="66"/>
      <c r="C310" s="66">
        <v>2429</v>
      </c>
      <c r="D310" s="66"/>
      <c r="E310" s="66" t="s">
        <v>763</v>
      </c>
      <c r="F310" s="66">
        <v>0</v>
      </c>
      <c r="G310" s="66"/>
      <c r="H310" s="66">
        <v>3</v>
      </c>
      <c r="I310" s="66" t="e">
        <v>#N/A</v>
      </c>
      <c r="J310" s="66" t="s">
        <v>870</v>
      </c>
      <c r="K310" s="66"/>
      <c r="L310" s="66"/>
      <c r="M310" s="66"/>
      <c r="N310" s="66"/>
      <c r="O310" s="66" t="s">
        <v>885</v>
      </c>
      <c r="P310" s="66"/>
      <c r="Q310" s="66">
        <v>1</v>
      </c>
      <c r="R310" s="66">
        <v>816</v>
      </c>
      <c r="S310" s="66"/>
    </row>
    <row r="311" spans="1:19" x14ac:dyDescent="0.25">
      <c r="A311" s="15">
        <v>26</v>
      </c>
      <c r="B311" s="66"/>
      <c r="C311" s="66">
        <v>2429</v>
      </c>
      <c r="D311" s="66"/>
      <c r="E311" s="66" t="s">
        <v>763</v>
      </c>
      <c r="F311" s="66">
        <v>0</v>
      </c>
      <c r="G311" s="66"/>
      <c r="H311" s="66">
        <v>3</v>
      </c>
      <c r="I311" s="66" t="e">
        <v>#N/A</v>
      </c>
      <c r="J311" s="66" t="s">
        <v>870</v>
      </c>
      <c r="K311" s="66"/>
      <c r="L311" s="66"/>
      <c r="M311" s="66"/>
      <c r="N311" s="66"/>
      <c r="O311" s="66" t="s">
        <v>886</v>
      </c>
      <c r="P311" s="66"/>
      <c r="Q311" s="66">
        <v>1</v>
      </c>
      <c r="R311" s="66">
        <v>817</v>
      </c>
      <c r="S311" s="66"/>
    </row>
    <row r="312" spans="1:19" x14ac:dyDescent="0.25">
      <c r="A312" s="15">
        <v>26</v>
      </c>
      <c r="B312" s="66"/>
      <c r="C312" s="66">
        <v>2429</v>
      </c>
      <c r="D312" s="66"/>
      <c r="E312" s="66" t="s">
        <v>763</v>
      </c>
      <c r="F312" s="66">
        <v>0</v>
      </c>
      <c r="G312" s="66"/>
      <c r="H312" s="66">
        <v>3</v>
      </c>
      <c r="I312" s="66" t="e">
        <v>#N/A</v>
      </c>
      <c r="J312" s="66" t="s">
        <v>870</v>
      </c>
      <c r="K312" s="66"/>
      <c r="L312" s="66"/>
      <c r="M312" s="66"/>
      <c r="N312" s="66"/>
      <c r="O312" s="66" t="s">
        <v>887</v>
      </c>
      <c r="P312" s="66"/>
      <c r="Q312" s="66">
        <v>1</v>
      </c>
      <c r="R312" s="66">
        <v>818</v>
      </c>
      <c r="S312" s="66"/>
    </row>
    <row r="313" spans="1:19" x14ac:dyDescent="0.25">
      <c r="A313" s="15">
        <v>26</v>
      </c>
      <c r="B313" s="66"/>
      <c r="C313" s="66">
        <v>2429</v>
      </c>
      <c r="D313" s="66"/>
      <c r="E313" s="66" t="s">
        <v>763</v>
      </c>
      <c r="F313" s="66">
        <v>0</v>
      </c>
      <c r="G313" s="66"/>
      <c r="H313" s="66">
        <v>3</v>
      </c>
      <c r="I313" s="66" t="e">
        <v>#N/A</v>
      </c>
      <c r="J313" s="66" t="s">
        <v>870</v>
      </c>
      <c r="K313" s="66"/>
      <c r="L313" s="66"/>
      <c r="M313" s="66"/>
      <c r="N313" s="66"/>
      <c r="O313" s="66" t="s">
        <v>888</v>
      </c>
      <c r="P313" s="66"/>
      <c r="Q313" s="66">
        <v>1</v>
      </c>
      <c r="R313" s="66">
        <v>819</v>
      </c>
      <c r="S313" s="66"/>
    </row>
    <row r="314" spans="1:19" x14ac:dyDescent="0.25">
      <c r="A314" s="15">
        <v>26</v>
      </c>
      <c r="B314" s="66"/>
      <c r="C314" s="66">
        <v>2429</v>
      </c>
      <c r="D314" s="66"/>
      <c r="E314" s="66" t="s">
        <v>763</v>
      </c>
      <c r="F314" s="66">
        <v>0</v>
      </c>
      <c r="G314" s="66"/>
      <c r="H314" s="66">
        <v>3</v>
      </c>
      <c r="I314" s="66" t="e">
        <v>#N/A</v>
      </c>
      <c r="J314" s="66" t="s">
        <v>870</v>
      </c>
      <c r="K314" s="66"/>
      <c r="L314" s="66"/>
      <c r="M314" s="66"/>
      <c r="N314" s="66"/>
      <c r="O314" s="66" t="s">
        <v>889</v>
      </c>
      <c r="P314" s="66"/>
      <c r="Q314" s="66">
        <v>1</v>
      </c>
      <c r="R314" s="66">
        <v>820</v>
      </c>
      <c r="S314" s="66"/>
    </row>
    <row r="315" spans="1:19" x14ac:dyDescent="0.25">
      <c r="A315" s="15">
        <v>26</v>
      </c>
      <c r="B315" s="66"/>
      <c r="C315" s="66">
        <v>2429</v>
      </c>
      <c r="D315" s="66"/>
      <c r="E315" s="66" t="s">
        <v>763</v>
      </c>
      <c r="F315" s="66">
        <v>0</v>
      </c>
      <c r="G315" s="66"/>
      <c r="H315" s="66">
        <v>3</v>
      </c>
      <c r="I315" s="66" t="e">
        <v>#N/A</v>
      </c>
      <c r="J315" s="66" t="s">
        <v>870</v>
      </c>
      <c r="K315" s="66"/>
      <c r="L315" s="66"/>
      <c r="M315" s="66"/>
      <c r="N315" s="66"/>
      <c r="O315" s="66" t="s">
        <v>890</v>
      </c>
      <c r="P315" s="66"/>
      <c r="Q315" s="66">
        <v>1</v>
      </c>
      <c r="R315" s="66">
        <v>821</v>
      </c>
      <c r="S315" s="66"/>
    </row>
    <row r="316" spans="1:19" x14ac:dyDescent="0.25">
      <c r="A316" s="15">
        <v>26</v>
      </c>
      <c r="B316" s="66"/>
      <c r="C316" s="66">
        <v>2429</v>
      </c>
      <c r="D316" s="66"/>
      <c r="E316" s="66" t="s">
        <v>763</v>
      </c>
      <c r="F316" s="66">
        <v>0</v>
      </c>
      <c r="G316" s="66"/>
      <c r="H316" s="66">
        <v>3</v>
      </c>
      <c r="I316" s="66" t="e">
        <v>#N/A</v>
      </c>
      <c r="J316" s="66" t="s">
        <v>870</v>
      </c>
      <c r="K316" s="66"/>
      <c r="L316" s="66"/>
      <c r="M316" s="66"/>
      <c r="N316" s="66"/>
      <c r="O316" s="66" t="s">
        <v>891</v>
      </c>
      <c r="P316" s="66"/>
      <c r="Q316" s="66">
        <v>1</v>
      </c>
      <c r="R316" s="66">
        <v>822</v>
      </c>
      <c r="S316" s="66"/>
    </row>
    <row r="317" spans="1:19" x14ac:dyDescent="0.25">
      <c r="A317" s="15">
        <v>26</v>
      </c>
      <c r="B317" s="66"/>
      <c r="C317" s="66">
        <v>2429</v>
      </c>
      <c r="D317" s="66"/>
      <c r="E317" s="66" t="s">
        <v>763</v>
      </c>
      <c r="F317" s="66">
        <v>0</v>
      </c>
      <c r="G317" s="66"/>
      <c r="H317" s="66">
        <v>3</v>
      </c>
      <c r="I317" s="66" t="e">
        <v>#N/A</v>
      </c>
      <c r="J317" s="66" t="s">
        <v>870</v>
      </c>
      <c r="K317" s="66"/>
      <c r="L317" s="66"/>
      <c r="M317" s="66"/>
      <c r="N317" s="66"/>
      <c r="O317" s="66" t="s">
        <v>892</v>
      </c>
      <c r="P317" s="66"/>
      <c r="Q317" s="66">
        <v>1</v>
      </c>
      <c r="R317" s="66">
        <v>823</v>
      </c>
      <c r="S317" s="66"/>
    </row>
    <row r="318" spans="1:19" x14ac:dyDescent="0.25">
      <c r="A318" s="15">
        <v>26</v>
      </c>
      <c r="B318" s="66"/>
      <c r="C318" s="66">
        <v>2429</v>
      </c>
      <c r="D318" s="66"/>
      <c r="E318" s="66" t="s">
        <v>763</v>
      </c>
      <c r="F318" s="66">
        <v>0</v>
      </c>
      <c r="G318" s="66"/>
      <c r="H318" s="66">
        <v>3</v>
      </c>
      <c r="I318" s="66" t="e">
        <v>#N/A</v>
      </c>
      <c r="J318" s="66" t="s">
        <v>870</v>
      </c>
      <c r="K318" s="66"/>
      <c r="L318" s="66"/>
      <c r="M318" s="66"/>
      <c r="N318" s="66"/>
      <c r="O318" s="66" t="s">
        <v>893</v>
      </c>
      <c r="P318" s="66"/>
      <c r="Q318" s="66">
        <v>1</v>
      </c>
      <c r="R318" s="66">
        <v>824</v>
      </c>
      <c r="S318" s="66"/>
    </row>
    <row r="319" spans="1:19" x14ac:dyDescent="0.25">
      <c r="A319" s="15">
        <v>26</v>
      </c>
      <c r="B319" s="66"/>
      <c r="C319" s="66">
        <v>2429</v>
      </c>
      <c r="D319" s="66"/>
      <c r="E319" s="66" t="s">
        <v>763</v>
      </c>
      <c r="F319" s="66">
        <v>3</v>
      </c>
      <c r="G319" s="66"/>
      <c r="H319" s="66">
        <v>3</v>
      </c>
      <c r="I319" s="66" t="e">
        <v>#N/A</v>
      </c>
      <c r="J319" s="66" t="s">
        <v>870</v>
      </c>
      <c r="K319" s="66"/>
      <c r="L319" s="66"/>
      <c r="M319" s="66"/>
      <c r="N319" s="66"/>
      <c r="O319" s="66" t="s">
        <v>894</v>
      </c>
      <c r="P319" s="66"/>
      <c r="Q319" s="66">
        <v>1</v>
      </c>
      <c r="R319" s="66">
        <v>1040</v>
      </c>
      <c r="S319" s="66"/>
    </row>
    <row r="320" spans="1:19" x14ac:dyDescent="0.25">
      <c r="A320" s="15">
        <v>26</v>
      </c>
      <c r="B320" s="66"/>
      <c r="C320" s="66">
        <v>2429</v>
      </c>
      <c r="D320" s="66"/>
      <c r="E320" s="66" t="s">
        <v>763</v>
      </c>
      <c r="F320" s="66">
        <v>3</v>
      </c>
      <c r="G320" s="66"/>
      <c r="H320" s="66">
        <v>3</v>
      </c>
      <c r="I320" s="66" t="e">
        <v>#N/A</v>
      </c>
      <c r="J320" s="66" t="s">
        <v>870</v>
      </c>
      <c r="K320" s="66"/>
      <c r="L320" s="66"/>
      <c r="M320" s="66"/>
      <c r="N320" s="66"/>
      <c r="O320" s="66" t="s">
        <v>895</v>
      </c>
      <c r="P320" s="66"/>
      <c r="Q320" s="66">
        <v>1</v>
      </c>
      <c r="R320" s="66">
        <v>1041</v>
      </c>
      <c r="S320" s="66"/>
    </row>
    <row r="321" spans="1:19" x14ac:dyDescent="0.25">
      <c r="A321" s="15">
        <v>26</v>
      </c>
      <c r="B321" s="66"/>
      <c r="C321" s="66">
        <v>2429</v>
      </c>
      <c r="D321" s="66"/>
      <c r="E321" s="66" t="s">
        <v>763</v>
      </c>
      <c r="F321" s="66">
        <v>3</v>
      </c>
      <c r="G321" s="66"/>
      <c r="H321" s="66">
        <v>3</v>
      </c>
      <c r="I321" s="66" t="e">
        <v>#N/A</v>
      </c>
      <c r="J321" s="66" t="s">
        <v>870</v>
      </c>
      <c r="K321" s="66"/>
      <c r="L321" s="66"/>
      <c r="M321" s="66"/>
      <c r="N321" s="66"/>
      <c r="O321" s="66" t="s">
        <v>896</v>
      </c>
      <c r="P321" s="66"/>
      <c r="Q321" s="66">
        <v>1</v>
      </c>
      <c r="R321" s="66">
        <v>1042</v>
      </c>
      <c r="S321" s="66"/>
    </row>
    <row r="322" spans="1:19" x14ac:dyDescent="0.25">
      <c r="A322" s="15">
        <v>26</v>
      </c>
      <c r="B322" s="66"/>
      <c r="C322" s="66">
        <v>2429</v>
      </c>
      <c r="D322" s="66"/>
      <c r="E322" s="66" t="s">
        <v>763</v>
      </c>
      <c r="F322" s="66">
        <v>3</v>
      </c>
      <c r="G322" s="66"/>
      <c r="H322" s="66">
        <v>3</v>
      </c>
      <c r="I322" s="66" t="e">
        <v>#N/A</v>
      </c>
      <c r="J322" s="66" t="s">
        <v>870</v>
      </c>
      <c r="K322" s="66"/>
      <c r="L322" s="66"/>
      <c r="M322" s="66"/>
      <c r="N322" s="66"/>
      <c r="O322" s="66" t="s">
        <v>897</v>
      </c>
      <c r="P322" s="66"/>
      <c r="Q322" s="66">
        <v>1</v>
      </c>
      <c r="R322" s="66">
        <v>1043</v>
      </c>
      <c r="S322" s="66"/>
    </row>
    <row r="323" spans="1:19" x14ac:dyDescent="0.25">
      <c r="A323" s="15">
        <v>26</v>
      </c>
      <c r="B323" s="66"/>
      <c r="C323" s="66">
        <v>2429</v>
      </c>
      <c r="D323" s="66"/>
      <c r="E323" s="66" t="s">
        <v>763</v>
      </c>
      <c r="F323" s="66">
        <v>3</v>
      </c>
      <c r="G323" s="66"/>
      <c r="H323" s="66">
        <v>3</v>
      </c>
      <c r="I323" s="66" t="e">
        <v>#N/A</v>
      </c>
      <c r="J323" s="66" t="s">
        <v>870</v>
      </c>
      <c r="K323" s="66"/>
      <c r="L323" s="66"/>
      <c r="M323" s="66"/>
      <c r="N323" s="66"/>
      <c r="O323" s="66" t="s">
        <v>898</v>
      </c>
      <c r="P323" s="66"/>
      <c r="Q323" s="66">
        <v>1</v>
      </c>
      <c r="R323" s="66">
        <v>1044</v>
      </c>
      <c r="S323" s="66"/>
    </row>
    <row r="324" spans="1:19" x14ac:dyDescent="0.25">
      <c r="A324" s="15">
        <v>26</v>
      </c>
      <c r="B324" s="66"/>
      <c r="C324" s="66">
        <v>2429</v>
      </c>
      <c r="D324" s="66"/>
      <c r="E324" s="66" t="s">
        <v>763</v>
      </c>
      <c r="F324" s="66">
        <v>3</v>
      </c>
      <c r="G324" s="66"/>
      <c r="H324" s="66">
        <v>3</v>
      </c>
      <c r="I324" s="66" t="e">
        <v>#N/A</v>
      </c>
      <c r="J324" s="66" t="s">
        <v>870</v>
      </c>
      <c r="K324" s="66"/>
      <c r="L324" s="66"/>
      <c r="M324" s="66"/>
      <c r="N324" s="66"/>
      <c r="O324" s="66" t="s">
        <v>899</v>
      </c>
      <c r="P324" s="66"/>
      <c r="Q324" s="66">
        <v>1</v>
      </c>
      <c r="R324" s="66">
        <v>1045</v>
      </c>
      <c r="S324" s="66"/>
    </row>
    <row r="325" spans="1:19" x14ac:dyDescent="0.25">
      <c r="A325" s="15">
        <v>26</v>
      </c>
      <c r="B325" s="66"/>
      <c r="C325" s="66">
        <v>2429</v>
      </c>
      <c r="D325" s="66"/>
      <c r="E325" s="66" t="s">
        <v>763</v>
      </c>
      <c r="F325" s="66">
        <v>3</v>
      </c>
      <c r="G325" s="66"/>
      <c r="H325" s="66">
        <v>3</v>
      </c>
      <c r="I325" s="66" t="e">
        <v>#N/A</v>
      </c>
      <c r="J325" s="66" t="s">
        <v>870</v>
      </c>
      <c r="K325" s="66"/>
      <c r="L325" s="66"/>
      <c r="M325" s="66"/>
      <c r="N325" s="66"/>
      <c r="O325" s="66" t="s">
        <v>900</v>
      </c>
      <c r="P325" s="66"/>
      <c r="Q325" s="66">
        <v>1</v>
      </c>
      <c r="R325" s="66">
        <v>1046</v>
      </c>
      <c r="S325" s="66"/>
    </row>
    <row r="326" spans="1:19" x14ac:dyDescent="0.25">
      <c r="A326" s="15">
        <v>26</v>
      </c>
      <c r="B326" s="66"/>
      <c r="C326" s="66">
        <v>2429</v>
      </c>
      <c r="D326" s="66"/>
      <c r="E326" s="66" t="s">
        <v>763</v>
      </c>
      <c r="F326" s="66">
        <v>3</v>
      </c>
      <c r="G326" s="66"/>
      <c r="H326" s="66">
        <v>3</v>
      </c>
      <c r="I326" s="66" t="e">
        <v>#N/A</v>
      </c>
      <c r="J326" s="66" t="s">
        <v>870</v>
      </c>
      <c r="K326" s="66"/>
      <c r="L326" s="66"/>
      <c r="M326" s="66"/>
      <c r="N326" s="66"/>
      <c r="O326" s="66" t="s">
        <v>901</v>
      </c>
      <c r="P326" s="66"/>
      <c r="Q326" s="66">
        <v>1</v>
      </c>
      <c r="R326" s="66">
        <v>1047</v>
      </c>
      <c r="S326" s="66"/>
    </row>
    <row r="327" spans="1:19" x14ac:dyDescent="0.25">
      <c r="A327" s="15">
        <v>26</v>
      </c>
      <c r="B327" s="66"/>
      <c r="C327" s="66">
        <v>2429</v>
      </c>
      <c r="D327" s="66"/>
      <c r="E327" s="66" t="s">
        <v>763</v>
      </c>
      <c r="F327" s="66">
        <v>3</v>
      </c>
      <c r="G327" s="66"/>
      <c r="H327" s="66">
        <v>3</v>
      </c>
      <c r="I327" s="66" t="e">
        <v>#N/A</v>
      </c>
      <c r="J327" s="66" t="s">
        <v>870</v>
      </c>
      <c r="K327" s="66"/>
      <c r="L327" s="66"/>
      <c r="M327" s="66"/>
      <c r="N327" s="66"/>
      <c r="O327" s="66" t="s">
        <v>902</v>
      </c>
      <c r="P327" s="66"/>
      <c r="Q327" s="66">
        <v>1</v>
      </c>
      <c r="R327" s="66">
        <v>1048</v>
      </c>
      <c r="S327" s="66"/>
    </row>
    <row r="328" spans="1:19" x14ac:dyDescent="0.25">
      <c r="A328" s="15">
        <v>26</v>
      </c>
      <c r="B328" s="66"/>
      <c r="C328" s="66">
        <v>2429</v>
      </c>
      <c r="D328" s="66"/>
      <c r="E328" s="66" t="s">
        <v>763</v>
      </c>
      <c r="F328" s="66">
        <v>3</v>
      </c>
      <c r="G328" s="66"/>
      <c r="H328" s="66">
        <v>3</v>
      </c>
      <c r="I328" s="66" t="e">
        <v>#N/A</v>
      </c>
      <c r="J328" s="66" t="s">
        <v>870</v>
      </c>
      <c r="K328" s="66"/>
      <c r="L328" s="66"/>
      <c r="M328" s="66"/>
      <c r="N328" s="66"/>
      <c r="O328" s="66" t="s">
        <v>903</v>
      </c>
      <c r="P328" s="66"/>
      <c r="Q328" s="66">
        <v>1</v>
      </c>
      <c r="R328" s="66">
        <v>1049</v>
      </c>
      <c r="S328" s="66"/>
    </row>
    <row r="329" spans="1:19" x14ac:dyDescent="0.25">
      <c r="A329" s="15">
        <v>26</v>
      </c>
      <c r="B329" s="66"/>
      <c r="C329" s="66">
        <v>2429</v>
      </c>
      <c r="D329" s="66"/>
      <c r="E329" s="66" t="s">
        <v>763</v>
      </c>
      <c r="F329" s="66">
        <v>3</v>
      </c>
      <c r="G329" s="66"/>
      <c r="H329" s="66">
        <v>3</v>
      </c>
      <c r="I329" s="66" t="e">
        <v>#N/A</v>
      </c>
      <c r="J329" s="66" t="s">
        <v>870</v>
      </c>
      <c r="K329" s="66"/>
      <c r="L329" s="66"/>
      <c r="M329" s="66"/>
      <c r="N329" s="66"/>
      <c r="O329" s="66" t="s">
        <v>904</v>
      </c>
      <c r="P329" s="66"/>
      <c r="Q329" s="66">
        <v>1</v>
      </c>
      <c r="R329" s="66">
        <v>1050</v>
      </c>
      <c r="S329" s="66"/>
    </row>
    <row r="330" spans="1:19" x14ac:dyDescent="0.25">
      <c r="A330" s="15">
        <v>26</v>
      </c>
      <c r="B330" s="66"/>
      <c r="C330" s="66">
        <v>2429</v>
      </c>
      <c r="D330" s="66"/>
      <c r="E330" s="66" t="s">
        <v>763</v>
      </c>
      <c r="F330" s="66">
        <v>3</v>
      </c>
      <c r="G330" s="66"/>
      <c r="H330" s="66">
        <v>3</v>
      </c>
      <c r="I330" s="66" t="e">
        <v>#N/A</v>
      </c>
      <c r="J330" s="66" t="s">
        <v>870</v>
      </c>
      <c r="K330" s="66"/>
      <c r="L330" s="66"/>
      <c r="M330" s="66"/>
      <c r="N330" s="66"/>
      <c r="O330" s="66" t="s">
        <v>905</v>
      </c>
      <c r="P330" s="66"/>
      <c r="Q330" s="66">
        <v>1</v>
      </c>
      <c r="R330" s="66">
        <v>1051</v>
      </c>
      <c r="S330" s="66"/>
    </row>
    <row r="331" spans="1:19" x14ac:dyDescent="0.25">
      <c r="A331" s="15">
        <v>26</v>
      </c>
      <c r="B331" s="66"/>
      <c r="C331" s="66">
        <v>2429</v>
      </c>
      <c r="D331" s="66"/>
      <c r="E331" s="66" t="s">
        <v>763</v>
      </c>
      <c r="F331" s="66">
        <v>3</v>
      </c>
      <c r="G331" s="66"/>
      <c r="H331" s="66" t="e">
        <v>#N/A</v>
      </c>
      <c r="I331" s="66"/>
      <c r="J331" s="66" t="s">
        <v>870</v>
      </c>
      <c r="K331" s="66"/>
      <c r="L331" s="66"/>
      <c r="M331" s="66"/>
      <c r="N331" s="66"/>
      <c r="O331" s="66" t="s">
        <v>906</v>
      </c>
      <c r="P331" s="66"/>
      <c r="Q331" s="66">
        <v>1</v>
      </c>
      <c r="R331" s="66">
        <v>1267</v>
      </c>
      <c r="S331" s="66"/>
    </row>
    <row r="332" spans="1:19" x14ac:dyDescent="0.25">
      <c r="A332" s="15">
        <v>26</v>
      </c>
      <c r="B332" s="66"/>
      <c r="C332" s="66">
        <v>2429</v>
      </c>
      <c r="D332" s="66"/>
      <c r="E332" s="66" t="s">
        <v>763</v>
      </c>
      <c r="F332" s="66">
        <v>5</v>
      </c>
      <c r="G332" s="66"/>
      <c r="H332" s="66" t="e">
        <v>#N/A</v>
      </c>
      <c r="I332" s="66"/>
      <c r="J332" s="66" t="s">
        <v>870</v>
      </c>
      <c r="K332" s="66"/>
      <c r="L332" s="66"/>
      <c r="M332" s="66"/>
      <c r="N332" s="66"/>
      <c r="O332" s="66" t="s">
        <v>908</v>
      </c>
      <c r="P332" s="66"/>
      <c r="Q332" s="66">
        <v>1</v>
      </c>
      <c r="R332" s="66">
        <v>1334</v>
      </c>
      <c r="S332" s="66"/>
    </row>
    <row r="333" spans="1:19" x14ac:dyDescent="0.25">
      <c r="A333" s="15">
        <v>26</v>
      </c>
      <c r="B333" s="66"/>
      <c r="C333" s="66">
        <v>2429</v>
      </c>
      <c r="D333" s="66"/>
      <c r="E333" s="66" t="s">
        <v>763</v>
      </c>
      <c r="F333" s="66">
        <v>5</v>
      </c>
      <c r="G333" s="66"/>
      <c r="H333" s="66" t="e">
        <v>#N/A</v>
      </c>
      <c r="I333" s="66"/>
      <c r="J333" s="66" t="s">
        <v>870</v>
      </c>
      <c r="K333" s="66"/>
      <c r="L333" s="66"/>
      <c r="M333" s="66"/>
      <c r="N333" s="66"/>
      <c r="O333" s="66" t="s">
        <v>909</v>
      </c>
      <c r="P333" s="66"/>
      <c r="Q333" s="66">
        <v>1</v>
      </c>
      <c r="R333" s="66">
        <v>1335</v>
      </c>
      <c r="S333" s="66"/>
    </row>
    <row r="334" spans="1:19" x14ac:dyDescent="0.25">
      <c r="A334" s="15">
        <v>26</v>
      </c>
      <c r="B334" s="66"/>
      <c r="C334" s="66">
        <v>2429</v>
      </c>
      <c r="D334" s="66"/>
      <c r="E334" s="66" t="s">
        <v>763</v>
      </c>
      <c r="F334" s="66">
        <v>5</v>
      </c>
      <c r="G334" s="66"/>
      <c r="H334" s="66" t="e">
        <v>#N/A</v>
      </c>
      <c r="I334" s="66"/>
      <c r="J334" s="66" t="s">
        <v>870</v>
      </c>
      <c r="K334" s="66"/>
      <c r="L334" s="66"/>
      <c r="M334" s="66"/>
      <c r="N334" s="66"/>
      <c r="O334" s="66" t="s">
        <v>910</v>
      </c>
      <c r="P334" s="66"/>
      <c r="Q334" s="66">
        <v>1</v>
      </c>
      <c r="R334" s="66">
        <v>1336</v>
      </c>
      <c r="S334" s="66"/>
    </row>
    <row r="335" spans="1:19" x14ac:dyDescent="0.25">
      <c r="A335" s="15">
        <v>26</v>
      </c>
      <c r="B335" s="66"/>
      <c r="C335" s="66">
        <v>2429</v>
      </c>
      <c r="D335" s="66"/>
      <c r="E335" s="66" t="s">
        <v>763</v>
      </c>
      <c r="F335" s="66">
        <v>5</v>
      </c>
      <c r="G335" s="66"/>
      <c r="H335" s="66" t="e">
        <v>#N/A</v>
      </c>
      <c r="I335" s="66"/>
      <c r="J335" s="66" t="s">
        <v>870</v>
      </c>
      <c r="K335" s="66"/>
      <c r="L335" s="66"/>
      <c r="M335" s="66"/>
      <c r="N335" s="66"/>
      <c r="O335" s="66" t="s">
        <v>911</v>
      </c>
      <c r="P335" s="66"/>
      <c r="Q335" s="66">
        <v>1</v>
      </c>
      <c r="R335" s="66">
        <v>1337</v>
      </c>
      <c r="S335" s="66"/>
    </row>
    <row r="336" spans="1:19" x14ac:dyDescent="0.25">
      <c r="A336" s="15">
        <v>26</v>
      </c>
      <c r="B336" s="66"/>
      <c r="C336" s="66">
        <v>2429</v>
      </c>
      <c r="D336" s="66"/>
      <c r="E336" s="66" t="s">
        <v>763</v>
      </c>
      <c r="F336" s="66">
        <v>5</v>
      </c>
      <c r="G336" s="66"/>
      <c r="H336" s="66" t="e">
        <v>#N/A</v>
      </c>
      <c r="I336" s="66"/>
      <c r="J336" s="66" t="s">
        <v>870</v>
      </c>
      <c r="K336" s="66"/>
      <c r="L336" s="66"/>
      <c r="M336" s="66"/>
      <c r="N336" s="66"/>
      <c r="O336" s="66" t="s">
        <v>912</v>
      </c>
      <c r="P336" s="66"/>
      <c r="Q336" s="66">
        <v>1</v>
      </c>
      <c r="R336" s="66">
        <v>1338</v>
      </c>
      <c r="S336" s="66"/>
    </row>
    <row r="337" spans="1:19" x14ac:dyDescent="0.25">
      <c r="A337" s="15">
        <v>26</v>
      </c>
      <c r="B337" s="66"/>
      <c r="C337" s="66">
        <v>2429</v>
      </c>
      <c r="D337" s="66"/>
      <c r="E337" s="66" t="s">
        <v>763</v>
      </c>
      <c r="F337" s="66">
        <v>5</v>
      </c>
      <c r="G337" s="66"/>
      <c r="H337" s="66" t="e">
        <v>#N/A</v>
      </c>
      <c r="I337" s="66"/>
      <c r="J337" s="66" t="s">
        <v>870</v>
      </c>
      <c r="K337" s="66"/>
      <c r="L337" s="66"/>
      <c r="M337" s="66"/>
      <c r="N337" s="66"/>
      <c r="O337" s="66" t="s">
        <v>913</v>
      </c>
      <c r="P337" s="66"/>
      <c r="Q337" s="66">
        <v>1</v>
      </c>
      <c r="R337" s="66">
        <v>1339</v>
      </c>
      <c r="S337" s="66"/>
    </row>
    <row r="338" spans="1:19" x14ac:dyDescent="0.25">
      <c r="A338" s="15">
        <v>26</v>
      </c>
      <c r="B338" s="66"/>
      <c r="C338" s="66">
        <v>2429</v>
      </c>
      <c r="D338" s="66"/>
      <c r="E338" s="66" t="s">
        <v>763</v>
      </c>
      <c r="F338" s="66">
        <v>5</v>
      </c>
      <c r="G338" s="66"/>
      <c r="H338" s="66" t="e">
        <v>#N/A</v>
      </c>
      <c r="I338" s="66"/>
      <c r="J338" s="66" t="s">
        <v>870</v>
      </c>
      <c r="K338" s="66"/>
      <c r="L338" s="66"/>
      <c r="M338" s="66"/>
      <c r="N338" s="66"/>
      <c r="O338" s="66" t="s">
        <v>914</v>
      </c>
      <c r="P338" s="66"/>
      <c r="Q338" s="66">
        <v>1</v>
      </c>
      <c r="R338" s="66">
        <v>1340</v>
      </c>
      <c r="S338" s="66"/>
    </row>
    <row r="339" spans="1:19" x14ac:dyDescent="0.25">
      <c r="A339" s="15">
        <v>26</v>
      </c>
      <c r="B339" s="66"/>
      <c r="C339" s="66">
        <v>2429</v>
      </c>
      <c r="D339" s="66"/>
      <c r="E339" s="66" t="s">
        <v>763</v>
      </c>
      <c r="F339" s="66">
        <v>5</v>
      </c>
      <c r="G339" s="66"/>
      <c r="H339" s="66" t="e">
        <v>#N/A</v>
      </c>
      <c r="I339" s="66"/>
      <c r="J339" s="66" t="s">
        <v>870</v>
      </c>
      <c r="K339" s="66"/>
      <c r="L339" s="66"/>
      <c r="M339" s="66"/>
      <c r="N339" s="66"/>
      <c r="O339" s="66" t="s">
        <v>915</v>
      </c>
      <c r="P339" s="66"/>
      <c r="Q339" s="66">
        <v>1</v>
      </c>
      <c r="R339" s="66">
        <v>1341</v>
      </c>
      <c r="S339" s="66"/>
    </row>
    <row r="340" spans="1:19" x14ac:dyDescent="0.25">
      <c r="A340" s="15">
        <v>26</v>
      </c>
      <c r="B340" s="66"/>
      <c r="C340" s="66">
        <v>2429</v>
      </c>
      <c r="D340" s="66"/>
      <c r="E340" s="66" t="s">
        <v>763</v>
      </c>
      <c r="F340" s="66">
        <v>5</v>
      </c>
      <c r="G340" s="66"/>
      <c r="H340" s="66" t="e">
        <v>#N/A</v>
      </c>
      <c r="I340" s="66"/>
      <c r="J340" s="66" t="s">
        <v>870</v>
      </c>
      <c r="K340" s="66"/>
      <c r="L340" s="66"/>
      <c r="M340" s="66"/>
      <c r="N340" s="66"/>
      <c r="O340" s="66" t="s">
        <v>916</v>
      </c>
      <c r="P340" s="66"/>
      <c r="Q340" s="66">
        <v>1</v>
      </c>
      <c r="R340" s="66">
        <v>1342</v>
      </c>
      <c r="S340" s="66"/>
    </row>
    <row r="341" spans="1:19" x14ac:dyDescent="0.25">
      <c r="A341" s="15">
        <v>26</v>
      </c>
      <c r="B341" s="66"/>
      <c r="C341" s="66">
        <v>2429</v>
      </c>
      <c r="D341" s="66"/>
      <c r="E341" s="66" t="s">
        <v>763</v>
      </c>
      <c r="F341" s="66">
        <v>5</v>
      </c>
      <c r="G341" s="66"/>
      <c r="H341" s="66" t="e">
        <v>#N/A</v>
      </c>
      <c r="I341" s="66"/>
      <c r="J341" s="66" t="s">
        <v>870</v>
      </c>
      <c r="K341" s="66"/>
      <c r="L341" s="66"/>
      <c r="M341" s="66"/>
      <c r="N341" s="66"/>
      <c r="O341" s="66" t="s">
        <v>917</v>
      </c>
      <c r="P341" s="66"/>
      <c r="Q341" s="66">
        <v>1</v>
      </c>
      <c r="R341" s="66">
        <v>1343</v>
      </c>
      <c r="S341" s="66"/>
    </row>
    <row r="342" spans="1:19" x14ac:dyDescent="0.25">
      <c r="A342" s="15">
        <v>26</v>
      </c>
      <c r="B342" s="66"/>
      <c r="C342" s="66">
        <v>2429</v>
      </c>
      <c r="D342" s="66"/>
      <c r="E342" s="66" t="s">
        <v>763</v>
      </c>
      <c r="F342" s="66">
        <v>5</v>
      </c>
      <c r="G342" s="66"/>
      <c r="H342" s="66" t="e">
        <v>#N/A</v>
      </c>
      <c r="I342" s="66"/>
      <c r="J342" s="66" t="s">
        <v>870</v>
      </c>
      <c r="K342" s="66"/>
      <c r="L342" s="66"/>
      <c r="M342" s="66"/>
      <c r="N342" s="66"/>
      <c r="O342" s="66" t="s">
        <v>918</v>
      </c>
      <c r="P342" s="66"/>
      <c r="Q342" s="66">
        <v>1</v>
      </c>
      <c r="R342" s="66">
        <v>1344</v>
      </c>
      <c r="S342" s="66"/>
    </row>
    <row r="343" spans="1:19" x14ac:dyDescent="0.25">
      <c r="A343" s="15">
        <v>26</v>
      </c>
      <c r="B343" s="66"/>
      <c r="C343" s="66">
        <v>2429</v>
      </c>
      <c r="D343" s="66"/>
      <c r="E343" s="66" t="s">
        <v>763</v>
      </c>
      <c r="F343" s="66">
        <v>5</v>
      </c>
      <c r="G343" s="66"/>
      <c r="H343" s="66" t="e">
        <v>#N/A</v>
      </c>
      <c r="I343" s="66"/>
      <c r="J343" s="66" t="s">
        <v>870</v>
      </c>
      <c r="K343" s="66"/>
      <c r="L343" s="66"/>
      <c r="M343" s="66"/>
      <c r="N343" s="66"/>
      <c r="O343" s="66" t="s">
        <v>919</v>
      </c>
      <c r="P343" s="66"/>
      <c r="Q343" s="66">
        <v>1</v>
      </c>
      <c r="R343" s="66">
        <v>1345</v>
      </c>
      <c r="S343" s="66"/>
    </row>
    <row r="344" spans="1:19" x14ac:dyDescent="0.25">
      <c r="A344" s="15">
        <v>27</v>
      </c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</row>
    <row r="345" spans="1:19" x14ac:dyDescent="0.25">
      <c r="A345" s="15">
        <v>27</v>
      </c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 t="s">
        <v>783</v>
      </c>
      <c r="P345" s="66"/>
      <c r="Q345" s="66"/>
      <c r="R345" s="66"/>
      <c r="S345" s="66"/>
    </row>
    <row r="346" spans="1:19" x14ac:dyDescent="0.25">
      <c r="A346" s="15">
        <v>27</v>
      </c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 t="s">
        <v>837</v>
      </c>
      <c r="P346" s="66"/>
      <c r="Q346" s="66"/>
      <c r="R346" s="66"/>
      <c r="S346" s="66"/>
    </row>
    <row r="347" spans="1:19" x14ac:dyDescent="0.25">
      <c r="A347" s="15">
        <v>27</v>
      </c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 t="s">
        <v>845</v>
      </c>
      <c r="P347" s="66"/>
      <c r="Q347" s="66"/>
      <c r="R347" s="66"/>
      <c r="S347" s="66"/>
    </row>
    <row r="348" spans="1:19" x14ac:dyDescent="0.25">
      <c r="A348" s="15">
        <v>27</v>
      </c>
      <c r="B348" s="66"/>
      <c r="C348" s="66" t="s">
        <v>77</v>
      </c>
      <c r="D348" s="66"/>
      <c r="E348" s="66" t="s">
        <v>763</v>
      </c>
      <c r="F348" s="66">
        <v>8</v>
      </c>
      <c r="G348" s="66"/>
      <c r="H348" s="66">
        <v>10</v>
      </c>
      <c r="I348" s="66">
        <v>12.75</v>
      </c>
      <c r="J348" s="66" t="s">
        <v>850</v>
      </c>
      <c r="K348" s="66"/>
      <c r="L348" s="66"/>
      <c r="M348" s="66"/>
      <c r="N348" s="66"/>
      <c r="O348" s="66" t="s">
        <v>849</v>
      </c>
      <c r="P348" s="66"/>
      <c r="Q348" s="66">
        <v>1</v>
      </c>
      <c r="R348" s="66">
        <v>288</v>
      </c>
      <c r="S348" s="66"/>
    </row>
    <row r="349" spans="1:19" x14ac:dyDescent="0.25">
      <c r="A349" s="15">
        <v>27</v>
      </c>
      <c r="B349" s="66"/>
      <c r="C349" s="66">
        <v>2429</v>
      </c>
      <c r="D349" s="66"/>
      <c r="E349" s="66" t="s">
        <v>763</v>
      </c>
      <c r="F349" s="66">
        <v>8</v>
      </c>
      <c r="G349" s="66"/>
      <c r="H349" s="66"/>
      <c r="I349" s="66">
        <v>26.666666666666668</v>
      </c>
      <c r="J349" s="66" t="s">
        <v>850</v>
      </c>
      <c r="K349" s="66"/>
      <c r="L349" s="66"/>
      <c r="M349" s="66"/>
      <c r="N349" s="66"/>
      <c r="O349" s="66" t="s">
        <v>852</v>
      </c>
      <c r="P349" s="66"/>
      <c r="Q349" s="66">
        <v>1</v>
      </c>
      <c r="R349" s="66">
        <v>366</v>
      </c>
      <c r="S349" s="66"/>
    </row>
    <row r="350" spans="1:19" x14ac:dyDescent="0.25">
      <c r="A350" s="15">
        <v>27</v>
      </c>
      <c r="B350" s="66"/>
      <c r="C350" s="66">
        <v>2429</v>
      </c>
      <c r="D350" s="66"/>
      <c r="E350" s="66" t="s">
        <v>763</v>
      </c>
      <c r="F350" s="66">
        <v>10</v>
      </c>
      <c r="G350" s="66"/>
      <c r="H350" s="66"/>
      <c r="I350" s="66">
        <v>14.083333333333334</v>
      </c>
      <c r="J350" s="66" t="s">
        <v>850</v>
      </c>
      <c r="K350" s="66"/>
      <c r="L350" s="66"/>
      <c r="M350" s="66"/>
      <c r="N350" s="66"/>
      <c r="O350" s="66" t="s">
        <v>853</v>
      </c>
      <c r="P350" s="66"/>
      <c r="Q350" s="66">
        <v>1</v>
      </c>
      <c r="R350" s="66">
        <v>367</v>
      </c>
      <c r="S350" s="66"/>
    </row>
    <row r="351" spans="1:19" x14ac:dyDescent="0.25">
      <c r="A351" s="15">
        <v>27</v>
      </c>
      <c r="B351" s="66"/>
      <c r="C351" s="66">
        <v>2429</v>
      </c>
      <c r="D351" s="66"/>
      <c r="E351" s="66" t="s">
        <v>763</v>
      </c>
      <c r="F351" s="66">
        <v>10</v>
      </c>
      <c r="G351" s="66"/>
      <c r="H351" s="66"/>
      <c r="I351" s="66">
        <v>14.083333333333334</v>
      </c>
      <c r="J351" s="66" t="s">
        <v>850</v>
      </c>
      <c r="K351" s="66"/>
      <c r="L351" s="66"/>
      <c r="M351" s="66"/>
      <c r="N351" s="66"/>
      <c r="O351" s="66" t="s">
        <v>854</v>
      </c>
      <c r="P351" s="66"/>
      <c r="Q351" s="66">
        <v>1</v>
      </c>
      <c r="R351" s="66">
        <v>368</v>
      </c>
      <c r="S351" s="66"/>
    </row>
    <row r="352" spans="1:19" x14ac:dyDescent="0.25">
      <c r="A352" s="15">
        <v>27</v>
      </c>
      <c r="B352" s="66"/>
      <c r="C352" s="66">
        <v>2429</v>
      </c>
      <c r="D352" s="66"/>
      <c r="E352" s="66" t="s">
        <v>763</v>
      </c>
      <c r="F352" s="66">
        <v>10</v>
      </c>
      <c r="G352" s="66"/>
      <c r="H352" s="66"/>
      <c r="I352" s="66">
        <v>14.083333333333334</v>
      </c>
      <c r="J352" s="66" t="s">
        <v>850</v>
      </c>
      <c r="K352" s="66"/>
      <c r="L352" s="66"/>
      <c r="M352" s="66"/>
      <c r="N352" s="66"/>
      <c r="O352" s="66" t="s">
        <v>855</v>
      </c>
      <c r="P352" s="66"/>
      <c r="Q352" s="66">
        <v>1</v>
      </c>
      <c r="R352" s="66">
        <v>369</v>
      </c>
      <c r="S352" s="66"/>
    </row>
    <row r="353" spans="1:19" x14ac:dyDescent="0.25">
      <c r="A353" s="15">
        <v>27</v>
      </c>
      <c r="B353" s="66"/>
      <c r="C353" s="66">
        <v>2429</v>
      </c>
      <c r="D353" s="66"/>
      <c r="E353" s="66" t="s">
        <v>763</v>
      </c>
      <c r="F353" s="66">
        <v>10</v>
      </c>
      <c r="G353" s="66"/>
      <c r="H353" s="66"/>
      <c r="I353" s="66">
        <v>14.083333333333334</v>
      </c>
      <c r="J353" s="66" t="s">
        <v>850</v>
      </c>
      <c r="K353" s="66"/>
      <c r="L353" s="66"/>
      <c r="M353" s="66"/>
      <c r="N353" s="66"/>
      <c r="O353" s="66" t="s">
        <v>856</v>
      </c>
      <c r="P353" s="66"/>
      <c r="Q353" s="66">
        <v>1</v>
      </c>
      <c r="R353" s="66">
        <v>370</v>
      </c>
      <c r="S353" s="66"/>
    </row>
    <row r="354" spans="1:19" x14ac:dyDescent="0.25">
      <c r="A354" s="15">
        <v>27</v>
      </c>
      <c r="B354" s="66"/>
      <c r="C354" s="66">
        <v>2429</v>
      </c>
      <c r="D354" s="66"/>
      <c r="E354" s="66" t="s">
        <v>763</v>
      </c>
      <c r="F354" s="66">
        <v>10</v>
      </c>
      <c r="G354" s="66"/>
      <c r="H354" s="66"/>
      <c r="I354" s="66">
        <v>14.083333333333334</v>
      </c>
      <c r="J354" s="66" t="s">
        <v>850</v>
      </c>
      <c r="K354" s="66"/>
      <c r="L354" s="66"/>
      <c r="M354" s="66"/>
      <c r="N354" s="66"/>
      <c r="O354" s="66" t="s">
        <v>857</v>
      </c>
      <c r="P354" s="66"/>
      <c r="Q354" s="66">
        <v>1</v>
      </c>
      <c r="R354" s="66">
        <v>371</v>
      </c>
      <c r="S354" s="66"/>
    </row>
    <row r="355" spans="1:19" x14ac:dyDescent="0.25">
      <c r="A355" s="15">
        <v>27</v>
      </c>
      <c r="B355" s="66"/>
      <c r="C355" s="66">
        <v>2429</v>
      </c>
      <c r="D355" s="66"/>
      <c r="E355" s="66" t="s">
        <v>763</v>
      </c>
      <c r="F355" s="66">
        <v>10</v>
      </c>
      <c r="G355" s="66"/>
      <c r="H355" s="66"/>
      <c r="I355" s="66">
        <v>14.083333333333334</v>
      </c>
      <c r="J355" s="66" t="s">
        <v>850</v>
      </c>
      <c r="K355" s="66"/>
      <c r="L355" s="66"/>
      <c r="M355" s="66"/>
      <c r="N355" s="66"/>
      <c r="O355" s="66" t="s">
        <v>858</v>
      </c>
      <c r="P355" s="66"/>
      <c r="Q355" s="66">
        <v>1</v>
      </c>
      <c r="R355" s="66">
        <v>372</v>
      </c>
      <c r="S355" s="66"/>
    </row>
    <row r="356" spans="1:19" x14ac:dyDescent="0.25">
      <c r="A356" s="15">
        <v>27</v>
      </c>
      <c r="B356" s="66"/>
      <c r="C356" s="66">
        <v>2429</v>
      </c>
      <c r="D356" s="66"/>
      <c r="E356" s="66" t="s">
        <v>763</v>
      </c>
      <c r="F356" s="66">
        <v>10</v>
      </c>
      <c r="G356" s="66"/>
      <c r="H356" s="66"/>
      <c r="I356" s="66">
        <v>14.083333333333334</v>
      </c>
      <c r="J356" s="66" t="s">
        <v>850</v>
      </c>
      <c r="K356" s="66"/>
      <c r="L356" s="66"/>
      <c r="M356" s="66"/>
      <c r="N356" s="66"/>
      <c r="O356" s="66" t="s">
        <v>859</v>
      </c>
      <c r="P356" s="66"/>
      <c r="Q356" s="66">
        <v>1</v>
      </c>
      <c r="R356" s="66">
        <v>373</v>
      </c>
      <c r="S356" s="66"/>
    </row>
    <row r="357" spans="1:19" x14ac:dyDescent="0.25">
      <c r="A357" s="15">
        <v>27</v>
      </c>
      <c r="B357" s="66"/>
      <c r="C357" s="66">
        <v>2429</v>
      </c>
      <c r="D357" s="66"/>
      <c r="E357" s="66" t="s">
        <v>763</v>
      </c>
      <c r="F357" s="66">
        <v>10</v>
      </c>
      <c r="G357" s="66"/>
      <c r="H357" s="66"/>
      <c r="I357" s="66">
        <v>14.083333333333334</v>
      </c>
      <c r="J357" s="66" t="s">
        <v>850</v>
      </c>
      <c r="K357" s="66"/>
      <c r="L357" s="66"/>
      <c r="M357" s="66"/>
      <c r="N357" s="66"/>
      <c r="O357" s="66" t="s">
        <v>860</v>
      </c>
      <c r="P357" s="66"/>
      <c r="Q357" s="66">
        <v>1</v>
      </c>
      <c r="R357" s="66">
        <v>374</v>
      </c>
      <c r="S357" s="66"/>
    </row>
    <row r="358" spans="1:19" x14ac:dyDescent="0.25">
      <c r="A358" s="15">
        <v>27</v>
      </c>
      <c r="B358" s="66"/>
      <c r="C358" s="66">
        <v>2429</v>
      </c>
      <c r="D358" s="66"/>
      <c r="E358" s="66" t="s">
        <v>763</v>
      </c>
      <c r="F358" s="66">
        <v>10</v>
      </c>
      <c r="G358" s="66"/>
      <c r="H358" s="66"/>
      <c r="I358" s="66">
        <v>14.083333333333334</v>
      </c>
      <c r="J358" s="66" t="s">
        <v>850</v>
      </c>
      <c r="K358" s="66"/>
      <c r="L358" s="66"/>
      <c r="M358" s="66"/>
      <c r="N358" s="66"/>
      <c r="O358" s="66" t="s">
        <v>861</v>
      </c>
      <c r="P358" s="66"/>
      <c r="Q358" s="66">
        <v>1</v>
      </c>
      <c r="R358" s="66">
        <v>375</v>
      </c>
      <c r="S358" s="66"/>
    </row>
    <row r="359" spans="1:19" x14ac:dyDescent="0.25">
      <c r="A359" s="15">
        <v>27</v>
      </c>
      <c r="B359" s="66"/>
      <c r="C359" s="66">
        <v>2429</v>
      </c>
      <c r="D359" s="66"/>
      <c r="E359" s="66" t="s">
        <v>763</v>
      </c>
      <c r="F359" s="66">
        <v>10</v>
      </c>
      <c r="G359" s="66"/>
      <c r="H359" s="66"/>
      <c r="I359" s="66">
        <v>14.083333333333334</v>
      </c>
      <c r="J359" s="66" t="s">
        <v>850</v>
      </c>
      <c r="K359" s="66"/>
      <c r="L359" s="66"/>
      <c r="M359" s="66"/>
      <c r="N359" s="66"/>
      <c r="O359" s="66" t="s">
        <v>862</v>
      </c>
      <c r="P359" s="66"/>
      <c r="Q359" s="66">
        <v>1</v>
      </c>
      <c r="R359" s="66">
        <v>376</v>
      </c>
      <c r="S359" s="66"/>
    </row>
    <row r="360" spans="1:19" x14ac:dyDescent="0.25">
      <c r="A360" s="15">
        <v>27</v>
      </c>
      <c r="B360" s="66"/>
      <c r="C360" s="66">
        <v>2429</v>
      </c>
      <c r="D360" s="66"/>
      <c r="E360" s="66" t="s">
        <v>763</v>
      </c>
      <c r="F360" s="66">
        <v>10</v>
      </c>
      <c r="G360" s="66"/>
      <c r="H360" s="66"/>
      <c r="I360" s="66">
        <v>10.583333333333334</v>
      </c>
      <c r="J360" s="66" t="s">
        <v>850</v>
      </c>
      <c r="K360" s="66"/>
      <c r="L360" s="66"/>
      <c r="M360" s="66"/>
      <c r="N360" s="66"/>
      <c r="O360" s="66" t="s">
        <v>863</v>
      </c>
      <c r="P360" s="66"/>
      <c r="Q360" s="66">
        <v>1</v>
      </c>
      <c r="R360" s="66">
        <v>377</v>
      </c>
      <c r="S360" s="66"/>
    </row>
    <row r="361" spans="1:19" x14ac:dyDescent="0.25">
      <c r="A361" s="15">
        <v>27</v>
      </c>
      <c r="B361" s="66"/>
      <c r="C361" s="66">
        <v>2429</v>
      </c>
      <c r="D361" s="66"/>
      <c r="E361" s="66" t="s">
        <v>763</v>
      </c>
      <c r="F361" s="66">
        <v>1</v>
      </c>
      <c r="G361" s="66"/>
      <c r="H361" s="66" t="e">
        <v>#N/A</v>
      </c>
      <c r="I361" s="66"/>
      <c r="J361" s="66" t="s">
        <v>870</v>
      </c>
      <c r="K361" s="66" t="s">
        <v>757</v>
      </c>
      <c r="L361" s="66" t="s">
        <v>757</v>
      </c>
      <c r="M361" s="66" t="s">
        <v>757</v>
      </c>
      <c r="N361" s="66" t="s">
        <v>757</v>
      </c>
      <c r="O361" s="66" t="s">
        <v>869</v>
      </c>
      <c r="P361" s="66"/>
      <c r="Q361" s="66">
        <v>1</v>
      </c>
      <c r="R361" s="66">
        <v>598</v>
      </c>
      <c r="S361" s="66"/>
    </row>
    <row r="362" spans="1:19" x14ac:dyDescent="0.25">
      <c r="A362" s="15">
        <v>27</v>
      </c>
      <c r="B362" s="66"/>
      <c r="C362" s="66">
        <v>2429</v>
      </c>
      <c r="D362" s="66"/>
      <c r="E362" s="66" t="s">
        <v>763</v>
      </c>
      <c r="F362" s="66">
        <v>1</v>
      </c>
      <c r="G362" s="66"/>
      <c r="H362" s="66" t="e">
        <v>#N/A</v>
      </c>
      <c r="I362" s="66"/>
      <c r="J362" s="66" t="s">
        <v>870</v>
      </c>
      <c r="K362" s="66" t="s">
        <v>757</v>
      </c>
      <c r="L362" s="66" t="s">
        <v>757</v>
      </c>
      <c r="M362" s="66" t="s">
        <v>757</v>
      </c>
      <c r="N362" s="66" t="s">
        <v>757</v>
      </c>
      <c r="O362" s="66" t="s">
        <v>871</v>
      </c>
      <c r="P362" s="66"/>
      <c r="Q362" s="66">
        <v>1</v>
      </c>
      <c r="R362" s="66">
        <v>599</v>
      </c>
      <c r="S362" s="66"/>
    </row>
    <row r="363" spans="1:19" x14ac:dyDescent="0.25">
      <c r="A363" s="15">
        <v>27</v>
      </c>
      <c r="B363" s="66"/>
      <c r="C363" s="66">
        <v>2429</v>
      </c>
      <c r="D363" s="66"/>
      <c r="E363" s="66" t="s">
        <v>763</v>
      </c>
      <c r="F363" s="66">
        <v>1</v>
      </c>
      <c r="G363" s="66"/>
      <c r="H363" s="66" t="e">
        <v>#N/A</v>
      </c>
      <c r="I363" s="66"/>
      <c r="J363" s="66" t="s">
        <v>870</v>
      </c>
      <c r="K363" s="66" t="s">
        <v>757</v>
      </c>
      <c r="L363" s="66" t="s">
        <v>757</v>
      </c>
      <c r="M363" s="66" t="s">
        <v>757</v>
      </c>
      <c r="N363" s="66" t="s">
        <v>757</v>
      </c>
      <c r="O363" s="66" t="s">
        <v>872</v>
      </c>
      <c r="P363" s="66"/>
      <c r="Q363" s="66">
        <v>1</v>
      </c>
      <c r="R363" s="66">
        <v>600</v>
      </c>
      <c r="S363" s="66"/>
    </row>
    <row r="364" spans="1:19" x14ac:dyDescent="0.25">
      <c r="A364" s="15">
        <v>27</v>
      </c>
      <c r="B364" s="66"/>
      <c r="C364" s="66">
        <v>2429</v>
      </c>
      <c r="D364" s="66"/>
      <c r="E364" s="66" t="s">
        <v>763</v>
      </c>
      <c r="F364" s="66">
        <v>1</v>
      </c>
      <c r="G364" s="66"/>
      <c r="H364" s="66" t="e">
        <v>#N/A</v>
      </c>
      <c r="I364" s="66"/>
      <c r="J364" s="66" t="s">
        <v>870</v>
      </c>
      <c r="K364" s="66" t="s">
        <v>757</v>
      </c>
      <c r="L364" s="66" t="s">
        <v>757</v>
      </c>
      <c r="M364" s="66" t="s">
        <v>757</v>
      </c>
      <c r="N364" s="66" t="s">
        <v>757</v>
      </c>
      <c r="O364" s="66" t="s">
        <v>873</v>
      </c>
      <c r="P364" s="66"/>
      <c r="Q364" s="66">
        <v>1</v>
      </c>
      <c r="R364" s="66">
        <v>601</v>
      </c>
      <c r="S364" s="66"/>
    </row>
    <row r="365" spans="1:19" x14ac:dyDescent="0.25">
      <c r="A365" s="15">
        <v>27</v>
      </c>
      <c r="B365" s="66"/>
      <c r="C365" s="66">
        <v>2429</v>
      </c>
      <c r="D365" s="66"/>
      <c r="E365" s="66" t="s">
        <v>763</v>
      </c>
      <c r="F365" s="66">
        <v>1</v>
      </c>
      <c r="G365" s="66"/>
      <c r="H365" s="66" t="e">
        <v>#N/A</v>
      </c>
      <c r="I365" s="66"/>
      <c r="J365" s="66" t="s">
        <v>870</v>
      </c>
      <c r="K365" s="66" t="s">
        <v>757</v>
      </c>
      <c r="L365" s="66" t="s">
        <v>757</v>
      </c>
      <c r="M365" s="66" t="s">
        <v>757</v>
      </c>
      <c r="N365" s="66" t="s">
        <v>757</v>
      </c>
      <c r="O365" s="66" t="s">
        <v>874</v>
      </c>
      <c r="P365" s="66"/>
      <c r="Q365" s="66">
        <v>1</v>
      </c>
      <c r="R365" s="66">
        <v>602</v>
      </c>
      <c r="S365" s="66"/>
    </row>
    <row r="366" spans="1:19" x14ac:dyDescent="0.25">
      <c r="A366" s="15">
        <v>27</v>
      </c>
      <c r="B366" s="66"/>
      <c r="C366" s="66">
        <v>2429</v>
      </c>
      <c r="D366" s="66"/>
      <c r="E366" s="66" t="s">
        <v>763</v>
      </c>
      <c r="F366" s="66">
        <v>1</v>
      </c>
      <c r="G366" s="66"/>
      <c r="H366" s="66" t="e">
        <v>#N/A</v>
      </c>
      <c r="I366" s="66"/>
      <c r="J366" s="66" t="s">
        <v>870</v>
      </c>
      <c r="K366" s="66" t="s">
        <v>757</v>
      </c>
      <c r="L366" s="66" t="s">
        <v>757</v>
      </c>
      <c r="M366" s="66" t="s">
        <v>757</v>
      </c>
      <c r="N366" s="66" t="s">
        <v>757</v>
      </c>
      <c r="O366" s="66" t="s">
        <v>875</v>
      </c>
      <c r="P366" s="66"/>
      <c r="Q366" s="66">
        <v>1</v>
      </c>
      <c r="R366" s="66">
        <v>603</v>
      </c>
      <c r="S366" s="66"/>
    </row>
    <row r="367" spans="1:19" x14ac:dyDescent="0.25">
      <c r="A367" s="15">
        <v>27</v>
      </c>
      <c r="B367" s="66"/>
      <c r="C367" s="66">
        <v>2429</v>
      </c>
      <c r="D367" s="66"/>
      <c r="E367" s="66" t="s">
        <v>763</v>
      </c>
      <c r="F367" s="66">
        <v>1</v>
      </c>
      <c r="G367" s="66"/>
      <c r="H367" s="66" t="e">
        <v>#N/A</v>
      </c>
      <c r="I367" s="66"/>
      <c r="J367" s="66" t="s">
        <v>870</v>
      </c>
      <c r="K367" s="66" t="s">
        <v>757</v>
      </c>
      <c r="L367" s="66" t="s">
        <v>757</v>
      </c>
      <c r="M367" s="66" t="s">
        <v>757</v>
      </c>
      <c r="N367" s="66" t="s">
        <v>757</v>
      </c>
      <c r="O367" s="66" t="s">
        <v>876</v>
      </c>
      <c r="P367" s="66"/>
      <c r="Q367" s="66">
        <v>1</v>
      </c>
      <c r="R367" s="66">
        <v>604</v>
      </c>
      <c r="S367" s="66"/>
    </row>
    <row r="368" spans="1:19" x14ac:dyDescent="0.25">
      <c r="A368" s="15">
        <v>27</v>
      </c>
      <c r="B368" s="66"/>
      <c r="C368" s="66">
        <v>2429</v>
      </c>
      <c r="D368" s="66"/>
      <c r="E368" s="66" t="s">
        <v>763</v>
      </c>
      <c r="F368" s="66">
        <v>1</v>
      </c>
      <c r="G368" s="66"/>
      <c r="H368" s="66" t="e">
        <v>#N/A</v>
      </c>
      <c r="I368" s="66"/>
      <c r="J368" s="66" t="s">
        <v>870</v>
      </c>
      <c r="K368" s="66" t="s">
        <v>757</v>
      </c>
      <c r="L368" s="66" t="s">
        <v>757</v>
      </c>
      <c r="M368" s="66" t="s">
        <v>757</v>
      </c>
      <c r="N368" s="66" t="s">
        <v>757</v>
      </c>
      <c r="O368" s="66" t="s">
        <v>877</v>
      </c>
      <c r="P368" s="66"/>
      <c r="Q368" s="66">
        <v>1</v>
      </c>
      <c r="R368" s="66">
        <v>605</v>
      </c>
      <c r="S368" s="66"/>
    </row>
    <row r="369" spans="1:19" x14ac:dyDescent="0.25">
      <c r="A369" s="15">
        <v>27</v>
      </c>
      <c r="B369" s="66"/>
      <c r="C369" s="66">
        <v>2429</v>
      </c>
      <c r="D369" s="66"/>
      <c r="E369" s="66" t="s">
        <v>763</v>
      </c>
      <c r="F369" s="66">
        <v>1</v>
      </c>
      <c r="G369" s="66"/>
      <c r="H369" s="66" t="e">
        <v>#N/A</v>
      </c>
      <c r="I369" s="66"/>
      <c r="J369" s="66" t="s">
        <v>870</v>
      </c>
      <c r="K369" s="66" t="s">
        <v>757</v>
      </c>
      <c r="L369" s="66" t="s">
        <v>757</v>
      </c>
      <c r="M369" s="66" t="s">
        <v>757</v>
      </c>
      <c r="N369" s="66" t="s">
        <v>757</v>
      </c>
      <c r="O369" s="66" t="s">
        <v>878</v>
      </c>
      <c r="P369" s="66"/>
      <c r="Q369" s="66">
        <v>1</v>
      </c>
      <c r="R369" s="66">
        <v>606</v>
      </c>
      <c r="S369" s="66"/>
    </row>
    <row r="370" spans="1:19" x14ac:dyDescent="0.25">
      <c r="A370" s="15">
        <v>27</v>
      </c>
      <c r="B370" s="66"/>
      <c r="C370" s="66">
        <v>2429</v>
      </c>
      <c r="D370" s="66"/>
      <c r="E370" s="66" t="s">
        <v>763</v>
      </c>
      <c r="F370" s="66">
        <v>1</v>
      </c>
      <c r="G370" s="66"/>
      <c r="H370" s="66" t="e">
        <v>#N/A</v>
      </c>
      <c r="I370" s="66"/>
      <c r="J370" s="66" t="s">
        <v>870</v>
      </c>
      <c r="K370" s="66" t="s">
        <v>757</v>
      </c>
      <c r="L370" s="66" t="s">
        <v>757</v>
      </c>
      <c r="M370" s="66" t="s">
        <v>757</v>
      </c>
      <c r="N370" s="66" t="s">
        <v>757</v>
      </c>
      <c r="O370" s="66" t="s">
        <v>879</v>
      </c>
      <c r="P370" s="66"/>
      <c r="Q370" s="66">
        <v>1</v>
      </c>
      <c r="R370" s="66">
        <v>607</v>
      </c>
      <c r="S370" s="66"/>
    </row>
    <row r="371" spans="1:19" x14ac:dyDescent="0.25">
      <c r="A371" s="15">
        <v>27</v>
      </c>
      <c r="B371" s="66"/>
      <c r="C371" s="66">
        <v>2429</v>
      </c>
      <c r="D371" s="66"/>
      <c r="E371" s="66" t="s">
        <v>763</v>
      </c>
      <c r="F371" s="66">
        <v>1</v>
      </c>
      <c r="G371" s="66"/>
      <c r="H371" s="66" t="e">
        <v>#N/A</v>
      </c>
      <c r="I371" s="66"/>
      <c r="J371" s="66" t="s">
        <v>870</v>
      </c>
      <c r="K371" s="66" t="s">
        <v>757</v>
      </c>
      <c r="L371" s="66" t="s">
        <v>757</v>
      </c>
      <c r="M371" s="66" t="s">
        <v>757</v>
      </c>
      <c r="N371" s="66" t="s">
        <v>757</v>
      </c>
      <c r="O371" s="66" t="s">
        <v>880</v>
      </c>
      <c r="P371" s="66"/>
      <c r="Q371" s="66">
        <v>1</v>
      </c>
      <c r="R371" s="66">
        <v>608</v>
      </c>
      <c r="S371" s="66"/>
    </row>
    <row r="372" spans="1:19" x14ac:dyDescent="0.25">
      <c r="A372" s="15">
        <v>27</v>
      </c>
      <c r="B372" s="66"/>
      <c r="C372" s="66">
        <v>2429</v>
      </c>
      <c r="D372" s="66"/>
      <c r="E372" s="66" t="s">
        <v>763</v>
      </c>
      <c r="F372" s="66">
        <v>1</v>
      </c>
      <c r="G372" s="66"/>
      <c r="H372" s="66" t="e">
        <v>#N/A</v>
      </c>
      <c r="I372" s="66"/>
      <c r="J372" s="66" t="s">
        <v>870</v>
      </c>
      <c r="K372" s="66" t="s">
        <v>757</v>
      </c>
      <c r="L372" s="66" t="s">
        <v>757</v>
      </c>
      <c r="M372" s="66" t="s">
        <v>757</v>
      </c>
      <c r="N372" s="66" t="s">
        <v>757</v>
      </c>
      <c r="O372" s="66" t="s">
        <v>881</v>
      </c>
      <c r="P372" s="66"/>
      <c r="Q372" s="66">
        <v>1</v>
      </c>
      <c r="R372" s="66">
        <v>609</v>
      </c>
      <c r="S372" s="66"/>
    </row>
    <row r="373" spans="1:19" x14ac:dyDescent="0.25">
      <c r="A373" s="15">
        <v>27</v>
      </c>
      <c r="B373" s="66"/>
      <c r="C373" s="66">
        <v>2429</v>
      </c>
      <c r="D373" s="66"/>
      <c r="E373" s="66" t="s">
        <v>763</v>
      </c>
      <c r="F373" s="66">
        <v>0</v>
      </c>
      <c r="G373" s="66"/>
      <c r="H373" s="66">
        <v>3</v>
      </c>
      <c r="I373" s="66" t="e">
        <v>#N/A</v>
      </c>
      <c r="J373" s="66" t="s">
        <v>870</v>
      </c>
      <c r="K373" s="66"/>
      <c r="L373" s="66"/>
      <c r="M373" s="66"/>
      <c r="N373" s="66"/>
      <c r="O373" s="66" t="s">
        <v>882</v>
      </c>
      <c r="P373" s="66"/>
      <c r="Q373" s="66">
        <v>1</v>
      </c>
      <c r="R373" s="66">
        <v>825</v>
      </c>
      <c r="S373" s="66"/>
    </row>
    <row r="374" spans="1:19" x14ac:dyDescent="0.25">
      <c r="A374" s="15">
        <v>27</v>
      </c>
      <c r="B374" s="66"/>
      <c r="C374" s="66">
        <v>2429</v>
      </c>
      <c r="D374" s="66"/>
      <c r="E374" s="66" t="s">
        <v>763</v>
      </c>
      <c r="F374" s="66">
        <v>0</v>
      </c>
      <c r="G374" s="66"/>
      <c r="H374" s="66">
        <v>3</v>
      </c>
      <c r="I374" s="66" t="e">
        <v>#N/A</v>
      </c>
      <c r="J374" s="66" t="s">
        <v>870</v>
      </c>
      <c r="K374" s="66"/>
      <c r="L374" s="66"/>
      <c r="M374" s="66"/>
      <c r="N374" s="66"/>
      <c r="O374" s="66" t="s">
        <v>883</v>
      </c>
      <c r="P374" s="66"/>
      <c r="Q374" s="66">
        <v>1</v>
      </c>
      <c r="R374" s="66">
        <v>826</v>
      </c>
      <c r="S374" s="66"/>
    </row>
    <row r="375" spans="1:19" x14ac:dyDescent="0.25">
      <c r="A375" s="15">
        <v>27</v>
      </c>
      <c r="B375" s="66"/>
      <c r="C375" s="66">
        <v>2429</v>
      </c>
      <c r="D375" s="66"/>
      <c r="E375" s="66" t="s">
        <v>763</v>
      </c>
      <c r="F375" s="66">
        <v>0</v>
      </c>
      <c r="G375" s="66"/>
      <c r="H375" s="66">
        <v>3</v>
      </c>
      <c r="I375" s="66" t="e">
        <v>#N/A</v>
      </c>
      <c r="J375" s="66" t="s">
        <v>870</v>
      </c>
      <c r="K375" s="66"/>
      <c r="L375" s="66"/>
      <c r="M375" s="66"/>
      <c r="N375" s="66"/>
      <c r="O375" s="66" t="s">
        <v>884</v>
      </c>
      <c r="P375" s="66"/>
      <c r="Q375" s="66">
        <v>1</v>
      </c>
      <c r="R375" s="66">
        <v>827</v>
      </c>
      <c r="S375" s="66"/>
    </row>
    <row r="376" spans="1:19" x14ac:dyDescent="0.25">
      <c r="A376" s="15">
        <v>27</v>
      </c>
      <c r="B376" s="66"/>
      <c r="C376" s="66">
        <v>2429</v>
      </c>
      <c r="D376" s="66"/>
      <c r="E376" s="66" t="s">
        <v>763</v>
      </c>
      <c r="F376" s="66">
        <v>0</v>
      </c>
      <c r="G376" s="66"/>
      <c r="H376" s="66">
        <v>3</v>
      </c>
      <c r="I376" s="66" t="e">
        <v>#N/A</v>
      </c>
      <c r="J376" s="66" t="s">
        <v>870</v>
      </c>
      <c r="K376" s="66"/>
      <c r="L376" s="66"/>
      <c r="M376" s="66"/>
      <c r="N376" s="66"/>
      <c r="O376" s="66" t="s">
        <v>885</v>
      </c>
      <c r="P376" s="66"/>
      <c r="Q376" s="66">
        <v>1</v>
      </c>
      <c r="R376" s="66">
        <v>828</v>
      </c>
      <c r="S376" s="66"/>
    </row>
    <row r="377" spans="1:19" x14ac:dyDescent="0.25">
      <c r="A377" s="15">
        <v>27</v>
      </c>
      <c r="B377" s="66"/>
      <c r="C377" s="66">
        <v>2429</v>
      </c>
      <c r="D377" s="66"/>
      <c r="E377" s="66" t="s">
        <v>763</v>
      </c>
      <c r="F377" s="66">
        <v>0</v>
      </c>
      <c r="G377" s="66"/>
      <c r="H377" s="66">
        <v>3</v>
      </c>
      <c r="I377" s="66" t="e">
        <v>#N/A</v>
      </c>
      <c r="J377" s="66" t="s">
        <v>870</v>
      </c>
      <c r="K377" s="66"/>
      <c r="L377" s="66"/>
      <c r="M377" s="66"/>
      <c r="N377" s="66"/>
      <c r="O377" s="66" t="s">
        <v>886</v>
      </c>
      <c r="P377" s="66"/>
      <c r="Q377" s="66">
        <v>1</v>
      </c>
      <c r="R377" s="66">
        <v>829</v>
      </c>
      <c r="S377" s="66"/>
    </row>
    <row r="378" spans="1:19" x14ac:dyDescent="0.25">
      <c r="A378" s="15">
        <v>27</v>
      </c>
      <c r="B378" s="66"/>
      <c r="C378" s="66">
        <v>2429</v>
      </c>
      <c r="D378" s="66"/>
      <c r="E378" s="66" t="s">
        <v>763</v>
      </c>
      <c r="F378" s="66">
        <v>0</v>
      </c>
      <c r="G378" s="66"/>
      <c r="H378" s="66">
        <v>3</v>
      </c>
      <c r="I378" s="66" t="e">
        <v>#N/A</v>
      </c>
      <c r="J378" s="66" t="s">
        <v>870</v>
      </c>
      <c r="K378" s="66"/>
      <c r="L378" s="66"/>
      <c r="M378" s="66"/>
      <c r="N378" s="66"/>
      <c r="O378" s="66" t="s">
        <v>887</v>
      </c>
      <c r="P378" s="66"/>
      <c r="Q378" s="66">
        <v>1</v>
      </c>
      <c r="R378" s="66">
        <v>830</v>
      </c>
      <c r="S378" s="66"/>
    </row>
    <row r="379" spans="1:19" x14ac:dyDescent="0.25">
      <c r="A379" s="15">
        <v>27</v>
      </c>
      <c r="B379" s="66"/>
      <c r="C379" s="66">
        <v>2429</v>
      </c>
      <c r="D379" s="66"/>
      <c r="E379" s="66" t="s">
        <v>763</v>
      </c>
      <c r="F379" s="66">
        <v>0</v>
      </c>
      <c r="G379" s="66"/>
      <c r="H379" s="66">
        <v>3</v>
      </c>
      <c r="I379" s="66" t="e">
        <v>#N/A</v>
      </c>
      <c r="J379" s="66" t="s">
        <v>870</v>
      </c>
      <c r="K379" s="66"/>
      <c r="L379" s="66"/>
      <c r="M379" s="66"/>
      <c r="N379" s="66"/>
      <c r="O379" s="66" t="s">
        <v>888</v>
      </c>
      <c r="P379" s="66"/>
      <c r="Q379" s="66">
        <v>1</v>
      </c>
      <c r="R379" s="66">
        <v>831</v>
      </c>
      <c r="S379" s="66"/>
    </row>
    <row r="380" spans="1:19" x14ac:dyDescent="0.25">
      <c r="A380" s="15">
        <v>27</v>
      </c>
      <c r="B380" s="66"/>
      <c r="C380" s="66">
        <v>2429</v>
      </c>
      <c r="D380" s="66"/>
      <c r="E380" s="66" t="s">
        <v>763</v>
      </c>
      <c r="F380" s="66">
        <v>0</v>
      </c>
      <c r="G380" s="66"/>
      <c r="H380" s="66">
        <v>3</v>
      </c>
      <c r="I380" s="66" t="e">
        <v>#N/A</v>
      </c>
      <c r="J380" s="66" t="s">
        <v>870</v>
      </c>
      <c r="K380" s="66"/>
      <c r="L380" s="66"/>
      <c r="M380" s="66"/>
      <c r="N380" s="66"/>
      <c r="O380" s="66" t="s">
        <v>889</v>
      </c>
      <c r="P380" s="66"/>
      <c r="Q380" s="66">
        <v>1</v>
      </c>
      <c r="R380" s="66">
        <v>832</v>
      </c>
      <c r="S380" s="66"/>
    </row>
    <row r="381" spans="1:19" x14ac:dyDescent="0.25">
      <c r="A381" s="15">
        <v>27</v>
      </c>
      <c r="B381" s="66"/>
      <c r="C381" s="66">
        <v>2429</v>
      </c>
      <c r="D381" s="66"/>
      <c r="E381" s="66" t="s">
        <v>763</v>
      </c>
      <c r="F381" s="66">
        <v>0</v>
      </c>
      <c r="G381" s="66"/>
      <c r="H381" s="66">
        <v>3</v>
      </c>
      <c r="I381" s="66" t="e">
        <v>#N/A</v>
      </c>
      <c r="J381" s="66" t="s">
        <v>870</v>
      </c>
      <c r="K381" s="66"/>
      <c r="L381" s="66"/>
      <c r="M381" s="66"/>
      <c r="N381" s="66"/>
      <c r="O381" s="66" t="s">
        <v>890</v>
      </c>
      <c r="P381" s="66"/>
      <c r="Q381" s="66">
        <v>1</v>
      </c>
      <c r="R381" s="66">
        <v>833</v>
      </c>
      <c r="S381" s="66"/>
    </row>
    <row r="382" spans="1:19" x14ac:dyDescent="0.25">
      <c r="A382" s="15">
        <v>27</v>
      </c>
      <c r="B382" s="66"/>
      <c r="C382" s="66">
        <v>2429</v>
      </c>
      <c r="D382" s="66"/>
      <c r="E382" s="66" t="s">
        <v>763</v>
      </c>
      <c r="F382" s="66">
        <v>0</v>
      </c>
      <c r="G382" s="66"/>
      <c r="H382" s="66">
        <v>3</v>
      </c>
      <c r="I382" s="66" t="e">
        <v>#N/A</v>
      </c>
      <c r="J382" s="66" t="s">
        <v>870</v>
      </c>
      <c r="K382" s="66"/>
      <c r="L382" s="66"/>
      <c r="M382" s="66"/>
      <c r="N382" s="66"/>
      <c r="O382" s="66" t="s">
        <v>891</v>
      </c>
      <c r="P382" s="66"/>
      <c r="Q382" s="66">
        <v>1</v>
      </c>
      <c r="R382" s="66">
        <v>834</v>
      </c>
      <c r="S382" s="66"/>
    </row>
    <row r="383" spans="1:19" x14ac:dyDescent="0.25">
      <c r="A383" s="15">
        <v>27</v>
      </c>
      <c r="B383" s="66"/>
      <c r="C383" s="66">
        <v>2429</v>
      </c>
      <c r="D383" s="66"/>
      <c r="E383" s="66" t="s">
        <v>763</v>
      </c>
      <c r="F383" s="66">
        <v>0</v>
      </c>
      <c r="G383" s="66"/>
      <c r="H383" s="66">
        <v>3</v>
      </c>
      <c r="I383" s="66" t="e">
        <v>#N/A</v>
      </c>
      <c r="J383" s="66" t="s">
        <v>870</v>
      </c>
      <c r="K383" s="66"/>
      <c r="L383" s="66"/>
      <c r="M383" s="66"/>
      <c r="N383" s="66"/>
      <c r="O383" s="66" t="s">
        <v>892</v>
      </c>
      <c r="P383" s="66"/>
      <c r="Q383" s="66">
        <v>1</v>
      </c>
      <c r="R383" s="66">
        <v>835</v>
      </c>
      <c r="S383" s="66"/>
    </row>
    <row r="384" spans="1:19" x14ac:dyDescent="0.25">
      <c r="A384" s="15">
        <v>27</v>
      </c>
      <c r="B384" s="66"/>
      <c r="C384" s="66">
        <v>2429</v>
      </c>
      <c r="D384" s="66"/>
      <c r="E384" s="66" t="s">
        <v>763</v>
      </c>
      <c r="F384" s="66">
        <v>0</v>
      </c>
      <c r="G384" s="66"/>
      <c r="H384" s="66">
        <v>3</v>
      </c>
      <c r="I384" s="66" t="e">
        <v>#N/A</v>
      </c>
      <c r="J384" s="66" t="s">
        <v>870</v>
      </c>
      <c r="K384" s="66"/>
      <c r="L384" s="66"/>
      <c r="M384" s="66"/>
      <c r="N384" s="66"/>
      <c r="O384" s="66" t="s">
        <v>893</v>
      </c>
      <c r="P384" s="66"/>
      <c r="Q384" s="66">
        <v>1</v>
      </c>
      <c r="R384" s="66">
        <v>836</v>
      </c>
      <c r="S384" s="66"/>
    </row>
    <row r="385" spans="1:19" x14ac:dyDescent="0.25">
      <c r="A385" s="15">
        <v>27</v>
      </c>
      <c r="B385" s="66"/>
      <c r="C385" s="66">
        <v>2429</v>
      </c>
      <c r="D385" s="66"/>
      <c r="E385" s="66" t="s">
        <v>763</v>
      </c>
      <c r="F385" s="66">
        <v>3</v>
      </c>
      <c r="G385" s="66"/>
      <c r="H385" s="66">
        <v>3</v>
      </c>
      <c r="I385" s="66" t="e">
        <v>#N/A</v>
      </c>
      <c r="J385" s="66" t="s">
        <v>870</v>
      </c>
      <c r="K385" s="66"/>
      <c r="L385" s="66"/>
      <c r="M385" s="66"/>
      <c r="N385" s="66"/>
      <c r="O385" s="66" t="s">
        <v>894</v>
      </c>
      <c r="P385" s="66"/>
      <c r="Q385" s="66">
        <v>1</v>
      </c>
      <c r="R385" s="66">
        <v>1052</v>
      </c>
      <c r="S385" s="66"/>
    </row>
    <row r="386" spans="1:19" x14ac:dyDescent="0.25">
      <c r="A386" s="15">
        <v>27</v>
      </c>
      <c r="B386" s="66"/>
      <c r="C386" s="66">
        <v>2429</v>
      </c>
      <c r="D386" s="66"/>
      <c r="E386" s="66" t="s">
        <v>763</v>
      </c>
      <c r="F386" s="66">
        <v>3</v>
      </c>
      <c r="G386" s="66"/>
      <c r="H386" s="66">
        <v>3</v>
      </c>
      <c r="I386" s="66" t="e">
        <v>#N/A</v>
      </c>
      <c r="J386" s="66" t="s">
        <v>870</v>
      </c>
      <c r="K386" s="66"/>
      <c r="L386" s="66"/>
      <c r="M386" s="66"/>
      <c r="N386" s="66"/>
      <c r="O386" s="66" t="s">
        <v>895</v>
      </c>
      <c r="P386" s="66"/>
      <c r="Q386" s="66">
        <v>1</v>
      </c>
      <c r="R386" s="66">
        <v>1053</v>
      </c>
      <c r="S386" s="66"/>
    </row>
    <row r="387" spans="1:19" x14ac:dyDescent="0.25">
      <c r="A387" s="15">
        <v>27</v>
      </c>
      <c r="B387" s="66"/>
      <c r="C387" s="66">
        <v>2429</v>
      </c>
      <c r="D387" s="66"/>
      <c r="E387" s="66" t="s">
        <v>763</v>
      </c>
      <c r="F387" s="66">
        <v>3</v>
      </c>
      <c r="G387" s="66"/>
      <c r="H387" s="66">
        <v>3</v>
      </c>
      <c r="I387" s="66" t="e">
        <v>#N/A</v>
      </c>
      <c r="J387" s="66" t="s">
        <v>870</v>
      </c>
      <c r="K387" s="66"/>
      <c r="L387" s="66"/>
      <c r="M387" s="66"/>
      <c r="N387" s="66"/>
      <c r="O387" s="66" t="s">
        <v>896</v>
      </c>
      <c r="P387" s="66"/>
      <c r="Q387" s="66">
        <v>1</v>
      </c>
      <c r="R387" s="66">
        <v>1054</v>
      </c>
      <c r="S387" s="66"/>
    </row>
    <row r="388" spans="1:19" x14ac:dyDescent="0.25">
      <c r="A388" s="15">
        <v>27</v>
      </c>
      <c r="B388" s="66"/>
      <c r="C388" s="66">
        <v>2429</v>
      </c>
      <c r="D388" s="66"/>
      <c r="E388" s="66" t="s">
        <v>763</v>
      </c>
      <c r="F388" s="66">
        <v>3</v>
      </c>
      <c r="G388" s="66"/>
      <c r="H388" s="66">
        <v>3</v>
      </c>
      <c r="I388" s="66" t="e">
        <v>#N/A</v>
      </c>
      <c r="J388" s="66" t="s">
        <v>870</v>
      </c>
      <c r="K388" s="66"/>
      <c r="L388" s="66"/>
      <c r="M388" s="66"/>
      <c r="N388" s="66"/>
      <c r="O388" s="66" t="s">
        <v>897</v>
      </c>
      <c r="P388" s="66"/>
      <c r="Q388" s="66">
        <v>1</v>
      </c>
      <c r="R388" s="66">
        <v>1055</v>
      </c>
      <c r="S388" s="66"/>
    </row>
    <row r="389" spans="1:19" x14ac:dyDescent="0.25">
      <c r="A389" s="15">
        <v>27</v>
      </c>
      <c r="B389" s="66"/>
      <c r="C389" s="66">
        <v>2429</v>
      </c>
      <c r="D389" s="66"/>
      <c r="E389" s="66" t="s">
        <v>763</v>
      </c>
      <c r="F389" s="66">
        <v>3</v>
      </c>
      <c r="G389" s="66"/>
      <c r="H389" s="66">
        <v>3</v>
      </c>
      <c r="I389" s="66" t="e">
        <v>#N/A</v>
      </c>
      <c r="J389" s="66" t="s">
        <v>870</v>
      </c>
      <c r="K389" s="66"/>
      <c r="L389" s="66"/>
      <c r="M389" s="66"/>
      <c r="N389" s="66"/>
      <c r="O389" s="66" t="s">
        <v>898</v>
      </c>
      <c r="P389" s="66"/>
      <c r="Q389" s="66">
        <v>1</v>
      </c>
      <c r="R389" s="66">
        <v>1056</v>
      </c>
      <c r="S389" s="66"/>
    </row>
    <row r="390" spans="1:19" x14ac:dyDescent="0.25">
      <c r="A390" s="15">
        <v>27</v>
      </c>
      <c r="B390" s="66"/>
      <c r="C390" s="66">
        <v>2429</v>
      </c>
      <c r="D390" s="66"/>
      <c r="E390" s="66" t="s">
        <v>763</v>
      </c>
      <c r="F390" s="66">
        <v>3</v>
      </c>
      <c r="G390" s="66"/>
      <c r="H390" s="66">
        <v>3</v>
      </c>
      <c r="I390" s="66" t="e">
        <v>#N/A</v>
      </c>
      <c r="J390" s="66" t="s">
        <v>870</v>
      </c>
      <c r="K390" s="66"/>
      <c r="L390" s="66"/>
      <c r="M390" s="66"/>
      <c r="N390" s="66"/>
      <c r="O390" s="66" t="s">
        <v>899</v>
      </c>
      <c r="P390" s="66"/>
      <c r="Q390" s="66">
        <v>1</v>
      </c>
      <c r="R390" s="66">
        <v>1057</v>
      </c>
      <c r="S390" s="66"/>
    </row>
    <row r="391" spans="1:19" x14ac:dyDescent="0.25">
      <c r="A391" s="15">
        <v>27</v>
      </c>
      <c r="B391" s="66"/>
      <c r="C391" s="66">
        <v>2429</v>
      </c>
      <c r="D391" s="66"/>
      <c r="E391" s="66" t="s">
        <v>763</v>
      </c>
      <c r="F391" s="66">
        <v>3</v>
      </c>
      <c r="G391" s="66"/>
      <c r="H391" s="66">
        <v>3</v>
      </c>
      <c r="I391" s="66" t="e">
        <v>#N/A</v>
      </c>
      <c r="J391" s="66" t="s">
        <v>870</v>
      </c>
      <c r="K391" s="66"/>
      <c r="L391" s="66"/>
      <c r="M391" s="66"/>
      <c r="N391" s="66"/>
      <c r="O391" s="66" t="s">
        <v>900</v>
      </c>
      <c r="P391" s="66"/>
      <c r="Q391" s="66">
        <v>1</v>
      </c>
      <c r="R391" s="66">
        <v>1058</v>
      </c>
      <c r="S391" s="66"/>
    </row>
    <row r="392" spans="1:19" x14ac:dyDescent="0.25">
      <c r="A392" s="15">
        <v>27</v>
      </c>
      <c r="B392" s="66"/>
      <c r="C392" s="66">
        <v>2429</v>
      </c>
      <c r="D392" s="66"/>
      <c r="E392" s="66" t="s">
        <v>763</v>
      </c>
      <c r="F392" s="66">
        <v>3</v>
      </c>
      <c r="G392" s="66"/>
      <c r="H392" s="66">
        <v>3</v>
      </c>
      <c r="I392" s="66" t="e">
        <v>#N/A</v>
      </c>
      <c r="J392" s="66" t="s">
        <v>870</v>
      </c>
      <c r="K392" s="66"/>
      <c r="L392" s="66"/>
      <c r="M392" s="66"/>
      <c r="N392" s="66"/>
      <c r="O392" s="66" t="s">
        <v>901</v>
      </c>
      <c r="P392" s="66"/>
      <c r="Q392" s="66">
        <v>1</v>
      </c>
      <c r="R392" s="66">
        <v>1059</v>
      </c>
      <c r="S392" s="66"/>
    </row>
    <row r="393" spans="1:19" x14ac:dyDescent="0.25">
      <c r="A393" s="15">
        <v>27</v>
      </c>
      <c r="B393" s="66"/>
      <c r="C393" s="66">
        <v>2429</v>
      </c>
      <c r="D393" s="66"/>
      <c r="E393" s="66" t="s">
        <v>763</v>
      </c>
      <c r="F393" s="66">
        <v>3</v>
      </c>
      <c r="G393" s="66"/>
      <c r="H393" s="66">
        <v>3</v>
      </c>
      <c r="I393" s="66" t="e">
        <v>#N/A</v>
      </c>
      <c r="J393" s="66" t="s">
        <v>870</v>
      </c>
      <c r="K393" s="66"/>
      <c r="L393" s="66"/>
      <c r="M393" s="66"/>
      <c r="N393" s="66"/>
      <c r="O393" s="66" t="s">
        <v>902</v>
      </c>
      <c r="P393" s="66"/>
      <c r="Q393" s="66">
        <v>1</v>
      </c>
      <c r="R393" s="66">
        <v>1060</v>
      </c>
      <c r="S393" s="66"/>
    </row>
    <row r="394" spans="1:19" x14ac:dyDescent="0.25">
      <c r="A394" s="15">
        <v>27</v>
      </c>
      <c r="B394" s="66"/>
      <c r="C394" s="66">
        <v>2429</v>
      </c>
      <c r="D394" s="66"/>
      <c r="E394" s="66" t="s">
        <v>763</v>
      </c>
      <c r="F394" s="66">
        <v>3</v>
      </c>
      <c r="G394" s="66"/>
      <c r="H394" s="66">
        <v>3</v>
      </c>
      <c r="I394" s="66" t="e">
        <v>#N/A</v>
      </c>
      <c r="J394" s="66" t="s">
        <v>870</v>
      </c>
      <c r="K394" s="66"/>
      <c r="L394" s="66"/>
      <c r="M394" s="66"/>
      <c r="N394" s="66"/>
      <c r="O394" s="66" t="s">
        <v>903</v>
      </c>
      <c r="P394" s="66"/>
      <c r="Q394" s="66">
        <v>1</v>
      </c>
      <c r="R394" s="66">
        <v>1061</v>
      </c>
      <c r="S394" s="66"/>
    </row>
    <row r="395" spans="1:19" x14ac:dyDescent="0.25">
      <c r="A395" s="15">
        <v>27</v>
      </c>
      <c r="B395" s="66"/>
      <c r="C395" s="66">
        <v>2429</v>
      </c>
      <c r="D395" s="66"/>
      <c r="E395" s="66" t="s">
        <v>763</v>
      </c>
      <c r="F395" s="66">
        <v>3</v>
      </c>
      <c r="G395" s="66"/>
      <c r="H395" s="66">
        <v>3</v>
      </c>
      <c r="I395" s="66" t="e">
        <v>#N/A</v>
      </c>
      <c r="J395" s="66" t="s">
        <v>870</v>
      </c>
      <c r="K395" s="66"/>
      <c r="L395" s="66"/>
      <c r="M395" s="66"/>
      <c r="N395" s="66"/>
      <c r="O395" s="66" t="s">
        <v>904</v>
      </c>
      <c r="P395" s="66"/>
      <c r="Q395" s="66">
        <v>1</v>
      </c>
      <c r="R395" s="66">
        <v>1062</v>
      </c>
      <c r="S395" s="66"/>
    </row>
    <row r="396" spans="1:19" x14ac:dyDescent="0.25">
      <c r="A396" s="15">
        <v>27</v>
      </c>
      <c r="B396" s="66"/>
      <c r="C396" s="66">
        <v>2429</v>
      </c>
      <c r="D396" s="66"/>
      <c r="E396" s="66" t="s">
        <v>763</v>
      </c>
      <c r="F396" s="66">
        <v>3</v>
      </c>
      <c r="G396" s="66"/>
      <c r="H396" s="66">
        <v>3</v>
      </c>
      <c r="I396" s="66" t="e">
        <v>#N/A</v>
      </c>
      <c r="J396" s="66" t="s">
        <v>870</v>
      </c>
      <c r="K396" s="66"/>
      <c r="L396" s="66"/>
      <c r="M396" s="66"/>
      <c r="N396" s="66"/>
      <c r="O396" s="66" t="s">
        <v>905</v>
      </c>
      <c r="P396" s="66"/>
      <c r="Q396" s="66">
        <v>1</v>
      </c>
      <c r="R396" s="66">
        <v>1063</v>
      </c>
      <c r="S396" s="66"/>
    </row>
    <row r="397" spans="1:19" x14ac:dyDescent="0.25">
      <c r="A397" s="15">
        <v>27</v>
      </c>
      <c r="B397" s="66"/>
      <c r="C397" s="66">
        <v>2429</v>
      </c>
      <c r="D397" s="66"/>
      <c r="E397" s="66" t="s">
        <v>763</v>
      </c>
      <c r="F397" s="66">
        <v>3</v>
      </c>
      <c r="G397" s="66"/>
      <c r="H397" s="66" t="e">
        <v>#N/A</v>
      </c>
      <c r="I397" s="66"/>
      <c r="J397" s="66" t="s">
        <v>870</v>
      </c>
      <c r="K397" s="66"/>
      <c r="L397" s="66"/>
      <c r="M397" s="66"/>
      <c r="N397" s="66"/>
      <c r="O397" s="66" t="s">
        <v>906</v>
      </c>
      <c r="P397" s="66"/>
      <c r="Q397" s="66">
        <v>1</v>
      </c>
      <c r="R397" s="66">
        <v>1268</v>
      </c>
      <c r="S397" s="66"/>
    </row>
    <row r="398" spans="1:19" x14ac:dyDescent="0.25">
      <c r="A398" s="15">
        <v>27</v>
      </c>
      <c r="B398" s="66"/>
      <c r="C398" s="66">
        <v>2429</v>
      </c>
      <c r="D398" s="66"/>
      <c r="E398" s="66" t="s">
        <v>763</v>
      </c>
      <c r="F398" s="66">
        <v>5</v>
      </c>
      <c r="G398" s="66"/>
      <c r="H398" s="66" t="e">
        <v>#N/A</v>
      </c>
      <c r="I398" s="66"/>
      <c r="J398" s="66" t="s">
        <v>870</v>
      </c>
      <c r="K398" s="66"/>
      <c r="L398" s="66"/>
      <c r="M398" s="66"/>
      <c r="N398" s="66"/>
      <c r="O398" s="66" t="s">
        <v>908</v>
      </c>
      <c r="P398" s="66"/>
      <c r="Q398" s="66">
        <v>1</v>
      </c>
      <c r="R398" s="66">
        <v>1346</v>
      </c>
      <c r="S398" s="66"/>
    </row>
    <row r="399" spans="1:19" x14ac:dyDescent="0.25">
      <c r="A399" s="15">
        <v>27</v>
      </c>
      <c r="B399" s="66"/>
      <c r="C399" s="66">
        <v>2429</v>
      </c>
      <c r="D399" s="66"/>
      <c r="E399" s="66" t="s">
        <v>763</v>
      </c>
      <c r="F399" s="66">
        <v>5</v>
      </c>
      <c r="G399" s="66"/>
      <c r="H399" s="66" t="e">
        <v>#N/A</v>
      </c>
      <c r="I399" s="66"/>
      <c r="J399" s="66" t="s">
        <v>870</v>
      </c>
      <c r="K399" s="66"/>
      <c r="L399" s="66"/>
      <c r="M399" s="66"/>
      <c r="N399" s="66"/>
      <c r="O399" s="66" t="s">
        <v>909</v>
      </c>
      <c r="P399" s="66"/>
      <c r="Q399" s="66">
        <v>1</v>
      </c>
      <c r="R399" s="66">
        <v>1347</v>
      </c>
      <c r="S399" s="66"/>
    </row>
    <row r="400" spans="1:19" x14ac:dyDescent="0.25">
      <c r="A400" s="15">
        <v>27</v>
      </c>
      <c r="B400" s="66"/>
      <c r="C400" s="66">
        <v>2429</v>
      </c>
      <c r="D400" s="66"/>
      <c r="E400" s="66" t="s">
        <v>763</v>
      </c>
      <c r="F400" s="66">
        <v>5</v>
      </c>
      <c r="G400" s="66"/>
      <c r="H400" s="66" t="e">
        <v>#N/A</v>
      </c>
      <c r="I400" s="66"/>
      <c r="J400" s="66" t="s">
        <v>870</v>
      </c>
      <c r="K400" s="66"/>
      <c r="L400" s="66"/>
      <c r="M400" s="66"/>
      <c r="N400" s="66"/>
      <c r="O400" s="66" t="s">
        <v>910</v>
      </c>
      <c r="P400" s="66"/>
      <c r="Q400" s="66">
        <v>1</v>
      </c>
      <c r="R400" s="66">
        <v>1348</v>
      </c>
      <c r="S400" s="66"/>
    </row>
    <row r="401" spans="1:19" x14ac:dyDescent="0.25">
      <c r="A401" s="15">
        <v>27</v>
      </c>
      <c r="B401" s="66"/>
      <c r="C401" s="66">
        <v>2429</v>
      </c>
      <c r="D401" s="66"/>
      <c r="E401" s="66" t="s">
        <v>763</v>
      </c>
      <c r="F401" s="66">
        <v>5</v>
      </c>
      <c r="G401" s="66"/>
      <c r="H401" s="66" t="e">
        <v>#N/A</v>
      </c>
      <c r="I401" s="66"/>
      <c r="J401" s="66" t="s">
        <v>870</v>
      </c>
      <c r="K401" s="66"/>
      <c r="L401" s="66"/>
      <c r="M401" s="66"/>
      <c r="N401" s="66"/>
      <c r="O401" s="66" t="s">
        <v>911</v>
      </c>
      <c r="P401" s="66"/>
      <c r="Q401" s="66">
        <v>1</v>
      </c>
      <c r="R401" s="66">
        <v>1349</v>
      </c>
      <c r="S401" s="66"/>
    </row>
    <row r="402" spans="1:19" x14ac:dyDescent="0.25">
      <c r="A402" s="15">
        <v>27</v>
      </c>
      <c r="B402" s="66"/>
      <c r="C402" s="66">
        <v>2429</v>
      </c>
      <c r="D402" s="66"/>
      <c r="E402" s="66" t="s">
        <v>763</v>
      </c>
      <c r="F402" s="66">
        <v>5</v>
      </c>
      <c r="G402" s="66"/>
      <c r="H402" s="66" t="e">
        <v>#N/A</v>
      </c>
      <c r="I402" s="66"/>
      <c r="J402" s="66" t="s">
        <v>870</v>
      </c>
      <c r="K402" s="66"/>
      <c r="L402" s="66"/>
      <c r="M402" s="66"/>
      <c r="N402" s="66"/>
      <c r="O402" s="66" t="s">
        <v>912</v>
      </c>
      <c r="P402" s="66"/>
      <c r="Q402" s="66">
        <v>1</v>
      </c>
      <c r="R402" s="66">
        <v>1350</v>
      </c>
      <c r="S402" s="66"/>
    </row>
    <row r="403" spans="1:19" x14ac:dyDescent="0.25">
      <c r="A403" s="15">
        <v>27</v>
      </c>
      <c r="B403" s="66"/>
      <c r="C403" s="66">
        <v>2429</v>
      </c>
      <c r="D403" s="66"/>
      <c r="E403" s="66" t="s">
        <v>763</v>
      </c>
      <c r="F403" s="66">
        <v>5</v>
      </c>
      <c r="G403" s="66"/>
      <c r="H403" s="66" t="e">
        <v>#N/A</v>
      </c>
      <c r="I403" s="66"/>
      <c r="J403" s="66" t="s">
        <v>870</v>
      </c>
      <c r="K403" s="66"/>
      <c r="L403" s="66"/>
      <c r="M403" s="66"/>
      <c r="N403" s="66"/>
      <c r="O403" s="66" t="s">
        <v>913</v>
      </c>
      <c r="P403" s="66"/>
      <c r="Q403" s="66">
        <v>1</v>
      </c>
      <c r="R403" s="66">
        <v>1351</v>
      </c>
      <c r="S403" s="66"/>
    </row>
    <row r="404" spans="1:19" x14ac:dyDescent="0.25">
      <c r="A404" s="15">
        <v>27</v>
      </c>
      <c r="B404" s="66"/>
      <c r="C404" s="66">
        <v>2429</v>
      </c>
      <c r="D404" s="66"/>
      <c r="E404" s="66" t="s">
        <v>763</v>
      </c>
      <c r="F404" s="66">
        <v>5</v>
      </c>
      <c r="G404" s="66"/>
      <c r="H404" s="66" t="e">
        <v>#N/A</v>
      </c>
      <c r="I404" s="66"/>
      <c r="J404" s="66" t="s">
        <v>870</v>
      </c>
      <c r="K404" s="66"/>
      <c r="L404" s="66"/>
      <c r="M404" s="66"/>
      <c r="N404" s="66"/>
      <c r="O404" s="66" t="s">
        <v>914</v>
      </c>
      <c r="P404" s="66"/>
      <c r="Q404" s="66">
        <v>1</v>
      </c>
      <c r="R404" s="66">
        <v>1352</v>
      </c>
      <c r="S404" s="66"/>
    </row>
    <row r="405" spans="1:19" x14ac:dyDescent="0.25">
      <c r="A405" s="15">
        <v>27</v>
      </c>
      <c r="B405" s="66"/>
      <c r="C405" s="66">
        <v>2429</v>
      </c>
      <c r="D405" s="66"/>
      <c r="E405" s="66" t="s">
        <v>763</v>
      </c>
      <c r="F405" s="66">
        <v>5</v>
      </c>
      <c r="G405" s="66"/>
      <c r="H405" s="66" t="e">
        <v>#N/A</v>
      </c>
      <c r="I405" s="66"/>
      <c r="J405" s="66" t="s">
        <v>870</v>
      </c>
      <c r="K405" s="66"/>
      <c r="L405" s="66"/>
      <c r="M405" s="66"/>
      <c r="N405" s="66"/>
      <c r="O405" s="66" t="s">
        <v>915</v>
      </c>
      <c r="P405" s="66"/>
      <c r="Q405" s="66">
        <v>1</v>
      </c>
      <c r="R405" s="66">
        <v>1353</v>
      </c>
      <c r="S405" s="66"/>
    </row>
    <row r="406" spans="1:19" x14ac:dyDescent="0.25">
      <c r="A406" s="15">
        <v>27</v>
      </c>
      <c r="B406" s="66"/>
      <c r="C406" s="66">
        <v>2429</v>
      </c>
      <c r="D406" s="66"/>
      <c r="E406" s="66" t="s">
        <v>763</v>
      </c>
      <c r="F406" s="66">
        <v>5</v>
      </c>
      <c r="G406" s="66"/>
      <c r="H406" s="66" t="e">
        <v>#N/A</v>
      </c>
      <c r="I406" s="66"/>
      <c r="J406" s="66" t="s">
        <v>870</v>
      </c>
      <c r="K406" s="66"/>
      <c r="L406" s="66"/>
      <c r="M406" s="66"/>
      <c r="N406" s="66"/>
      <c r="O406" s="66" t="s">
        <v>916</v>
      </c>
      <c r="P406" s="66"/>
      <c r="Q406" s="66">
        <v>1</v>
      </c>
      <c r="R406" s="66">
        <v>1354</v>
      </c>
      <c r="S406" s="66"/>
    </row>
    <row r="407" spans="1:19" x14ac:dyDescent="0.25">
      <c r="A407" s="15">
        <v>27</v>
      </c>
      <c r="B407" s="66"/>
      <c r="C407" s="66">
        <v>2429</v>
      </c>
      <c r="D407" s="66"/>
      <c r="E407" s="66" t="s">
        <v>763</v>
      </c>
      <c r="F407" s="66">
        <v>5</v>
      </c>
      <c r="G407" s="66"/>
      <c r="H407" s="66" t="e">
        <v>#N/A</v>
      </c>
      <c r="I407" s="66"/>
      <c r="J407" s="66" t="s">
        <v>870</v>
      </c>
      <c r="K407" s="66"/>
      <c r="L407" s="66"/>
      <c r="M407" s="66"/>
      <c r="N407" s="66"/>
      <c r="O407" s="66" t="s">
        <v>917</v>
      </c>
      <c r="P407" s="66"/>
      <c r="Q407" s="66">
        <v>1</v>
      </c>
      <c r="R407" s="66">
        <v>1355</v>
      </c>
      <c r="S407" s="66"/>
    </row>
    <row r="408" spans="1:19" x14ac:dyDescent="0.25">
      <c r="A408" s="15">
        <v>27</v>
      </c>
      <c r="B408" s="66"/>
      <c r="C408" s="66">
        <v>2429</v>
      </c>
      <c r="D408" s="66"/>
      <c r="E408" s="66" t="s">
        <v>763</v>
      </c>
      <c r="F408" s="66">
        <v>5</v>
      </c>
      <c r="G408" s="66"/>
      <c r="H408" s="66" t="e">
        <v>#N/A</v>
      </c>
      <c r="I408" s="66"/>
      <c r="J408" s="66" t="s">
        <v>870</v>
      </c>
      <c r="K408" s="66"/>
      <c r="L408" s="66"/>
      <c r="M408" s="66"/>
      <c r="N408" s="66"/>
      <c r="O408" s="66" t="s">
        <v>918</v>
      </c>
      <c r="P408" s="66"/>
      <c r="Q408" s="66">
        <v>1</v>
      </c>
      <c r="R408" s="66">
        <v>1356</v>
      </c>
      <c r="S408" s="66"/>
    </row>
    <row r="409" spans="1:19" x14ac:dyDescent="0.25">
      <c r="A409" s="15">
        <v>27</v>
      </c>
      <c r="B409" s="66"/>
      <c r="C409" s="66">
        <v>2429</v>
      </c>
      <c r="D409" s="66"/>
      <c r="E409" s="66" t="s">
        <v>763</v>
      </c>
      <c r="F409" s="66">
        <v>5</v>
      </c>
      <c r="G409" s="66"/>
      <c r="H409" s="66" t="e">
        <v>#N/A</v>
      </c>
      <c r="I409" s="66"/>
      <c r="J409" s="66" t="s">
        <v>870</v>
      </c>
      <c r="K409" s="66"/>
      <c r="L409" s="66"/>
      <c r="M409" s="66"/>
      <c r="N409" s="66"/>
      <c r="O409" s="66" t="s">
        <v>919</v>
      </c>
      <c r="P409" s="66"/>
      <c r="Q409" s="66">
        <v>1</v>
      </c>
      <c r="R409" s="66">
        <v>1357</v>
      </c>
      <c r="S409" s="66"/>
    </row>
    <row r="410" spans="1:19" x14ac:dyDescent="0.25">
      <c r="A410" s="15">
        <v>28</v>
      </c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</row>
    <row r="411" spans="1:19" x14ac:dyDescent="0.25">
      <c r="A411" s="15">
        <v>28</v>
      </c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 t="s">
        <v>784</v>
      </c>
      <c r="P411" s="66"/>
      <c r="Q411" s="66"/>
      <c r="R411" s="66"/>
      <c r="S411" s="66"/>
    </row>
    <row r="412" spans="1:19" x14ac:dyDescent="0.25">
      <c r="A412" s="15">
        <v>28</v>
      </c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 t="s">
        <v>835</v>
      </c>
      <c r="P412" s="66"/>
      <c r="Q412" s="66"/>
      <c r="R412" s="66"/>
      <c r="S412" s="66"/>
    </row>
    <row r="413" spans="1:19" x14ac:dyDescent="0.25">
      <c r="A413" s="15">
        <v>28</v>
      </c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 t="s">
        <v>843</v>
      </c>
      <c r="P413" s="66"/>
      <c r="Q413" s="66"/>
      <c r="R413" s="66"/>
      <c r="S413" s="66"/>
    </row>
    <row r="414" spans="1:19" x14ac:dyDescent="0.25">
      <c r="A414" s="15">
        <v>28</v>
      </c>
      <c r="B414" s="66"/>
      <c r="C414" s="66" t="s">
        <v>77</v>
      </c>
      <c r="D414" s="66"/>
      <c r="E414" s="66" t="s">
        <v>763</v>
      </c>
      <c r="F414" s="66">
        <v>6</v>
      </c>
      <c r="G414" s="66"/>
      <c r="H414" s="66">
        <v>7</v>
      </c>
      <c r="I414" s="66">
        <v>10.5</v>
      </c>
      <c r="J414" s="66" t="s">
        <v>850</v>
      </c>
      <c r="K414" s="66"/>
      <c r="L414" s="66"/>
      <c r="M414" s="66"/>
      <c r="N414" s="66"/>
      <c r="O414" s="66" t="s">
        <v>849</v>
      </c>
      <c r="P414" s="66"/>
      <c r="Q414" s="66">
        <v>1</v>
      </c>
      <c r="R414" s="66">
        <v>289</v>
      </c>
      <c r="S414" s="66"/>
    </row>
    <row r="415" spans="1:19" x14ac:dyDescent="0.25">
      <c r="A415" s="15">
        <v>28</v>
      </c>
      <c r="B415" s="66"/>
      <c r="C415" s="66">
        <v>2429</v>
      </c>
      <c r="D415" s="66"/>
      <c r="E415" s="66" t="s">
        <v>763</v>
      </c>
      <c r="F415" s="66">
        <v>6</v>
      </c>
      <c r="G415" s="66"/>
      <c r="H415" s="66"/>
      <c r="I415" s="66">
        <v>21.583333333333332</v>
      </c>
      <c r="J415" s="66" t="s">
        <v>850</v>
      </c>
      <c r="K415" s="66"/>
      <c r="L415" s="66"/>
      <c r="M415" s="66"/>
      <c r="N415" s="66"/>
      <c r="O415" s="66" t="s">
        <v>852</v>
      </c>
      <c r="P415" s="66"/>
      <c r="Q415" s="66">
        <v>1</v>
      </c>
      <c r="R415" s="66">
        <v>378</v>
      </c>
      <c r="S415" s="66"/>
    </row>
    <row r="416" spans="1:19" x14ac:dyDescent="0.25">
      <c r="A416" s="15">
        <v>28</v>
      </c>
      <c r="B416" s="66"/>
      <c r="C416" s="66">
        <v>2429</v>
      </c>
      <c r="D416" s="66"/>
      <c r="E416" s="66" t="s">
        <v>763</v>
      </c>
      <c r="F416" s="66">
        <v>1</v>
      </c>
      <c r="G416" s="66"/>
      <c r="H416" s="66" t="e">
        <v>#N/A</v>
      </c>
      <c r="I416" s="66"/>
      <c r="J416" s="66" t="s">
        <v>870</v>
      </c>
      <c r="K416" s="66" t="s">
        <v>757</v>
      </c>
      <c r="L416" s="66" t="s">
        <v>757</v>
      </c>
      <c r="M416" s="66" t="s">
        <v>757</v>
      </c>
      <c r="N416" s="66" t="s">
        <v>757</v>
      </c>
      <c r="O416" s="66" t="s">
        <v>869</v>
      </c>
      <c r="P416" s="66"/>
      <c r="Q416" s="66">
        <v>1</v>
      </c>
      <c r="R416" s="66">
        <v>610</v>
      </c>
      <c r="S416" s="66"/>
    </row>
    <row r="417" spans="1:19" x14ac:dyDescent="0.25">
      <c r="A417" s="15">
        <v>28</v>
      </c>
      <c r="B417" s="66"/>
      <c r="C417" s="66">
        <v>2429</v>
      </c>
      <c r="D417" s="66"/>
      <c r="E417" s="66" t="s">
        <v>763</v>
      </c>
      <c r="F417" s="66">
        <v>0</v>
      </c>
      <c r="G417" s="66"/>
      <c r="H417" s="66">
        <v>3</v>
      </c>
      <c r="I417" s="66" t="e">
        <v>#N/A</v>
      </c>
      <c r="J417" s="66" t="s">
        <v>870</v>
      </c>
      <c r="K417" s="66"/>
      <c r="L417" s="66"/>
      <c r="M417" s="66"/>
      <c r="N417" s="66"/>
      <c r="O417" s="66" t="s">
        <v>882</v>
      </c>
      <c r="P417" s="66"/>
      <c r="Q417" s="66">
        <v>1</v>
      </c>
      <c r="R417" s="66">
        <v>837</v>
      </c>
      <c r="S417" s="66"/>
    </row>
    <row r="418" spans="1:19" x14ac:dyDescent="0.25">
      <c r="A418" s="15">
        <v>28</v>
      </c>
      <c r="B418" s="66"/>
      <c r="C418" s="66">
        <v>2429</v>
      </c>
      <c r="D418" s="66"/>
      <c r="E418" s="66" t="s">
        <v>763</v>
      </c>
      <c r="F418" s="66">
        <v>3</v>
      </c>
      <c r="G418" s="66"/>
      <c r="H418" s="66">
        <v>3</v>
      </c>
      <c r="I418" s="66" t="e">
        <v>#N/A</v>
      </c>
      <c r="J418" s="66" t="s">
        <v>870</v>
      </c>
      <c r="K418" s="66"/>
      <c r="L418" s="66"/>
      <c r="M418" s="66"/>
      <c r="N418" s="66"/>
      <c r="O418" s="66" t="s">
        <v>894</v>
      </c>
      <c r="P418" s="66"/>
      <c r="Q418" s="66">
        <v>1</v>
      </c>
      <c r="R418" s="66">
        <v>1064</v>
      </c>
      <c r="S418" s="66"/>
    </row>
    <row r="419" spans="1:19" x14ac:dyDescent="0.25">
      <c r="A419" s="15">
        <v>28</v>
      </c>
      <c r="B419" s="66"/>
      <c r="C419" s="66">
        <v>2429</v>
      </c>
      <c r="D419" s="66"/>
      <c r="E419" s="66" t="s">
        <v>763</v>
      </c>
      <c r="F419" s="66">
        <v>3</v>
      </c>
      <c r="G419" s="66"/>
      <c r="H419" s="66" t="e">
        <v>#N/A</v>
      </c>
      <c r="I419" s="66"/>
      <c r="J419" s="66" t="s">
        <v>870</v>
      </c>
      <c r="K419" s="66"/>
      <c r="L419" s="66"/>
      <c r="M419" s="66"/>
      <c r="N419" s="66"/>
      <c r="O419" s="66" t="s">
        <v>906</v>
      </c>
      <c r="P419" s="66"/>
      <c r="Q419" s="66">
        <v>1</v>
      </c>
      <c r="R419" s="66">
        <v>1269</v>
      </c>
      <c r="S419" s="66"/>
    </row>
    <row r="420" spans="1:19" x14ac:dyDescent="0.25">
      <c r="A420" s="15">
        <v>28</v>
      </c>
      <c r="B420" s="66"/>
      <c r="C420" s="66">
        <v>2429</v>
      </c>
      <c r="D420" s="66"/>
      <c r="E420" s="66" t="s">
        <v>763</v>
      </c>
      <c r="F420" s="66">
        <v>5</v>
      </c>
      <c r="G420" s="66"/>
      <c r="H420" s="66" t="e">
        <v>#N/A</v>
      </c>
      <c r="I420" s="66"/>
      <c r="J420" s="66" t="s">
        <v>870</v>
      </c>
      <c r="K420" s="66"/>
      <c r="L420" s="66"/>
      <c r="M420" s="66"/>
      <c r="N420" s="66"/>
      <c r="O420" s="66" t="s">
        <v>908</v>
      </c>
      <c r="P420" s="66"/>
      <c r="Q420" s="66">
        <v>1</v>
      </c>
      <c r="R420" s="66">
        <v>1358</v>
      </c>
      <c r="S420" s="66"/>
    </row>
    <row r="421" spans="1:19" x14ac:dyDescent="0.25">
      <c r="A421" s="15">
        <v>29</v>
      </c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</row>
    <row r="422" spans="1:19" x14ac:dyDescent="0.25">
      <c r="A422" s="15">
        <v>29</v>
      </c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 t="s">
        <v>785</v>
      </c>
      <c r="P422" s="66"/>
      <c r="Q422" s="66"/>
      <c r="R422" s="66"/>
      <c r="S422" s="66"/>
    </row>
    <row r="423" spans="1:19" x14ac:dyDescent="0.25">
      <c r="A423" s="15">
        <v>29</v>
      </c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 t="s">
        <v>837</v>
      </c>
      <c r="P423" s="66"/>
      <c r="Q423" s="66"/>
      <c r="R423" s="66"/>
      <c r="S423" s="66"/>
    </row>
    <row r="424" spans="1:19" x14ac:dyDescent="0.25">
      <c r="A424" s="15">
        <v>29</v>
      </c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 t="s">
        <v>845</v>
      </c>
      <c r="P424" s="66"/>
      <c r="Q424" s="66"/>
      <c r="R424" s="66"/>
      <c r="S424" s="66"/>
    </row>
    <row r="425" spans="1:19" x14ac:dyDescent="0.25">
      <c r="A425" s="15">
        <v>29</v>
      </c>
      <c r="B425" s="66"/>
      <c r="C425" s="66" t="s">
        <v>77</v>
      </c>
      <c r="D425" s="66"/>
      <c r="E425" s="66" t="s">
        <v>763</v>
      </c>
      <c r="F425" s="66">
        <v>8</v>
      </c>
      <c r="G425" s="66"/>
      <c r="H425" s="66">
        <v>10</v>
      </c>
      <c r="I425" s="66">
        <v>12.583333333333332</v>
      </c>
      <c r="J425" s="66" t="s">
        <v>850</v>
      </c>
      <c r="K425" s="66"/>
      <c r="L425" s="66"/>
      <c r="M425" s="66"/>
      <c r="N425" s="66"/>
      <c r="O425" s="66" t="s">
        <v>849</v>
      </c>
      <c r="P425" s="66"/>
      <c r="Q425" s="66">
        <v>1</v>
      </c>
      <c r="R425" s="66">
        <v>290</v>
      </c>
      <c r="S425" s="66"/>
    </row>
    <row r="426" spans="1:19" x14ac:dyDescent="0.25">
      <c r="A426" s="15">
        <v>29</v>
      </c>
      <c r="B426" s="66"/>
      <c r="C426" s="66">
        <v>2429</v>
      </c>
      <c r="D426" s="66"/>
      <c r="E426" s="66" t="s">
        <v>763</v>
      </c>
      <c r="F426" s="66">
        <v>8</v>
      </c>
      <c r="G426" s="66"/>
      <c r="H426" s="66"/>
      <c r="I426" s="66">
        <v>26.666666666666668</v>
      </c>
      <c r="J426" s="66" t="s">
        <v>850</v>
      </c>
      <c r="K426" s="66"/>
      <c r="L426" s="66"/>
      <c r="M426" s="66"/>
      <c r="N426" s="66"/>
      <c r="O426" s="66" t="s">
        <v>852</v>
      </c>
      <c r="P426" s="66"/>
      <c r="Q426" s="66">
        <v>1</v>
      </c>
      <c r="R426" s="66">
        <v>379</v>
      </c>
      <c r="S426" s="66"/>
    </row>
    <row r="427" spans="1:19" x14ac:dyDescent="0.25">
      <c r="A427" s="15">
        <v>29</v>
      </c>
      <c r="B427" s="66"/>
      <c r="C427" s="66">
        <v>2429</v>
      </c>
      <c r="D427" s="66"/>
      <c r="E427" s="66" t="s">
        <v>763</v>
      </c>
      <c r="F427" s="66">
        <v>10</v>
      </c>
      <c r="G427" s="66"/>
      <c r="H427" s="66"/>
      <c r="I427" s="66">
        <v>15.666666666666666</v>
      </c>
      <c r="J427" s="66" t="s">
        <v>850</v>
      </c>
      <c r="K427" s="66"/>
      <c r="L427" s="66"/>
      <c r="M427" s="66"/>
      <c r="N427" s="66"/>
      <c r="O427" s="66" t="s">
        <v>853</v>
      </c>
      <c r="P427" s="66"/>
      <c r="Q427" s="66">
        <v>1</v>
      </c>
      <c r="R427" s="66">
        <v>380</v>
      </c>
      <c r="S427" s="66"/>
    </row>
    <row r="428" spans="1:19" x14ac:dyDescent="0.25">
      <c r="A428" s="15">
        <v>29</v>
      </c>
      <c r="B428" s="66"/>
      <c r="C428" s="66">
        <v>2429</v>
      </c>
      <c r="D428" s="66"/>
      <c r="E428" s="66" t="s">
        <v>763</v>
      </c>
      <c r="F428" s="66">
        <v>6</v>
      </c>
      <c r="G428" s="66"/>
      <c r="H428" s="66"/>
      <c r="I428" s="66">
        <v>15.666666666666666</v>
      </c>
      <c r="J428" s="66" t="s">
        <v>850</v>
      </c>
      <c r="K428" s="66"/>
      <c r="L428" s="66"/>
      <c r="M428" s="66"/>
      <c r="N428" s="66"/>
      <c r="O428" s="66" t="s">
        <v>854</v>
      </c>
      <c r="P428" s="66"/>
      <c r="Q428" s="66">
        <v>1</v>
      </c>
      <c r="R428" s="66">
        <v>381</v>
      </c>
      <c r="S428" s="66"/>
    </row>
    <row r="429" spans="1:19" x14ac:dyDescent="0.25">
      <c r="A429" s="15">
        <v>29</v>
      </c>
      <c r="B429" s="66"/>
      <c r="C429" s="66">
        <v>2429</v>
      </c>
      <c r="D429" s="66"/>
      <c r="E429" s="66" t="s">
        <v>763</v>
      </c>
      <c r="F429" s="66">
        <v>6</v>
      </c>
      <c r="G429" s="66"/>
      <c r="H429" s="66"/>
      <c r="I429" s="66">
        <v>15.666666666666666</v>
      </c>
      <c r="J429" s="66" t="s">
        <v>850</v>
      </c>
      <c r="K429" s="66"/>
      <c r="L429" s="66"/>
      <c r="M429" s="66"/>
      <c r="N429" s="66"/>
      <c r="O429" s="66" t="s">
        <v>855</v>
      </c>
      <c r="P429" s="66"/>
      <c r="Q429" s="66">
        <v>1</v>
      </c>
      <c r="R429" s="66">
        <v>382</v>
      </c>
      <c r="S429" s="66"/>
    </row>
    <row r="430" spans="1:19" x14ac:dyDescent="0.25">
      <c r="A430" s="15">
        <v>29</v>
      </c>
      <c r="B430" s="66"/>
      <c r="C430" s="66">
        <v>2429</v>
      </c>
      <c r="D430" s="66"/>
      <c r="E430" s="66" t="s">
        <v>763</v>
      </c>
      <c r="F430" s="66">
        <v>6</v>
      </c>
      <c r="G430" s="66"/>
      <c r="H430" s="66"/>
      <c r="I430" s="66">
        <v>15.666666666666666</v>
      </c>
      <c r="J430" s="66" t="s">
        <v>850</v>
      </c>
      <c r="K430" s="66"/>
      <c r="L430" s="66"/>
      <c r="M430" s="66"/>
      <c r="N430" s="66"/>
      <c r="O430" s="66" t="s">
        <v>856</v>
      </c>
      <c r="P430" s="66"/>
      <c r="Q430" s="66">
        <v>1</v>
      </c>
      <c r="R430" s="66">
        <v>383</v>
      </c>
      <c r="S430" s="66"/>
    </row>
    <row r="431" spans="1:19" x14ac:dyDescent="0.25">
      <c r="A431" s="15">
        <v>29</v>
      </c>
      <c r="B431" s="66"/>
      <c r="C431" s="66">
        <v>2429</v>
      </c>
      <c r="D431" s="66"/>
      <c r="E431" s="66" t="s">
        <v>763</v>
      </c>
      <c r="F431" s="66">
        <v>6</v>
      </c>
      <c r="G431" s="66"/>
      <c r="H431" s="66"/>
      <c r="I431" s="66">
        <v>15.666666666666666</v>
      </c>
      <c r="J431" s="66" t="s">
        <v>850</v>
      </c>
      <c r="K431" s="66"/>
      <c r="L431" s="66"/>
      <c r="M431" s="66"/>
      <c r="N431" s="66"/>
      <c r="O431" s="66" t="s">
        <v>857</v>
      </c>
      <c r="P431" s="66"/>
      <c r="Q431" s="66">
        <v>1</v>
      </c>
      <c r="R431" s="66">
        <v>384</v>
      </c>
      <c r="S431" s="66"/>
    </row>
    <row r="432" spans="1:19" x14ac:dyDescent="0.25">
      <c r="A432" s="15">
        <v>29</v>
      </c>
      <c r="B432" s="66"/>
      <c r="C432" s="66">
        <v>2429</v>
      </c>
      <c r="D432" s="66"/>
      <c r="E432" s="66" t="s">
        <v>763</v>
      </c>
      <c r="F432" s="66">
        <v>6</v>
      </c>
      <c r="G432" s="66"/>
      <c r="H432" s="66"/>
      <c r="I432" s="66">
        <v>15.666666666666666</v>
      </c>
      <c r="J432" s="66" t="s">
        <v>850</v>
      </c>
      <c r="K432" s="66"/>
      <c r="L432" s="66"/>
      <c r="M432" s="66"/>
      <c r="N432" s="66"/>
      <c r="O432" s="66" t="s">
        <v>858</v>
      </c>
      <c r="P432" s="66"/>
      <c r="Q432" s="66">
        <v>1</v>
      </c>
      <c r="R432" s="66">
        <v>385</v>
      </c>
      <c r="S432" s="66"/>
    </row>
    <row r="433" spans="1:19" x14ac:dyDescent="0.25">
      <c r="A433" s="15">
        <v>29</v>
      </c>
      <c r="B433" s="66"/>
      <c r="C433" s="66">
        <v>2429</v>
      </c>
      <c r="D433" s="66"/>
      <c r="E433" s="66" t="s">
        <v>763</v>
      </c>
      <c r="F433" s="66">
        <v>6</v>
      </c>
      <c r="G433" s="66"/>
      <c r="H433" s="66"/>
      <c r="I433" s="66">
        <v>15.666666666666666</v>
      </c>
      <c r="J433" s="66" t="s">
        <v>850</v>
      </c>
      <c r="K433" s="66"/>
      <c r="L433" s="66"/>
      <c r="M433" s="66"/>
      <c r="N433" s="66"/>
      <c r="O433" s="66" t="s">
        <v>859</v>
      </c>
      <c r="P433" s="66"/>
      <c r="Q433" s="66">
        <v>1</v>
      </c>
      <c r="R433" s="66">
        <v>386</v>
      </c>
      <c r="S433" s="66"/>
    </row>
    <row r="434" spans="1:19" x14ac:dyDescent="0.25">
      <c r="A434" s="15">
        <v>29</v>
      </c>
      <c r="B434" s="66"/>
      <c r="C434" s="66">
        <v>2429</v>
      </c>
      <c r="D434" s="66"/>
      <c r="E434" s="66" t="s">
        <v>763</v>
      </c>
      <c r="F434" s="66">
        <v>6</v>
      </c>
      <c r="G434" s="66"/>
      <c r="H434" s="66"/>
      <c r="I434" s="66">
        <v>15.666666666666666</v>
      </c>
      <c r="J434" s="66" t="s">
        <v>850</v>
      </c>
      <c r="K434" s="66"/>
      <c r="L434" s="66"/>
      <c r="M434" s="66"/>
      <c r="N434" s="66"/>
      <c r="O434" s="66" t="s">
        <v>860</v>
      </c>
      <c r="P434" s="66"/>
      <c r="Q434" s="66">
        <v>1</v>
      </c>
      <c r="R434" s="66">
        <v>387</v>
      </c>
      <c r="S434" s="66"/>
    </row>
    <row r="435" spans="1:19" x14ac:dyDescent="0.25">
      <c r="A435" s="15">
        <v>29</v>
      </c>
      <c r="B435" s="66"/>
      <c r="C435" s="66">
        <v>2429</v>
      </c>
      <c r="D435" s="66"/>
      <c r="E435" s="66" t="s">
        <v>763</v>
      </c>
      <c r="F435" s="66">
        <v>6</v>
      </c>
      <c r="G435" s="66"/>
      <c r="H435" s="66"/>
      <c r="I435" s="66">
        <v>15.666666666666666</v>
      </c>
      <c r="J435" s="66" t="s">
        <v>850</v>
      </c>
      <c r="K435" s="66"/>
      <c r="L435" s="66"/>
      <c r="M435" s="66"/>
      <c r="N435" s="66"/>
      <c r="O435" s="66" t="s">
        <v>861</v>
      </c>
      <c r="P435" s="66"/>
      <c r="Q435" s="66">
        <v>1</v>
      </c>
      <c r="R435" s="66">
        <v>388</v>
      </c>
      <c r="S435" s="66"/>
    </row>
    <row r="436" spans="1:19" x14ac:dyDescent="0.25">
      <c r="A436" s="15">
        <v>29</v>
      </c>
      <c r="B436" s="66"/>
      <c r="C436" s="66">
        <v>2429</v>
      </c>
      <c r="D436" s="66"/>
      <c r="E436" s="66" t="s">
        <v>763</v>
      </c>
      <c r="F436" s="66">
        <v>6</v>
      </c>
      <c r="G436" s="66"/>
      <c r="H436" s="66"/>
      <c r="I436" s="66">
        <v>15.666666666666666</v>
      </c>
      <c r="J436" s="66" t="s">
        <v>850</v>
      </c>
      <c r="K436" s="66"/>
      <c r="L436" s="66"/>
      <c r="M436" s="66"/>
      <c r="N436" s="66"/>
      <c r="O436" s="66" t="s">
        <v>862</v>
      </c>
      <c r="P436" s="66"/>
      <c r="Q436" s="66">
        <v>1</v>
      </c>
      <c r="R436" s="66">
        <v>389</v>
      </c>
      <c r="S436" s="66"/>
    </row>
    <row r="437" spans="1:19" x14ac:dyDescent="0.25">
      <c r="A437" s="15">
        <v>29</v>
      </c>
      <c r="B437" s="66"/>
      <c r="C437" s="66">
        <v>2429</v>
      </c>
      <c r="D437" s="66"/>
      <c r="E437" s="66" t="s">
        <v>763</v>
      </c>
      <c r="F437" s="66">
        <v>10</v>
      </c>
      <c r="G437" s="66"/>
      <c r="H437" s="66"/>
      <c r="I437" s="66">
        <v>10.583333333333334</v>
      </c>
      <c r="J437" s="66" t="s">
        <v>850</v>
      </c>
      <c r="K437" s="66"/>
      <c r="L437" s="66"/>
      <c r="M437" s="66"/>
      <c r="N437" s="66"/>
      <c r="O437" s="66" t="s">
        <v>863</v>
      </c>
      <c r="P437" s="66"/>
      <c r="Q437" s="66">
        <v>1</v>
      </c>
      <c r="R437" s="66">
        <v>390</v>
      </c>
      <c r="S437" s="66"/>
    </row>
    <row r="438" spans="1:19" x14ac:dyDescent="0.25">
      <c r="A438" s="15">
        <v>29</v>
      </c>
      <c r="B438" s="66"/>
      <c r="C438" s="66">
        <v>2429</v>
      </c>
      <c r="D438" s="66"/>
      <c r="E438" s="66" t="s">
        <v>763</v>
      </c>
      <c r="F438" s="66" t="s">
        <v>864</v>
      </c>
      <c r="G438" s="66"/>
      <c r="H438" s="66">
        <v>0</v>
      </c>
      <c r="I438" s="66">
        <v>10.833333333333332</v>
      </c>
      <c r="J438" s="66" t="s">
        <v>866</v>
      </c>
      <c r="K438" s="66"/>
      <c r="L438" s="66"/>
      <c r="M438" s="66"/>
      <c r="N438" s="66"/>
      <c r="O438" s="66" t="s">
        <v>865</v>
      </c>
      <c r="P438" s="66"/>
      <c r="Q438" s="66">
        <v>1</v>
      </c>
      <c r="R438" s="66">
        <v>564</v>
      </c>
      <c r="S438" s="66"/>
    </row>
    <row r="439" spans="1:19" x14ac:dyDescent="0.25">
      <c r="A439" s="15">
        <v>29</v>
      </c>
      <c r="B439" s="66"/>
      <c r="C439" s="66">
        <v>2429</v>
      </c>
      <c r="D439" s="66"/>
      <c r="E439" s="66" t="s">
        <v>763</v>
      </c>
      <c r="F439" s="66">
        <v>1</v>
      </c>
      <c r="G439" s="66"/>
      <c r="H439" s="66" t="e">
        <v>#N/A</v>
      </c>
      <c r="I439" s="66"/>
      <c r="J439" s="66" t="s">
        <v>870</v>
      </c>
      <c r="K439" s="66" t="s">
        <v>757</v>
      </c>
      <c r="L439" s="66" t="s">
        <v>757</v>
      </c>
      <c r="M439" s="66" t="s">
        <v>757</v>
      </c>
      <c r="N439" s="66" t="s">
        <v>757</v>
      </c>
      <c r="O439" s="66" t="s">
        <v>869</v>
      </c>
      <c r="P439" s="66"/>
      <c r="Q439" s="66">
        <v>1</v>
      </c>
      <c r="R439" s="66">
        <v>611</v>
      </c>
      <c r="S439" s="66"/>
    </row>
    <row r="440" spans="1:19" x14ac:dyDescent="0.25">
      <c r="A440" s="15">
        <v>29</v>
      </c>
      <c r="B440" s="66"/>
      <c r="C440" s="66">
        <v>2429</v>
      </c>
      <c r="D440" s="66"/>
      <c r="E440" s="66" t="s">
        <v>763</v>
      </c>
      <c r="F440" s="66">
        <v>1</v>
      </c>
      <c r="G440" s="66"/>
      <c r="H440" s="66" t="e">
        <v>#N/A</v>
      </c>
      <c r="I440" s="66"/>
      <c r="J440" s="66" t="s">
        <v>870</v>
      </c>
      <c r="K440" s="66" t="s">
        <v>757</v>
      </c>
      <c r="L440" s="66" t="s">
        <v>757</v>
      </c>
      <c r="M440" s="66" t="s">
        <v>757</v>
      </c>
      <c r="N440" s="66" t="s">
        <v>757</v>
      </c>
      <c r="O440" s="66" t="s">
        <v>871</v>
      </c>
      <c r="P440" s="66"/>
      <c r="Q440" s="66">
        <v>1</v>
      </c>
      <c r="R440" s="66">
        <v>612</v>
      </c>
      <c r="S440" s="66"/>
    </row>
    <row r="441" spans="1:19" x14ac:dyDescent="0.25">
      <c r="A441" s="15">
        <v>29</v>
      </c>
      <c r="B441" s="66"/>
      <c r="C441" s="66">
        <v>2429</v>
      </c>
      <c r="D441" s="66"/>
      <c r="E441" s="66" t="s">
        <v>763</v>
      </c>
      <c r="F441" s="66">
        <v>1</v>
      </c>
      <c r="G441" s="66"/>
      <c r="H441" s="66" t="e">
        <v>#N/A</v>
      </c>
      <c r="I441" s="66"/>
      <c r="J441" s="66" t="s">
        <v>870</v>
      </c>
      <c r="K441" s="66" t="s">
        <v>757</v>
      </c>
      <c r="L441" s="66" t="s">
        <v>757</v>
      </c>
      <c r="M441" s="66" t="s">
        <v>757</v>
      </c>
      <c r="N441" s="66" t="s">
        <v>757</v>
      </c>
      <c r="O441" s="66" t="s">
        <v>872</v>
      </c>
      <c r="P441" s="66"/>
      <c r="Q441" s="66">
        <v>1</v>
      </c>
      <c r="R441" s="66">
        <v>613</v>
      </c>
      <c r="S441" s="66"/>
    </row>
    <row r="442" spans="1:19" x14ac:dyDescent="0.25">
      <c r="A442" s="15">
        <v>29</v>
      </c>
      <c r="B442" s="66"/>
      <c r="C442" s="66">
        <v>2429</v>
      </c>
      <c r="D442" s="66"/>
      <c r="E442" s="66" t="s">
        <v>763</v>
      </c>
      <c r="F442" s="66">
        <v>1</v>
      </c>
      <c r="G442" s="66"/>
      <c r="H442" s="66" t="e">
        <v>#N/A</v>
      </c>
      <c r="I442" s="66"/>
      <c r="J442" s="66" t="s">
        <v>870</v>
      </c>
      <c r="K442" s="66" t="s">
        <v>757</v>
      </c>
      <c r="L442" s="66" t="s">
        <v>757</v>
      </c>
      <c r="M442" s="66" t="s">
        <v>757</v>
      </c>
      <c r="N442" s="66" t="s">
        <v>757</v>
      </c>
      <c r="O442" s="66" t="s">
        <v>873</v>
      </c>
      <c r="P442" s="66"/>
      <c r="Q442" s="66">
        <v>1</v>
      </c>
      <c r="R442" s="66">
        <v>614</v>
      </c>
      <c r="S442" s="66"/>
    </row>
    <row r="443" spans="1:19" x14ac:dyDescent="0.25">
      <c r="A443" s="15">
        <v>29</v>
      </c>
      <c r="B443" s="66"/>
      <c r="C443" s="66">
        <v>2429</v>
      </c>
      <c r="D443" s="66"/>
      <c r="E443" s="66" t="s">
        <v>763</v>
      </c>
      <c r="F443" s="66">
        <v>1</v>
      </c>
      <c r="G443" s="66"/>
      <c r="H443" s="66" t="e">
        <v>#N/A</v>
      </c>
      <c r="I443" s="66"/>
      <c r="J443" s="66" t="s">
        <v>870</v>
      </c>
      <c r="K443" s="66" t="s">
        <v>757</v>
      </c>
      <c r="L443" s="66" t="s">
        <v>757</v>
      </c>
      <c r="M443" s="66" t="s">
        <v>757</v>
      </c>
      <c r="N443" s="66" t="s">
        <v>757</v>
      </c>
      <c r="O443" s="66" t="s">
        <v>874</v>
      </c>
      <c r="P443" s="66"/>
      <c r="Q443" s="66">
        <v>1</v>
      </c>
      <c r="R443" s="66">
        <v>615</v>
      </c>
      <c r="S443" s="66"/>
    </row>
    <row r="444" spans="1:19" x14ac:dyDescent="0.25">
      <c r="A444" s="15">
        <v>29</v>
      </c>
      <c r="B444" s="66"/>
      <c r="C444" s="66">
        <v>2429</v>
      </c>
      <c r="D444" s="66"/>
      <c r="E444" s="66" t="s">
        <v>763</v>
      </c>
      <c r="F444" s="66">
        <v>1</v>
      </c>
      <c r="G444" s="66"/>
      <c r="H444" s="66" t="e">
        <v>#N/A</v>
      </c>
      <c r="I444" s="66"/>
      <c r="J444" s="66" t="s">
        <v>870</v>
      </c>
      <c r="K444" s="66" t="s">
        <v>757</v>
      </c>
      <c r="L444" s="66" t="s">
        <v>757</v>
      </c>
      <c r="M444" s="66" t="s">
        <v>757</v>
      </c>
      <c r="N444" s="66" t="s">
        <v>757</v>
      </c>
      <c r="O444" s="66" t="s">
        <v>875</v>
      </c>
      <c r="P444" s="66"/>
      <c r="Q444" s="66">
        <v>1</v>
      </c>
      <c r="R444" s="66">
        <v>616</v>
      </c>
      <c r="S444" s="66"/>
    </row>
    <row r="445" spans="1:19" x14ac:dyDescent="0.25">
      <c r="A445" s="15">
        <v>29</v>
      </c>
      <c r="B445" s="66"/>
      <c r="C445" s="66">
        <v>2429</v>
      </c>
      <c r="D445" s="66"/>
      <c r="E445" s="66" t="s">
        <v>763</v>
      </c>
      <c r="F445" s="66">
        <v>1</v>
      </c>
      <c r="G445" s="66"/>
      <c r="H445" s="66" t="e">
        <v>#N/A</v>
      </c>
      <c r="I445" s="66"/>
      <c r="J445" s="66" t="s">
        <v>870</v>
      </c>
      <c r="K445" s="66" t="s">
        <v>757</v>
      </c>
      <c r="L445" s="66" t="s">
        <v>757</v>
      </c>
      <c r="M445" s="66" t="s">
        <v>757</v>
      </c>
      <c r="N445" s="66" t="s">
        <v>757</v>
      </c>
      <c r="O445" s="66" t="s">
        <v>876</v>
      </c>
      <c r="P445" s="66"/>
      <c r="Q445" s="66">
        <v>1</v>
      </c>
      <c r="R445" s="66">
        <v>617</v>
      </c>
      <c r="S445" s="66"/>
    </row>
    <row r="446" spans="1:19" x14ac:dyDescent="0.25">
      <c r="A446" s="15">
        <v>29</v>
      </c>
      <c r="B446" s="66"/>
      <c r="C446" s="66">
        <v>2429</v>
      </c>
      <c r="D446" s="66"/>
      <c r="E446" s="66" t="s">
        <v>763</v>
      </c>
      <c r="F446" s="66">
        <v>1</v>
      </c>
      <c r="G446" s="66"/>
      <c r="H446" s="66" t="e">
        <v>#N/A</v>
      </c>
      <c r="I446" s="66"/>
      <c r="J446" s="66" t="s">
        <v>870</v>
      </c>
      <c r="K446" s="66" t="s">
        <v>757</v>
      </c>
      <c r="L446" s="66" t="s">
        <v>757</v>
      </c>
      <c r="M446" s="66" t="s">
        <v>757</v>
      </c>
      <c r="N446" s="66" t="s">
        <v>757</v>
      </c>
      <c r="O446" s="66" t="s">
        <v>877</v>
      </c>
      <c r="P446" s="66"/>
      <c r="Q446" s="66">
        <v>1</v>
      </c>
      <c r="R446" s="66">
        <v>618</v>
      </c>
      <c r="S446" s="66"/>
    </row>
    <row r="447" spans="1:19" x14ac:dyDescent="0.25">
      <c r="A447" s="15">
        <v>29</v>
      </c>
      <c r="B447" s="66"/>
      <c r="C447" s="66">
        <v>2429</v>
      </c>
      <c r="D447" s="66"/>
      <c r="E447" s="66" t="s">
        <v>763</v>
      </c>
      <c r="F447" s="66">
        <v>1</v>
      </c>
      <c r="G447" s="66"/>
      <c r="H447" s="66" t="e">
        <v>#N/A</v>
      </c>
      <c r="I447" s="66"/>
      <c r="J447" s="66" t="s">
        <v>870</v>
      </c>
      <c r="K447" s="66" t="s">
        <v>757</v>
      </c>
      <c r="L447" s="66" t="s">
        <v>757</v>
      </c>
      <c r="M447" s="66" t="s">
        <v>757</v>
      </c>
      <c r="N447" s="66" t="s">
        <v>757</v>
      </c>
      <c r="O447" s="66" t="s">
        <v>878</v>
      </c>
      <c r="P447" s="66"/>
      <c r="Q447" s="66">
        <v>1</v>
      </c>
      <c r="R447" s="66">
        <v>619</v>
      </c>
      <c r="S447" s="66"/>
    </row>
    <row r="448" spans="1:19" x14ac:dyDescent="0.25">
      <c r="A448" s="15">
        <v>29</v>
      </c>
      <c r="B448" s="66"/>
      <c r="C448" s="66">
        <v>2429</v>
      </c>
      <c r="D448" s="66"/>
      <c r="E448" s="66" t="s">
        <v>763</v>
      </c>
      <c r="F448" s="66">
        <v>1</v>
      </c>
      <c r="G448" s="66"/>
      <c r="H448" s="66" t="e">
        <v>#N/A</v>
      </c>
      <c r="I448" s="66"/>
      <c r="J448" s="66" t="s">
        <v>870</v>
      </c>
      <c r="K448" s="66" t="s">
        <v>757</v>
      </c>
      <c r="L448" s="66" t="s">
        <v>757</v>
      </c>
      <c r="M448" s="66" t="s">
        <v>757</v>
      </c>
      <c r="N448" s="66" t="s">
        <v>757</v>
      </c>
      <c r="O448" s="66" t="s">
        <v>879</v>
      </c>
      <c r="P448" s="66"/>
      <c r="Q448" s="66">
        <v>1</v>
      </c>
      <c r="R448" s="66">
        <v>620</v>
      </c>
      <c r="S448" s="66"/>
    </row>
    <row r="449" spans="1:19" x14ac:dyDescent="0.25">
      <c r="A449" s="15">
        <v>29</v>
      </c>
      <c r="B449" s="66"/>
      <c r="C449" s="66">
        <v>2429</v>
      </c>
      <c r="D449" s="66"/>
      <c r="E449" s="66" t="s">
        <v>763</v>
      </c>
      <c r="F449" s="66">
        <v>1</v>
      </c>
      <c r="G449" s="66"/>
      <c r="H449" s="66" t="e">
        <v>#N/A</v>
      </c>
      <c r="I449" s="66"/>
      <c r="J449" s="66" t="s">
        <v>870</v>
      </c>
      <c r="K449" s="66" t="s">
        <v>757</v>
      </c>
      <c r="L449" s="66" t="s">
        <v>757</v>
      </c>
      <c r="M449" s="66" t="s">
        <v>757</v>
      </c>
      <c r="N449" s="66" t="s">
        <v>757</v>
      </c>
      <c r="O449" s="66" t="s">
        <v>880</v>
      </c>
      <c r="P449" s="66"/>
      <c r="Q449" s="66">
        <v>1</v>
      </c>
      <c r="R449" s="66">
        <v>621</v>
      </c>
      <c r="S449" s="66"/>
    </row>
    <row r="450" spans="1:19" x14ac:dyDescent="0.25">
      <c r="A450" s="15">
        <v>29</v>
      </c>
      <c r="B450" s="66"/>
      <c r="C450" s="66">
        <v>2429</v>
      </c>
      <c r="D450" s="66"/>
      <c r="E450" s="66" t="s">
        <v>763</v>
      </c>
      <c r="F450" s="66">
        <v>1</v>
      </c>
      <c r="G450" s="66"/>
      <c r="H450" s="66" t="e">
        <v>#N/A</v>
      </c>
      <c r="I450" s="66"/>
      <c r="J450" s="66" t="s">
        <v>870</v>
      </c>
      <c r="K450" s="66" t="s">
        <v>757</v>
      </c>
      <c r="L450" s="66" t="s">
        <v>757</v>
      </c>
      <c r="M450" s="66" t="s">
        <v>757</v>
      </c>
      <c r="N450" s="66" t="s">
        <v>757</v>
      </c>
      <c r="O450" s="66" t="s">
        <v>881</v>
      </c>
      <c r="P450" s="66"/>
      <c r="Q450" s="66">
        <v>1</v>
      </c>
      <c r="R450" s="66">
        <v>622</v>
      </c>
      <c r="S450" s="66"/>
    </row>
    <row r="451" spans="1:19" x14ac:dyDescent="0.25">
      <c r="A451" s="15">
        <v>29</v>
      </c>
      <c r="B451" s="66"/>
      <c r="C451" s="66">
        <v>2429</v>
      </c>
      <c r="D451" s="66"/>
      <c r="E451" s="66" t="s">
        <v>763</v>
      </c>
      <c r="F451" s="66">
        <v>0</v>
      </c>
      <c r="G451" s="66"/>
      <c r="H451" s="66">
        <v>3</v>
      </c>
      <c r="I451" s="66" t="e">
        <v>#N/A</v>
      </c>
      <c r="J451" s="66" t="s">
        <v>870</v>
      </c>
      <c r="K451" s="66"/>
      <c r="L451" s="66"/>
      <c r="M451" s="66"/>
      <c r="N451" s="66"/>
      <c r="O451" s="66" t="s">
        <v>882</v>
      </c>
      <c r="P451" s="66"/>
      <c r="Q451" s="66">
        <v>1</v>
      </c>
      <c r="R451" s="66">
        <v>838</v>
      </c>
      <c r="S451" s="66"/>
    </row>
    <row r="452" spans="1:19" x14ac:dyDescent="0.25">
      <c r="A452" s="15">
        <v>29</v>
      </c>
      <c r="B452" s="66"/>
      <c r="C452" s="66">
        <v>2429</v>
      </c>
      <c r="D452" s="66"/>
      <c r="E452" s="66" t="s">
        <v>763</v>
      </c>
      <c r="F452" s="66">
        <v>0</v>
      </c>
      <c r="G452" s="66"/>
      <c r="H452" s="66">
        <v>3</v>
      </c>
      <c r="I452" s="66" t="e">
        <v>#N/A</v>
      </c>
      <c r="J452" s="66" t="s">
        <v>870</v>
      </c>
      <c r="K452" s="66"/>
      <c r="L452" s="66"/>
      <c r="M452" s="66"/>
      <c r="N452" s="66"/>
      <c r="O452" s="66" t="s">
        <v>883</v>
      </c>
      <c r="P452" s="66"/>
      <c r="Q452" s="66">
        <v>1</v>
      </c>
      <c r="R452" s="66">
        <v>839</v>
      </c>
      <c r="S452" s="66"/>
    </row>
    <row r="453" spans="1:19" x14ac:dyDescent="0.25">
      <c r="A453" s="15">
        <v>29</v>
      </c>
      <c r="B453" s="66"/>
      <c r="C453" s="66">
        <v>2429</v>
      </c>
      <c r="D453" s="66"/>
      <c r="E453" s="66" t="s">
        <v>763</v>
      </c>
      <c r="F453" s="66">
        <v>0</v>
      </c>
      <c r="G453" s="66"/>
      <c r="H453" s="66">
        <v>3</v>
      </c>
      <c r="I453" s="66" t="e">
        <v>#N/A</v>
      </c>
      <c r="J453" s="66" t="s">
        <v>870</v>
      </c>
      <c r="K453" s="66"/>
      <c r="L453" s="66"/>
      <c r="M453" s="66"/>
      <c r="N453" s="66"/>
      <c r="O453" s="66" t="s">
        <v>884</v>
      </c>
      <c r="P453" s="66"/>
      <c r="Q453" s="66">
        <v>1</v>
      </c>
      <c r="R453" s="66">
        <v>840</v>
      </c>
      <c r="S453" s="66"/>
    </row>
    <row r="454" spans="1:19" x14ac:dyDescent="0.25">
      <c r="A454" s="15">
        <v>29</v>
      </c>
      <c r="B454" s="66"/>
      <c r="C454" s="66">
        <v>2429</v>
      </c>
      <c r="D454" s="66"/>
      <c r="E454" s="66" t="s">
        <v>763</v>
      </c>
      <c r="F454" s="66">
        <v>0</v>
      </c>
      <c r="G454" s="66"/>
      <c r="H454" s="66">
        <v>3</v>
      </c>
      <c r="I454" s="66" t="e">
        <v>#N/A</v>
      </c>
      <c r="J454" s="66" t="s">
        <v>870</v>
      </c>
      <c r="K454" s="66"/>
      <c r="L454" s="66"/>
      <c r="M454" s="66"/>
      <c r="N454" s="66"/>
      <c r="O454" s="66" t="s">
        <v>885</v>
      </c>
      <c r="P454" s="66"/>
      <c r="Q454" s="66">
        <v>1</v>
      </c>
      <c r="R454" s="66">
        <v>841</v>
      </c>
      <c r="S454" s="66"/>
    </row>
    <row r="455" spans="1:19" x14ac:dyDescent="0.25">
      <c r="A455" s="15">
        <v>29</v>
      </c>
      <c r="B455" s="66"/>
      <c r="C455" s="66">
        <v>2429</v>
      </c>
      <c r="D455" s="66"/>
      <c r="E455" s="66" t="s">
        <v>763</v>
      </c>
      <c r="F455" s="66">
        <v>0</v>
      </c>
      <c r="G455" s="66"/>
      <c r="H455" s="66">
        <v>3</v>
      </c>
      <c r="I455" s="66" t="e">
        <v>#N/A</v>
      </c>
      <c r="J455" s="66" t="s">
        <v>870</v>
      </c>
      <c r="K455" s="66"/>
      <c r="L455" s="66"/>
      <c r="M455" s="66"/>
      <c r="N455" s="66"/>
      <c r="O455" s="66" t="s">
        <v>886</v>
      </c>
      <c r="P455" s="66"/>
      <c r="Q455" s="66">
        <v>1</v>
      </c>
      <c r="R455" s="66">
        <v>842</v>
      </c>
      <c r="S455" s="66"/>
    </row>
    <row r="456" spans="1:19" x14ac:dyDescent="0.25">
      <c r="A456" s="15">
        <v>29</v>
      </c>
      <c r="B456" s="66"/>
      <c r="C456" s="66">
        <v>2429</v>
      </c>
      <c r="D456" s="66"/>
      <c r="E456" s="66" t="s">
        <v>763</v>
      </c>
      <c r="F456" s="66">
        <v>0</v>
      </c>
      <c r="G456" s="66"/>
      <c r="H456" s="66">
        <v>3</v>
      </c>
      <c r="I456" s="66" t="e">
        <v>#N/A</v>
      </c>
      <c r="J456" s="66" t="s">
        <v>870</v>
      </c>
      <c r="K456" s="66"/>
      <c r="L456" s="66"/>
      <c r="M456" s="66"/>
      <c r="N456" s="66"/>
      <c r="O456" s="66" t="s">
        <v>887</v>
      </c>
      <c r="P456" s="66"/>
      <c r="Q456" s="66">
        <v>1</v>
      </c>
      <c r="R456" s="66">
        <v>843</v>
      </c>
      <c r="S456" s="66"/>
    </row>
    <row r="457" spans="1:19" x14ac:dyDescent="0.25">
      <c r="A457" s="15">
        <v>29</v>
      </c>
      <c r="B457" s="66"/>
      <c r="C457" s="66">
        <v>2429</v>
      </c>
      <c r="D457" s="66"/>
      <c r="E457" s="66" t="s">
        <v>763</v>
      </c>
      <c r="F457" s="66">
        <v>0</v>
      </c>
      <c r="G457" s="66"/>
      <c r="H457" s="66">
        <v>3</v>
      </c>
      <c r="I457" s="66" t="e">
        <v>#N/A</v>
      </c>
      <c r="J457" s="66" t="s">
        <v>870</v>
      </c>
      <c r="K457" s="66"/>
      <c r="L457" s="66"/>
      <c r="M457" s="66"/>
      <c r="N457" s="66"/>
      <c r="O457" s="66" t="s">
        <v>888</v>
      </c>
      <c r="P457" s="66"/>
      <c r="Q457" s="66">
        <v>1</v>
      </c>
      <c r="R457" s="66">
        <v>844</v>
      </c>
      <c r="S457" s="66"/>
    </row>
    <row r="458" spans="1:19" x14ac:dyDescent="0.25">
      <c r="A458" s="15">
        <v>29</v>
      </c>
      <c r="B458" s="66"/>
      <c r="C458" s="66">
        <v>2429</v>
      </c>
      <c r="D458" s="66"/>
      <c r="E458" s="66" t="s">
        <v>763</v>
      </c>
      <c r="F458" s="66">
        <v>0</v>
      </c>
      <c r="G458" s="66"/>
      <c r="H458" s="66">
        <v>3</v>
      </c>
      <c r="I458" s="66" t="e">
        <v>#N/A</v>
      </c>
      <c r="J458" s="66" t="s">
        <v>870</v>
      </c>
      <c r="K458" s="66"/>
      <c r="L458" s="66"/>
      <c r="M458" s="66"/>
      <c r="N458" s="66"/>
      <c r="O458" s="66" t="s">
        <v>889</v>
      </c>
      <c r="P458" s="66"/>
      <c r="Q458" s="66">
        <v>1</v>
      </c>
      <c r="R458" s="66">
        <v>845</v>
      </c>
      <c r="S458" s="66"/>
    </row>
    <row r="459" spans="1:19" x14ac:dyDescent="0.25">
      <c r="A459" s="15">
        <v>29</v>
      </c>
      <c r="B459" s="66"/>
      <c r="C459" s="66">
        <v>2429</v>
      </c>
      <c r="D459" s="66"/>
      <c r="E459" s="66" t="s">
        <v>763</v>
      </c>
      <c r="F459" s="66">
        <v>0</v>
      </c>
      <c r="G459" s="66"/>
      <c r="H459" s="66">
        <v>3</v>
      </c>
      <c r="I459" s="66" t="e">
        <v>#N/A</v>
      </c>
      <c r="J459" s="66" t="s">
        <v>870</v>
      </c>
      <c r="K459" s="66"/>
      <c r="L459" s="66"/>
      <c r="M459" s="66"/>
      <c r="N459" s="66"/>
      <c r="O459" s="66" t="s">
        <v>890</v>
      </c>
      <c r="P459" s="66"/>
      <c r="Q459" s="66">
        <v>1</v>
      </c>
      <c r="R459" s="66">
        <v>846</v>
      </c>
      <c r="S459" s="66"/>
    </row>
    <row r="460" spans="1:19" x14ac:dyDescent="0.25">
      <c r="A460" s="15">
        <v>29</v>
      </c>
      <c r="B460" s="66"/>
      <c r="C460" s="66">
        <v>2429</v>
      </c>
      <c r="D460" s="66"/>
      <c r="E460" s="66" t="s">
        <v>763</v>
      </c>
      <c r="F460" s="66">
        <v>0</v>
      </c>
      <c r="G460" s="66"/>
      <c r="H460" s="66">
        <v>3</v>
      </c>
      <c r="I460" s="66" t="e">
        <v>#N/A</v>
      </c>
      <c r="J460" s="66" t="s">
        <v>870</v>
      </c>
      <c r="K460" s="66"/>
      <c r="L460" s="66"/>
      <c r="M460" s="66"/>
      <c r="N460" s="66"/>
      <c r="O460" s="66" t="s">
        <v>891</v>
      </c>
      <c r="P460" s="66"/>
      <c r="Q460" s="66">
        <v>1</v>
      </c>
      <c r="R460" s="66">
        <v>847</v>
      </c>
      <c r="S460" s="66"/>
    </row>
    <row r="461" spans="1:19" x14ac:dyDescent="0.25">
      <c r="A461" s="15">
        <v>29</v>
      </c>
      <c r="B461" s="66"/>
      <c r="C461" s="66">
        <v>2429</v>
      </c>
      <c r="D461" s="66"/>
      <c r="E461" s="66" t="s">
        <v>763</v>
      </c>
      <c r="F461" s="66">
        <v>0</v>
      </c>
      <c r="G461" s="66"/>
      <c r="H461" s="66">
        <v>3</v>
      </c>
      <c r="I461" s="66" t="e">
        <v>#N/A</v>
      </c>
      <c r="J461" s="66" t="s">
        <v>870</v>
      </c>
      <c r="K461" s="66"/>
      <c r="L461" s="66"/>
      <c r="M461" s="66"/>
      <c r="N461" s="66"/>
      <c r="O461" s="66" t="s">
        <v>892</v>
      </c>
      <c r="P461" s="66"/>
      <c r="Q461" s="66">
        <v>1</v>
      </c>
      <c r="R461" s="66">
        <v>848</v>
      </c>
      <c r="S461" s="66"/>
    </row>
    <row r="462" spans="1:19" x14ac:dyDescent="0.25">
      <c r="A462" s="15">
        <v>29</v>
      </c>
      <c r="B462" s="66"/>
      <c r="C462" s="66">
        <v>2429</v>
      </c>
      <c r="D462" s="66"/>
      <c r="E462" s="66" t="s">
        <v>763</v>
      </c>
      <c r="F462" s="66">
        <v>0</v>
      </c>
      <c r="G462" s="66"/>
      <c r="H462" s="66">
        <v>3</v>
      </c>
      <c r="I462" s="66" t="e">
        <v>#N/A</v>
      </c>
      <c r="J462" s="66" t="s">
        <v>870</v>
      </c>
      <c r="K462" s="66"/>
      <c r="L462" s="66"/>
      <c r="M462" s="66"/>
      <c r="N462" s="66"/>
      <c r="O462" s="66" t="s">
        <v>893</v>
      </c>
      <c r="P462" s="66"/>
      <c r="Q462" s="66">
        <v>1</v>
      </c>
      <c r="R462" s="66">
        <v>849</v>
      </c>
      <c r="S462" s="66"/>
    </row>
    <row r="463" spans="1:19" x14ac:dyDescent="0.25">
      <c r="A463" s="15">
        <v>29</v>
      </c>
      <c r="B463" s="66"/>
      <c r="C463" s="66">
        <v>2429</v>
      </c>
      <c r="D463" s="66"/>
      <c r="E463" s="66" t="s">
        <v>763</v>
      </c>
      <c r="F463" s="66">
        <v>3</v>
      </c>
      <c r="G463" s="66"/>
      <c r="H463" s="66">
        <v>3</v>
      </c>
      <c r="I463" s="66" t="e">
        <v>#N/A</v>
      </c>
      <c r="J463" s="66" t="s">
        <v>870</v>
      </c>
      <c r="K463" s="66"/>
      <c r="L463" s="66"/>
      <c r="M463" s="66"/>
      <c r="N463" s="66"/>
      <c r="O463" s="66" t="s">
        <v>894</v>
      </c>
      <c r="P463" s="66"/>
      <c r="Q463" s="66">
        <v>1</v>
      </c>
      <c r="R463" s="66">
        <v>1065</v>
      </c>
      <c r="S463" s="66"/>
    </row>
    <row r="464" spans="1:19" x14ac:dyDescent="0.25">
      <c r="A464" s="15">
        <v>29</v>
      </c>
      <c r="B464" s="66"/>
      <c r="C464" s="66">
        <v>2429</v>
      </c>
      <c r="D464" s="66"/>
      <c r="E464" s="66" t="s">
        <v>763</v>
      </c>
      <c r="F464" s="66">
        <v>3</v>
      </c>
      <c r="G464" s="66"/>
      <c r="H464" s="66">
        <v>3</v>
      </c>
      <c r="I464" s="66" t="e">
        <v>#N/A</v>
      </c>
      <c r="J464" s="66" t="s">
        <v>870</v>
      </c>
      <c r="K464" s="66"/>
      <c r="L464" s="66"/>
      <c r="M464" s="66"/>
      <c r="N464" s="66"/>
      <c r="O464" s="66" t="s">
        <v>895</v>
      </c>
      <c r="P464" s="66"/>
      <c r="Q464" s="66">
        <v>1</v>
      </c>
      <c r="R464" s="66">
        <v>1066</v>
      </c>
      <c r="S464" s="66"/>
    </row>
    <row r="465" spans="1:19" x14ac:dyDescent="0.25">
      <c r="A465" s="15">
        <v>29</v>
      </c>
      <c r="B465" s="66"/>
      <c r="C465" s="66">
        <v>2429</v>
      </c>
      <c r="D465" s="66"/>
      <c r="E465" s="66" t="s">
        <v>763</v>
      </c>
      <c r="F465" s="66">
        <v>3</v>
      </c>
      <c r="G465" s="66"/>
      <c r="H465" s="66">
        <v>3</v>
      </c>
      <c r="I465" s="66" t="e">
        <v>#N/A</v>
      </c>
      <c r="J465" s="66" t="s">
        <v>870</v>
      </c>
      <c r="K465" s="66"/>
      <c r="L465" s="66"/>
      <c r="M465" s="66"/>
      <c r="N465" s="66"/>
      <c r="O465" s="66" t="s">
        <v>896</v>
      </c>
      <c r="P465" s="66"/>
      <c r="Q465" s="66">
        <v>1</v>
      </c>
      <c r="R465" s="66">
        <v>1067</v>
      </c>
      <c r="S465" s="66"/>
    </row>
    <row r="466" spans="1:19" x14ac:dyDescent="0.25">
      <c r="A466" s="15">
        <v>29</v>
      </c>
      <c r="B466" s="66"/>
      <c r="C466" s="66">
        <v>2429</v>
      </c>
      <c r="D466" s="66"/>
      <c r="E466" s="66" t="s">
        <v>763</v>
      </c>
      <c r="F466" s="66">
        <v>3</v>
      </c>
      <c r="G466" s="66"/>
      <c r="H466" s="66">
        <v>3</v>
      </c>
      <c r="I466" s="66" t="e">
        <v>#N/A</v>
      </c>
      <c r="J466" s="66" t="s">
        <v>870</v>
      </c>
      <c r="K466" s="66"/>
      <c r="L466" s="66"/>
      <c r="M466" s="66"/>
      <c r="N466" s="66"/>
      <c r="O466" s="66" t="s">
        <v>897</v>
      </c>
      <c r="P466" s="66"/>
      <c r="Q466" s="66">
        <v>1</v>
      </c>
      <c r="R466" s="66">
        <v>1068</v>
      </c>
      <c r="S466" s="66"/>
    </row>
    <row r="467" spans="1:19" x14ac:dyDescent="0.25">
      <c r="A467" s="15">
        <v>29</v>
      </c>
      <c r="B467" s="66"/>
      <c r="C467" s="66">
        <v>2429</v>
      </c>
      <c r="D467" s="66"/>
      <c r="E467" s="66" t="s">
        <v>763</v>
      </c>
      <c r="F467" s="66">
        <v>3</v>
      </c>
      <c r="G467" s="66"/>
      <c r="H467" s="66">
        <v>3</v>
      </c>
      <c r="I467" s="66" t="e">
        <v>#N/A</v>
      </c>
      <c r="J467" s="66" t="s">
        <v>870</v>
      </c>
      <c r="K467" s="66"/>
      <c r="L467" s="66"/>
      <c r="M467" s="66"/>
      <c r="N467" s="66"/>
      <c r="O467" s="66" t="s">
        <v>898</v>
      </c>
      <c r="P467" s="66"/>
      <c r="Q467" s="66">
        <v>1</v>
      </c>
      <c r="R467" s="66">
        <v>1069</v>
      </c>
      <c r="S467" s="66"/>
    </row>
    <row r="468" spans="1:19" x14ac:dyDescent="0.25">
      <c r="A468" s="15">
        <v>29</v>
      </c>
      <c r="B468" s="66"/>
      <c r="C468" s="66">
        <v>2429</v>
      </c>
      <c r="D468" s="66"/>
      <c r="E468" s="66" t="s">
        <v>763</v>
      </c>
      <c r="F468" s="66">
        <v>3</v>
      </c>
      <c r="G468" s="66"/>
      <c r="H468" s="66">
        <v>3</v>
      </c>
      <c r="I468" s="66" t="e">
        <v>#N/A</v>
      </c>
      <c r="J468" s="66" t="s">
        <v>870</v>
      </c>
      <c r="K468" s="66"/>
      <c r="L468" s="66"/>
      <c r="M468" s="66"/>
      <c r="N468" s="66"/>
      <c r="O468" s="66" t="s">
        <v>899</v>
      </c>
      <c r="P468" s="66"/>
      <c r="Q468" s="66">
        <v>1</v>
      </c>
      <c r="R468" s="66">
        <v>1070</v>
      </c>
      <c r="S468" s="66"/>
    </row>
    <row r="469" spans="1:19" x14ac:dyDescent="0.25">
      <c r="A469" s="15">
        <v>29</v>
      </c>
      <c r="B469" s="66"/>
      <c r="C469" s="66">
        <v>2429</v>
      </c>
      <c r="D469" s="66"/>
      <c r="E469" s="66" t="s">
        <v>763</v>
      </c>
      <c r="F469" s="66">
        <v>3</v>
      </c>
      <c r="G469" s="66"/>
      <c r="H469" s="66">
        <v>3</v>
      </c>
      <c r="I469" s="66" t="e">
        <v>#N/A</v>
      </c>
      <c r="J469" s="66" t="s">
        <v>870</v>
      </c>
      <c r="K469" s="66"/>
      <c r="L469" s="66"/>
      <c r="M469" s="66"/>
      <c r="N469" s="66"/>
      <c r="O469" s="66" t="s">
        <v>900</v>
      </c>
      <c r="P469" s="66"/>
      <c r="Q469" s="66">
        <v>1</v>
      </c>
      <c r="R469" s="66">
        <v>1071</v>
      </c>
      <c r="S469" s="66"/>
    </row>
    <row r="470" spans="1:19" x14ac:dyDescent="0.25">
      <c r="A470" s="15">
        <v>29</v>
      </c>
      <c r="B470" s="66"/>
      <c r="C470" s="66">
        <v>2429</v>
      </c>
      <c r="D470" s="66"/>
      <c r="E470" s="66" t="s">
        <v>763</v>
      </c>
      <c r="F470" s="66">
        <v>3</v>
      </c>
      <c r="G470" s="66"/>
      <c r="H470" s="66">
        <v>3</v>
      </c>
      <c r="I470" s="66" t="e">
        <v>#N/A</v>
      </c>
      <c r="J470" s="66" t="s">
        <v>870</v>
      </c>
      <c r="K470" s="66"/>
      <c r="L470" s="66"/>
      <c r="M470" s="66"/>
      <c r="N470" s="66"/>
      <c r="O470" s="66" t="s">
        <v>901</v>
      </c>
      <c r="P470" s="66"/>
      <c r="Q470" s="66">
        <v>1</v>
      </c>
      <c r="R470" s="66">
        <v>1072</v>
      </c>
      <c r="S470" s="66"/>
    </row>
    <row r="471" spans="1:19" x14ac:dyDescent="0.25">
      <c r="A471" s="15">
        <v>29</v>
      </c>
      <c r="B471" s="66"/>
      <c r="C471" s="66">
        <v>2429</v>
      </c>
      <c r="D471" s="66"/>
      <c r="E471" s="66" t="s">
        <v>763</v>
      </c>
      <c r="F471" s="66">
        <v>3</v>
      </c>
      <c r="G471" s="66"/>
      <c r="H471" s="66">
        <v>3</v>
      </c>
      <c r="I471" s="66" t="e">
        <v>#N/A</v>
      </c>
      <c r="J471" s="66" t="s">
        <v>870</v>
      </c>
      <c r="K471" s="66"/>
      <c r="L471" s="66"/>
      <c r="M471" s="66"/>
      <c r="N471" s="66"/>
      <c r="O471" s="66" t="s">
        <v>902</v>
      </c>
      <c r="P471" s="66"/>
      <c r="Q471" s="66">
        <v>1</v>
      </c>
      <c r="R471" s="66">
        <v>1073</v>
      </c>
      <c r="S471" s="66"/>
    </row>
    <row r="472" spans="1:19" x14ac:dyDescent="0.25">
      <c r="A472" s="15">
        <v>29</v>
      </c>
      <c r="B472" s="66"/>
      <c r="C472" s="66">
        <v>2429</v>
      </c>
      <c r="D472" s="66"/>
      <c r="E472" s="66" t="s">
        <v>763</v>
      </c>
      <c r="F472" s="66">
        <v>3</v>
      </c>
      <c r="G472" s="66"/>
      <c r="H472" s="66">
        <v>3</v>
      </c>
      <c r="I472" s="66" t="e">
        <v>#N/A</v>
      </c>
      <c r="J472" s="66" t="s">
        <v>870</v>
      </c>
      <c r="K472" s="66"/>
      <c r="L472" s="66"/>
      <c r="M472" s="66"/>
      <c r="N472" s="66"/>
      <c r="O472" s="66" t="s">
        <v>903</v>
      </c>
      <c r="P472" s="66"/>
      <c r="Q472" s="66">
        <v>1</v>
      </c>
      <c r="R472" s="66">
        <v>1074</v>
      </c>
      <c r="S472" s="66"/>
    </row>
    <row r="473" spans="1:19" x14ac:dyDescent="0.25">
      <c r="A473" s="15">
        <v>29</v>
      </c>
      <c r="B473" s="66"/>
      <c r="C473" s="66">
        <v>2429</v>
      </c>
      <c r="D473" s="66"/>
      <c r="E473" s="66" t="s">
        <v>763</v>
      </c>
      <c r="F473" s="66">
        <v>3</v>
      </c>
      <c r="G473" s="66"/>
      <c r="H473" s="66">
        <v>3</v>
      </c>
      <c r="I473" s="66" t="e">
        <v>#N/A</v>
      </c>
      <c r="J473" s="66" t="s">
        <v>870</v>
      </c>
      <c r="K473" s="66"/>
      <c r="L473" s="66"/>
      <c r="M473" s="66"/>
      <c r="N473" s="66"/>
      <c r="O473" s="66" t="s">
        <v>904</v>
      </c>
      <c r="P473" s="66"/>
      <c r="Q473" s="66">
        <v>1</v>
      </c>
      <c r="R473" s="66">
        <v>1075</v>
      </c>
      <c r="S473" s="66"/>
    </row>
    <row r="474" spans="1:19" x14ac:dyDescent="0.25">
      <c r="A474" s="15">
        <v>29</v>
      </c>
      <c r="B474" s="66"/>
      <c r="C474" s="66">
        <v>2429</v>
      </c>
      <c r="D474" s="66"/>
      <c r="E474" s="66" t="s">
        <v>763</v>
      </c>
      <c r="F474" s="66">
        <v>3</v>
      </c>
      <c r="G474" s="66"/>
      <c r="H474" s="66">
        <v>3</v>
      </c>
      <c r="I474" s="66" t="e">
        <v>#N/A</v>
      </c>
      <c r="J474" s="66" t="s">
        <v>870</v>
      </c>
      <c r="K474" s="66"/>
      <c r="L474" s="66"/>
      <c r="M474" s="66"/>
      <c r="N474" s="66"/>
      <c r="O474" s="66" t="s">
        <v>905</v>
      </c>
      <c r="P474" s="66"/>
      <c r="Q474" s="66">
        <v>1</v>
      </c>
      <c r="R474" s="66">
        <v>1076</v>
      </c>
      <c r="S474" s="66"/>
    </row>
    <row r="475" spans="1:19" x14ac:dyDescent="0.25">
      <c r="A475" s="15">
        <v>29</v>
      </c>
      <c r="B475" s="66"/>
      <c r="C475" s="66">
        <v>2429</v>
      </c>
      <c r="D475" s="66"/>
      <c r="E475" s="66" t="s">
        <v>763</v>
      </c>
      <c r="F475" s="66">
        <v>3</v>
      </c>
      <c r="G475" s="66"/>
      <c r="H475" s="66" t="e">
        <v>#N/A</v>
      </c>
      <c r="I475" s="66"/>
      <c r="J475" s="66" t="s">
        <v>870</v>
      </c>
      <c r="K475" s="66"/>
      <c r="L475" s="66"/>
      <c r="M475" s="66"/>
      <c r="N475" s="66"/>
      <c r="O475" s="66" t="s">
        <v>906</v>
      </c>
      <c r="P475" s="66"/>
      <c r="Q475" s="66">
        <v>1</v>
      </c>
      <c r="R475" s="66">
        <v>1270</v>
      </c>
      <c r="S475" s="66"/>
    </row>
    <row r="476" spans="1:19" x14ac:dyDescent="0.25">
      <c r="A476" s="15">
        <v>29</v>
      </c>
      <c r="B476" s="66"/>
      <c r="C476" s="66">
        <v>2429</v>
      </c>
      <c r="D476" s="66"/>
      <c r="E476" s="66" t="s">
        <v>763</v>
      </c>
      <c r="F476" s="66">
        <v>5</v>
      </c>
      <c r="G476" s="66"/>
      <c r="H476" s="66" t="e">
        <v>#N/A</v>
      </c>
      <c r="I476" s="66"/>
      <c r="J476" s="66" t="s">
        <v>870</v>
      </c>
      <c r="K476" s="66"/>
      <c r="L476" s="66"/>
      <c r="M476" s="66"/>
      <c r="N476" s="66"/>
      <c r="O476" s="66" t="s">
        <v>908</v>
      </c>
      <c r="P476" s="66"/>
      <c r="Q476" s="66">
        <v>1</v>
      </c>
      <c r="R476" s="66">
        <v>1359</v>
      </c>
      <c r="S476" s="66"/>
    </row>
    <row r="477" spans="1:19" x14ac:dyDescent="0.25">
      <c r="A477" s="15">
        <v>29</v>
      </c>
      <c r="B477" s="66"/>
      <c r="C477" s="66">
        <v>2429</v>
      </c>
      <c r="D477" s="66"/>
      <c r="E477" s="66" t="s">
        <v>763</v>
      </c>
      <c r="F477" s="66">
        <v>5</v>
      </c>
      <c r="G477" s="66"/>
      <c r="H477" s="66" t="e">
        <v>#N/A</v>
      </c>
      <c r="I477" s="66"/>
      <c r="J477" s="66" t="s">
        <v>870</v>
      </c>
      <c r="K477" s="66"/>
      <c r="L477" s="66"/>
      <c r="M477" s="66"/>
      <c r="N477" s="66"/>
      <c r="O477" s="66" t="s">
        <v>909</v>
      </c>
      <c r="P477" s="66"/>
      <c r="Q477" s="66">
        <v>1</v>
      </c>
      <c r="R477" s="66">
        <v>1360</v>
      </c>
      <c r="S477" s="66"/>
    </row>
    <row r="478" spans="1:19" x14ac:dyDescent="0.25">
      <c r="A478" s="15">
        <v>29</v>
      </c>
      <c r="B478" s="66"/>
      <c r="C478" s="66">
        <v>2429</v>
      </c>
      <c r="D478" s="66"/>
      <c r="E478" s="66" t="s">
        <v>763</v>
      </c>
      <c r="F478" s="66">
        <v>5</v>
      </c>
      <c r="G478" s="66"/>
      <c r="H478" s="66" t="e">
        <v>#N/A</v>
      </c>
      <c r="I478" s="66"/>
      <c r="J478" s="66" t="s">
        <v>870</v>
      </c>
      <c r="K478" s="66"/>
      <c r="L478" s="66"/>
      <c r="M478" s="66"/>
      <c r="N478" s="66"/>
      <c r="O478" s="66" t="s">
        <v>910</v>
      </c>
      <c r="P478" s="66"/>
      <c r="Q478" s="66">
        <v>1</v>
      </c>
      <c r="R478" s="66">
        <v>1361</v>
      </c>
      <c r="S478" s="66"/>
    </row>
    <row r="479" spans="1:19" x14ac:dyDescent="0.25">
      <c r="A479" s="15">
        <v>29</v>
      </c>
      <c r="B479" s="66"/>
      <c r="C479" s="66">
        <v>2429</v>
      </c>
      <c r="D479" s="66"/>
      <c r="E479" s="66" t="s">
        <v>763</v>
      </c>
      <c r="F479" s="66">
        <v>5</v>
      </c>
      <c r="G479" s="66"/>
      <c r="H479" s="66" t="e">
        <v>#N/A</v>
      </c>
      <c r="I479" s="66"/>
      <c r="J479" s="66" t="s">
        <v>870</v>
      </c>
      <c r="K479" s="66"/>
      <c r="L479" s="66"/>
      <c r="M479" s="66"/>
      <c r="N479" s="66"/>
      <c r="O479" s="66" t="s">
        <v>911</v>
      </c>
      <c r="P479" s="66"/>
      <c r="Q479" s="66">
        <v>1</v>
      </c>
      <c r="R479" s="66">
        <v>1362</v>
      </c>
      <c r="S479" s="66"/>
    </row>
    <row r="480" spans="1:19" x14ac:dyDescent="0.25">
      <c r="A480" s="15">
        <v>29</v>
      </c>
      <c r="B480" s="66"/>
      <c r="C480" s="66">
        <v>2429</v>
      </c>
      <c r="D480" s="66"/>
      <c r="E480" s="66" t="s">
        <v>763</v>
      </c>
      <c r="F480" s="66">
        <v>5</v>
      </c>
      <c r="G480" s="66"/>
      <c r="H480" s="66" t="e">
        <v>#N/A</v>
      </c>
      <c r="I480" s="66"/>
      <c r="J480" s="66" t="s">
        <v>870</v>
      </c>
      <c r="K480" s="66"/>
      <c r="L480" s="66"/>
      <c r="M480" s="66"/>
      <c r="N480" s="66"/>
      <c r="O480" s="66" t="s">
        <v>912</v>
      </c>
      <c r="P480" s="66"/>
      <c r="Q480" s="66">
        <v>1</v>
      </c>
      <c r="R480" s="66">
        <v>1363</v>
      </c>
      <c r="S480" s="66"/>
    </row>
    <row r="481" spans="1:19" x14ac:dyDescent="0.25">
      <c r="A481" s="15">
        <v>29</v>
      </c>
      <c r="B481" s="66"/>
      <c r="C481" s="66">
        <v>2429</v>
      </c>
      <c r="D481" s="66"/>
      <c r="E481" s="66" t="s">
        <v>763</v>
      </c>
      <c r="F481" s="66">
        <v>5</v>
      </c>
      <c r="G481" s="66"/>
      <c r="H481" s="66" t="e">
        <v>#N/A</v>
      </c>
      <c r="I481" s="66"/>
      <c r="J481" s="66" t="s">
        <v>870</v>
      </c>
      <c r="K481" s="66"/>
      <c r="L481" s="66"/>
      <c r="M481" s="66"/>
      <c r="N481" s="66"/>
      <c r="O481" s="66" t="s">
        <v>913</v>
      </c>
      <c r="P481" s="66"/>
      <c r="Q481" s="66">
        <v>1</v>
      </c>
      <c r="R481" s="66">
        <v>1364</v>
      </c>
      <c r="S481" s="66"/>
    </row>
    <row r="482" spans="1:19" x14ac:dyDescent="0.25">
      <c r="A482" s="15">
        <v>29</v>
      </c>
      <c r="B482" s="66"/>
      <c r="C482" s="66">
        <v>2429</v>
      </c>
      <c r="D482" s="66"/>
      <c r="E482" s="66" t="s">
        <v>763</v>
      </c>
      <c r="F482" s="66">
        <v>5</v>
      </c>
      <c r="G482" s="66"/>
      <c r="H482" s="66" t="e">
        <v>#N/A</v>
      </c>
      <c r="I482" s="66"/>
      <c r="J482" s="66" t="s">
        <v>870</v>
      </c>
      <c r="K482" s="66"/>
      <c r="L482" s="66"/>
      <c r="M482" s="66"/>
      <c r="N482" s="66"/>
      <c r="O482" s="66" t="s">
        <v>914</v>
      </c>
      <c r="P482" s="66"/>
      <c r="Q482" s="66">
        <v>1</v>
      </c>
      <c r="R482" s="66">
        <v>1365</v>
      </c>
      <c r="S482" s="66"/>
    </row>
    <row r="483" spans="1:19" x14ac:dyDescent="0.25">
      <c r="A483" s="15">
        <v>29</v>
      </c>
      <c r="B483" s="66"/>
      <c r="C483" s="66">
        <v>2429</v>
      </c>
      <c r="D483" s="66"/>
      <c r="E483" s="66" t="s">
        <v>763</v>
      </c>
      <c r="F483" s="66">
        <v>5</v>
      </c>
      <c r="G483" s="66"/>
      <c r="H483" s="66" t="e">
        <v>#N/A</v>
      </c>
      <c r="I483" s="66"/>
      <c r="J483" s="66" t="s">
        <v>870</v>
      </c>
      <c r="K483" s="66"/>
      <c r="L483" s="66"/>
      <c r="M483" s="66"/>
      <c r="N483" s="66"/>
      <c r="O483" s="66" t="s">
        <v>915</v>
      </c>
      <c r="P483" s="66"/>
      <c r="Q483" s="66">
        <v>1</v>
      </c>
      <c r="R483" s="66">
        <v>1366</v>
      </c>
      <c r="S483" s="66"/>
    </row>
    <row r="484" spans="1:19" x14ac:dyDescent="0.25">
      <c r="A484" s="15">
        <v>29</v>
      </c>
      <c r="B484" s="66"/>
      <c r="C484" s="66">
        <v>2429</v>
      </c>
      <c r="D484" s="66"/>
      <c r="E484" s="66" t="s">
        <v>763</v>
      </c>
      <c r="F484" s="66">
        <v>5</v>
      </c>
      <c r="G484" s="66"/>
      <c r="H484" s="66" t="e">
        <v>#N/A</v>
      </c>
      <c r="I484" s="66"/>
      <c r="J484" s="66" t="s">
        <v>870</v>
      </c>
      <c r="K484" s="66"/>
      <c r="L484" s="66"/>
      <c r="M484" s="66"/>
      <c r="N484" s="66"/>
      <c r="O484" s="66" t="s">
        <v>916</v>
      </c>
      <c r="P484" s="66"/>
      <c r="Q484" s="66">
        <v>1</v>
      </c>
      <c r="R484" s="66">
        <v>1367</v>
      </c>
      <c r="S484" s="66"/>
    </row>
    <row r="485" spans="1:19" x14ac:dyDescent="0.25">
      <c r="A485" s="15">
        <v>29</v>
      </c>
      <c r="B485" s="66"/>
      <c r="C485" s="66">
        <v>2429</v>
      </c>
      <c r="D485" s="66"/>
      <c r="E485" s="66" t="s">
        <v>763</v>
      </c>
      <c r="F485" s="66">
        <v>5</v>
      </c>
      <c r="G485" s="66"/>
      <c r="H485" s="66" t="e">
        <v>#N/A</v>
      </c>
      <c r="I485" s="66"/>
      <c r="J485" s="66" t="s">
        <v>870</v>
      </c>
      <c r="K485" s="66"/>
      <c r="L485" s="66"/>
      <c r="M485" s="66"/>
      <c r="N485" s="66"/>
      <c r="O485" s="66" t="s">
        <v>917</v>
      </c>
      <c r="P485" s="66"/>
      <c r="Q485" s="66">
        <v>1</v>
      </c>
      <c r="R485" s="66">
        <v>1368</v>
      </c>
      <c r="S485" s="66"/>
    </row>
    <row r="486" spans="1:19" x14ac:dyDescent="0.25">
      <c r="A486" s="15">
        <v>29</v>
      </c>
      <c r="B486" s="66"/>
      <c r="C486" s="66">
        <v>2429</v>
      </c>
      <c r="D486" s="66"/>
      <c r="E486" s="66" t="s">
        <v>763</v>
      </c>
      <c r="F486" s="66">
        <v>5</v>
      </c>
      <c r="G486" s="66"/>
      <c r="H486" s="66" t="e">
        <v>#N/A</v>
      </c>
      <c r="I486" s="66"/>
      <c r="J486" s="66" t="s">
        <v>870</v>
      </c>
      <c r="K486" s="66"/>
      <c r="L486" s="66"/>
      <c r="M486" s="66"/>
      <c r="N486" s="66"/>
      <c r="O486" s="66" t="s">
        <v>918</v>
      </c>
      <c r="P486" s="66"/>
      <c r="Q486" s="66">
        <v>1</v>
      </c>
      <c r="R486" s="66">
        <v>1369</v>
      </c>
      <c r="S486" s="66"/>
    </row>
    <row r="487" spans="1:19" x14ac:dyDescent="0.25">
      <c r="A487" s="15">
        <v>29</v>
      </c>
      <c r="B487" s="66"/>
      <c r="C487" s="66">
        <v>2429</v>
      </c>
      <c r="D487" s="66"/>
      <c r="E487" s="66" t="s">
        <v>763</v>
      </c>
      <c r="F487" s="66">
        <v>5</v>
      </c>
      <c r="G487" s="66"/>
      <c r="H487" s="66" t="e">
        <v>#N/A</v>
      </c>
      <c r="I487" s="66"/>
      <c r="J487" s="66" t="s">
        <v>870</v>
      </c>
      <c r="K487" s="66"/>
      <c r="L487" s="66"/>
      <c r="M487" s="66"/>
      <c r="N487" s="66"/>
      <c r="O487" s="66" t="s">
        <v>919</v>
      </c>
      <c r="P487" s="66"/>
      <c r="Q487" s="66">
        <v>1</v>
      </c>
      <c r="R487" s="66">
        <v>1370</v>
      </c>
      <c r="S487" s="66"/>
    </row>
    <row r="488" spans="1:19" x14ac:dyDescent="0.25">
      <c r="A488" s="15">
        <v>30</v>
      </c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</row>
    <row r="489" spans="1:19" x14ac:dyDescent="0.25">
      <c r="A489" s="15">
        <v>30</v>
      </c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 t="s">
        <v>787</v>
      </c>
      <c r="P489" s="66"/>
      <c r="Q489" s="66"/>
      <c r="R489" s="66"/>
      <c r="S489" s="66"/>
    </row>
    <row r="490" spans="1:19" x14ac:dyDescent="0.25">
      <c r="A490" s="15">
        <v>30</v>
      </c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 t="s">
        <v>837</v>
      </c>
      <c r="P490" s="66"/>
      <c r="Q490" s="66"/>
      <c r="R490" s="66"/>
      <c r="S490" s="66"/>
    </row>
    <row r="491" spans="1:19" x14ac:dyDescent="0.25">
      <c r="A491" s="15">
        <v>30</v>
      </c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 t="s">
        <v>845</v>
      </c>
      <c r="P491" s="66"/>
      <c r="Q491" s="66"/>
      <c r="R491" s="66"/>
      <c r="S491" s="66"/>
    </row>
    <row r="492" spans="1:19" x14ac:dyDescent="0.25">
      <c r="A492" s="15">
        <v>30</v>
      </c>
      <c r="B492" s="66"/>
      <c r="C492" s="66" t="s">
        <v>77</v>
      </c>
      <c r="D492" s="66"/>
      <c r="E492" s="66" t="s">
        <v>763</v>
      </c>
      <c r="F492" s="66">
        <v>8</v>
      </c>
      <c r="G492" s="66"/>
      <c r="H492" s="66">
        <v>10</v>
      </c>
      <c r="I492" s="66">
        <v>10.916666666666666</v>
      </c>
      <c r="J492" s="66" t="s">
        <v>850</v>
      </c>
      <c r="K492" s="66"/>
      <c r="L492" s="66"/>
      <c r="M492" s="66"/>
      <c r="N492" s="66"/>
      <c r="O492" s="66" t="s">
        <v>849</v>
      </c>
      <c r="P492" s="66"/>
      <c r="Q492" s="66">
        <v>1</v>
      </c>
      <c r="R492" s="66">
        <v>292</v>
      </c>
      <c r="S492" s="66"/>
    </row>
    <row r="493" spans="1:19" x14ac:dyDescent="0.25">
      <c r="A493" s="15">
        <v>30</v>
      </c>
      <c r="B493" s="66"/>
      <c r="C493" s="66">
        <v>2429</v>
      </c>
      <c r="D493" s="66"/>
      <c r="E493" s="66" t="s">
        <v>763</v>
      </c>
      <c r="F493" s="66">
        <v>8</v>
      </c>
      <c r="G493" s="66"/>
      <c r="H493" s="66"/>
      <c r="I493" s="66">
        <v>26.666666666666668</v>
      </c>
      <c r="J493" s="66" t="s">
        <v>850</v>
      </c>
      <c r="K493" s="66"/>
      <c r="L493" s="66"/>
      <c r="M493" s="66"/>
      <c r="N493" s="66"/>
      <c r="O493" s="66" t="s">
        <v>852</v>
      </c>
      <c r="P493" s="66"/>
      <c r="Q493" s="66">
        <v>1</v>
      </c>
      <c r="R493" s="66">
        <v>392</v>
      </c>
      <c r="S493" s="66"/>
    </row>
    <row r="494" spans="1:19" x14ac:dyDescent="0.25">
      <c r="A494" s="15">
        <v>30</v>
      </c>
      <c r="B494" s="66"/>
      <c r="C494" s="66">
        <v>2429</v>
      </c>
      <c r="D494" s="66"/>
      <c r="E494" s="66" t="s">
        <v>763</v>
      </c>
      <c r="F494" s="66">
        <v>8</v>
      </c>
      <c r="G494" s="66"/>
      <c r="H494" s="66"/>
      <c r="I494" s="66">
        <v>15.666666666666666</v>
      </c>
      <c r="J494" s="66" t="s">
        <v>850</v>
      </c>
      <c r="K494" s="66"/>
      <c r="L494" s="66"/>
      <c r="M494" s="66"/>
      <c r="N494" s="66"/>
      <c r="O494" s="66" t="s">
        <v>853</v>
      </c>
      <c r="P494" s="66"/>
      <c r="Q494" s="66">
        <v>1</v>
      </c>
      <c r="R494" s="66">
        <v>393</v>
      </c>
      <c r="S494" s="66"/>
    </row>
    <row r="495" spans="1:19" x14ac:dyDescent="0.25">
      <c r="A495" s="15">
        <v>30</v>
      </c>
      <c r="B495" s="66"/>
      <c r="C495" s="66">
        <v>2429</v>
      </c>
      <c r="D495" s="66"/>
      <c r="E495" s="66" t="s">
        <v>763</v>
      </c>
      <c r="F495" s="66">
        <v>8</v>
      </c>
      <c r="G495" s="66"/>
      <c r="H495" s="66"/>
      <c r="I495" s="66">
        <v>15.666666666666666</v>
      </c>
      <c r="J495" s="66" t="s">
        <v>850</v>
      </c>
      <c r="K495" s="66"/>
      <c r="L495" s="66"/>
      <c r="M495" s="66"/>
      <c r="N495" s="66"/>
      <c r="O495" s="66" t="s">
        <v>854</v>
      </c>
      <c r="P495" s="66"/>
      <c r="Q495" s="66">
        <v>1</v>
      </c>
      <c r="R495" s="66">
        <v>394</v>
      </c>
      <c r="S495" s="66"/>
    </row>
    <row r="496" spans="1:19" x14ac:dyDescent="0.25">
      <c r="A496" s="15">
        <v>30</v>
      </c>
      <c r="B496" s="66"/>
      <c r="C496" s="66">
        <v>2429</v>
      </c>
      <c r="D496" s="66"/>
      <c r="E496" s="66" t="s">
        <v>763</v>
      </c>
      <c r="F496" s="66">
        <v>8</v>
      </c>
      <c r="G496" s="66"/>
      <c r="H496" s="66"/>
      <c r="I496" s="66">
        <v>15.666666666666666</v>
      </c>
      <c r="J496" s="66" t="s">
        <v>850</v>
      </c>
      <c r="K496" s="66"/>
      <c r="L496" s="66"/>
      <c r="M496" s="66"/>
      <c r="N496" s="66"/>
      <c r="O496" s="66" t="s">
        <v>855</v>
      </c>
      <c r="P496" s="66"/>
      <c r="Q496" s="66">
        <v>1</v>
      </c>
      <c r="R496" s="66">
        <v>395</v>
      </c>
      <c r="S496" s="66"/>
    </row>
    <row r="497" spans="1:19" x14ac:dyDescent="0.25">
      <c r="A497" s="15">
        <v>30</v>
      </c>
      <c r="B497" s="66"/>
      <c r="C497" s="66">
        <v>2429</v>
      </c>
      <c r="D497" s="66"/>
      <c r="E497" s="66" t="s">
        <v>763</v>
      </c>
      <c r="F497" s="66">
        <v>8</v>
      </c>
      <c r="G497" s="66"/>
      <c r="H497" s="66"/>
      <c r="I497" s="66">
        <v>15.666666666666666</v>
      </c>
      <c r="J497" s="66" t="s">
        <v>850</v>
      </c>
      <c r="K497" s="66"/>
      <c r="L497" s="66"/>
      <c r="M497" s="66"/>
      <c r="N497" s="66"/>
      <c r="O497" s="66" t="s">
        <v>856</v>
      </c>
      <c r="P497" s="66"/>
      <c r="Q497" s="66">
        <v>1</v>
      </c>
      <c r="R497" s="66">
        <v>396</v>
      </c>
      <c r="S497" s="66"/>
    </row>
    <row r="498" spans="1:19" x14ac:dyDescent="0.25">
      <c r="A498" s="15">
        <v>30</v>
      </c>
      <c r="B498" s="66"/>
      <c r="C498" s="66">
        <v>2429</v>
      </c>
      <c r="D498" s="66"/>
      <c r="E498" s="66" t="s">
        <v>763</v>
      </c>
      <c r="F498" s="66">
        <v>8</v>
      </c>
      <c r="G498" s="66"/>
      <c r="H498" s="66"/>
      <c r="I498" s="66">
        <v>15.666666666666666</v>
      </c>
      <c r="J498" s="66" t="s">
        <v>850</v>
      </c>
      <c r="K498" s="66"/>
      <c r="L498" s="66"/>
      <c r="M498" s="66"/>
      <c r="N498" s="66"/>
      <c r="O498" s="66" t="s">
        <v>857</v>
      </c>
      <c r="P498" s="66"/>
      <c r="Q498" s="66">
        <v>1</v>
      </c>
      <c r="R498" s="66">
        <v>397</v>
      </c>
      <c r="S498" s="66"/>
    </row>
    <row r="499" spans="1:19" x14ac:dyDescent="0.25">
      <c r="A499" s="15">
        <v>30</v>
      </c>
      <c r="B499" s="66"/>
      <c r="C499" s="66">
        <v>2429</v>
      </c>
      <c r="D499" s="66"/>
      <c r="E499" s="66" t="s">
        <v>763</v>
      </c>
      <c r="F499" s="66">
        <v>8</v>
      </c>
      <c r="G499" s="66"/>
      <c r="H499" s="66"/>
      <c r="I499" s="66">
        <v>15.666666666666666</v>
      </c>
      <c r="J499" s="66" t="s">
        <v>850</v>
      </c>
      <c r="K499" s="66"/>
      <c r="L499" s="66"/>
      <c r="M499" s="66"/>
      <c r="N499" s="66"/>
      <c r="O499" s="66" t="s">
        <v>858</v>
      </c>
      <c r="P499" s="66"/>
      <c r="Q499" s="66">
        <v>1</v>
      </c>
      <c r="R499" s="66">
        <v>398</v>
      </c>
      <c r="S499" s="66"/>
    </row>
    <row r="500" spans="1:19" x14ac:dyDescent="0.25">
      <c r="A500" s="15">
        <v>30</v>
      </c>
      <c r="B500" s="66"/>
      <c r="C500" s="66">
        <v>2429</v>
      </c>
      <c r="D500" s="66"/>
      <c r="E500" s="66" t="s">
        <v>763</v>
      </c>
      <c r="F500" s="66">
        <v>8</v>
      </c>
      <c r="G500" s="66"/>
      <c r="H500" s="66"/>
      <c r="I500" s="66">
        <v>15.666666666666666</v>
      </c>
      <c r="J500" s="66" t="s">
        <v>850</v>
      </c>
      <c r="K500" s="66"/>
      <c r="L500" s="66"/>
      <c r="M500" s="66"/>
      <c r="N500" s="66"/>
      <c r="O500" s="66" t="s">
        <v>859</v>
      </c>
      <c r="P500" s="66"/>
      <c r="Q500" s="66">
        <v>1</v>
      </c>
      <c r="R500" s="66">
        <v>399</v>
      </c>
      <c r="S500" s="66"/>
    </row>
    <row r="501" spans="1:19" x14ac:dyDescent="0.25">
      <c r="A501" s="15">
        <v>30</v>
      </c>
      <c r="B501" s="66"/>
      <c r="C501" s="66">
        <v>2429</v>
      </c>
      <c r="D501" s="66"/>
      <c r="E501" s="66" t="s">
        <v>763</v>
      </c>
      <c r="F501" s="66">
        <v>8</v>
      </c>
      <c r="G501" s="66"/>
      <c r="H501" s="66"/>
      <c r="I501" s="66">
        <v>15.666666666666666</v>
      </c>
      <c r="J501" s="66" t="s">
        <v>850</v>
      </c>
      <c r="K501" s="66"/>
      <c r="L501" s="66"/>
      <c r="M501" s="66"/>
      <c r="N501" s="66"/>
      <c r="O501" s="66" t="s">
        <v>860</v>
      </c>
      <c r="P501" s="66"/>
      <c r="Q501" s="66">
        <v>1</v>
      </c>
      <c r="R501" s="66">
        <v>400</v>
      </c>
      <c r="S501" s="66"/>
    </row>
    <row r="502" spans="1:19" x14ac:dyDescent="0.25">
      <c r="A502" s="15">
        <v>30</v>
      </c>
      <c r="B502" s="66"/>
      <c r="C502" s="66">
        <v>2429</v>
      </c>
      <c r="D502" s="66"/>
      <c r="E502" s="66" t="s">
        <v>763</v>
      </c>
      <c r="F502" s="66">
        <v>8</v>
      </c>
      <c r="G502" s="66"/>
      <c r="H502" s="66"/>
      <c r="I502" s="66">
        <v>15.666666666666666</v>
      </c>
      <c r="J502" s="66" t="s">
        <v>850</v>
      </c>
      <c r="K502" s="66"/>
      <c r="L502" s="66"/>
      <c r="M502" s="66"/>
      <c r="N502" s="66"/>
      <c r="O502" s="66" t="s">
        <v>861</v>
      </c>
      <c r="P502" s="66"/>
      <c r="Q502" s="66">
        <v>1</v>
      </c>
      <c r="R502" s="66">
        <v>401</v>
      </c>
      <c r="S502" s="66"/>
    </row>
    <row r="503" spans="1:19" x14ac:dyDescent="0.25">
      <c r="A503" s="15">
        <v>30</v>
      </c>
      <c r="B503" s="66"/>
      <c r="C503" s="66">
        <v>2429</v>
      </c>
      <c r="D503" s="66"/>
      <c r="E503" s="66" t="s">
        <v>763</v>
      </c>
      <c r="F503" s="66">
        <v>8</v>
      </c>
      <c r="G503" s="66"/>
      <c r="H503" s="66"/>
      <c r="I503" s="66">
        <v>15.666666666666666</v>
      </c>
      <c r="J503" s="66" t="s">
        <v>850</v>
      </c>
      <c r="K503" s="66"/>
      <c r="L503" s="66"/>
      <c r="M503" s="66"/>
      <c r="N503" s="66"/>
      <c r="O503" s="66" t="s">
        <v>862</v>
      </c>
      <c r="P503" s="66"/>
      <c r="Q503" s="66">
        <v>1</v>
      </c>
      <c r="R503" s="66">
        <v>402</v>
      </c>
      <c r="S503" s="66"/>
    </row>
    <row r="504" spans="1:19" x14ac:dyDescent="0.25">
      <c r="A504" s="15">
        <v>30</v>
      </c>
      <c r="B504" s="66"/>
      <c r="C504" s="66">
        <v>2429</v>
      </c>
      <c r="D504" s="66"/>
      <c r="E504" s="66" t="s">
        <v>763</v>
      </c>
      <c r="F504" s="66">
        <v>12</v>
      </c>
      <c r="G504" s="66"/>
      <c r="H504" s="66"/>
      <c r="I504" s="66">
        <v>10.583333333333334</v>
      </c>
      <c r="J504" s="66" t="s">
        <v>850</v>
      </c>
      <c r="K504" s="66"/>
      <c r="L504" s="66"/>
      <c r="M504" s="66"/>
      <c r="N504" s="66"/>
      <c r="O504" s="66" t="s">
        <v>863</v>
      </c>
      <c r="P504" s="66"/>
      <c r="Q504" s="66">
        <v>1</v>
      </c>
      <c r="R504" s="66">
        <v>403</v>
      </c>
      <c r="S504" s="66"/>
    </row>
    <row r="505" spans="1:19" x14ac:dyDescent="0.25">
      <c r="A505" s="15">
        <v>30</v>
      </c>
      <c r="B505" s="66"/>
      <c r="C505" s="66">
        <v>2429</v>
      </c>
      <c r="D505" s="66"/>
      <c r="E505" s="66" t="s">
        <v>763</v>
      </c>
      <c r="F505" s="66">
        <v>1</v>
      </c>
      <c r="G505" s="66"/>
      <c r="H505" s="66" t="e">
        <v>#N/A</v>
      </c>
      <c r="I505" s="66"/>
      <c r="J505" s="66" t="s">
        <v>870</v>
      </c>
      <c r="K505" s="66" t="s">
        <v>757</v>
      </c>
      <c r="L505" s="66" t="s">
        <v>757</v>
      </c>
      <c r="M505" s="66" t="s">
        <v>757</v>
      </c>
      <c r="N505" s="66" t="s">
        <v>757</v>
      </c>
      <c r="O505" s="66" t="s">
        <v>869</v>
      </c>
      <c r="P505" s="66"/>
      <c r="Q505" s="66">
        <v>1</v>
      </c>
      <c r="R505" s="66">
        <v>624</v>
      </c>
      <c r="S505" s="66"/>
    </row>
    <row r="506" spans="1:19" x14ac:dyDescent="0.25">
      <c r="A506" s="15">
        <v>30</v>
      </c>
      <c r="B506" s="66"/>
      <c r="C506" s="66">
        <v>2429</v>
      </c>
      <c r="D506" s="66"/>
      <c r="E506" s="66" t="s">
        <v>763</v>
      </c>
      <c r="F506" s="66">
        <v>1</v>
      </c>
      <c r="G506" s="66"/>
      <c r="H506" s="66" t="e">
        <v>#N/A</v>
      </c>
      <c r="I506" s="66"/>
      <c r="J506" s="66" t="s">
        <v>870</v>
      </c>
      <c r="K506" s="66" t="s">
        <v>757</v>
      </c>
      <c r="L506" s="66" t="s">
        <v>757</v>
      </c>
      <c r="M506" s="66" t="s">
        <v>757</v>
      </c>
      <c r="N506" s="66" t="s">
        <v>757</v>
      </c>
      <c r="O506" s="66" t="s">
        <v>871</v>
      </c>
      <c r="P506" s="66"/>
      <c r="Q506" s="66">
        <v>1</v>
      </c>
      <c r="R506" s="66">
        <v>625</v>
      </c>
      <c r="S506" s="66"/>
    </row>
    <row r="507" spans="1:19" x14ac:dyDescent="0.25">
      <c r="A507" s="15">
        <v>30</v>
      </c>
      <c r="B507" s="66"/>
      <c r="C507" s="66">
        <v>2429</v>
      </c>
      <c r="D507" s="66"/>
      <c r="E507" s="66" t="s">
        <v>763</v>
      </c>
      <c r="F507" s="66">
        <v>1</v>
      </c>
      <c r="G507" s="66"/>
      <c r="H507" s="66" t="e">
        <v>#N/A</v>
      </c>
      <c r="I507" s="66"/>
      <c r="J507" s="66" t="s">
        <v>870</v>
      </c>
      <c r="K507" s="66" t="s">
        <v>757</v>
      </c>
      <c r="L507" s="66" t="s">
        <v>757</v>
      </c>
      <c r="M507" s="66" t="s">
        <v>757</v>
      </c>
      <c r="N507" s="66" t="s">
        <v>757</v>
      </c>
      <c r="O507" s="66" t="s">
        <v>872</v>
      </c>
      <c r="P507" s="66"/>
      <c r="Q507" s="66">
        <v>1</v>
      </c>
      <c r="R507" s="66">
        <v>626</v>
      </c>
      <c r="S507" s="66"/>
    </row>
    <row r="508" spans="1:19" x14ac:dyDescent="0.25">
      <c r="A508" s="15">
        <v>30</v>
      </c>
      <c r="B508" s="66"/>
      <c r="C508" s="66">
        <v>2429</v>
      </c>
      <c r="D508" s="66"/>
      <c r="E508" s="66" t="s">
        <v>763</v>
      </c>
      <c r="F508" s="66">
        <v>1</v>
      </c>
      <c r="G508" s="66"/>
      <c r="H508" s="66" t="e">
        <v>#N/A</v>
      </c>
      <c r="I508" s="66"/>
      <c r="J508" s="66" t="s">
        <v>870</v>
      </c>
      <c r="K508" s="66" t="s">
        <v>757</v>
      </c>
      <c r="L508" s="66" t="s">
        <v>757</v>
      </c>
      <c r="M508" s="66" t="s">
        <v>757</v>
      </c>
      <c r="N508" s="66" t="s">
        <v>757</v>
      </c>
      <c r="O508" s="66" t="s">
        <v>873</v>
      </c>
      <c r="P508" s="66"/>
      <c r="Q508" s="66">
        <v>1</v>
      </c>
      <c r="R508" s="66">
        <v>627</v>
      </c>
      <c r="S508" s="66"/>
    </row>
    <row r="509" spans="1:19" x14ac:dyDescent="0.25">
      <c r="A509" s="15">
        <v>30</v>
      </c>
      <c r="B509" s="66"/>
      <c r="C509" s="66">
        <v>2429</v>
      </c>
      <c r="D509" s="66"/>
      <c r="E509" s="66" t="s">
        <v>763</v>
      </c>
      <c r="F509" s="66">
        <v>1</v>
      </c>
      <c r="G509" s="66"/>
      <c r="H509" s="66" t="e">
        <v>#N/A</v>
      </c>
      <c r="I509" s="66"/>
      <c r="J509" s="66" t="s">
        <v>870</v>
      </c>
      <c r="K509" s="66" t="s">
        <v>757</v>
      </c>
      <c r="L509" s="66" t="s">
        <v>757</v>
      </c>
      <c r="M509" s="66" t="s">
        <v>757</v>
      </c>
      <c r="N509" s="66" t="s">
        <v>757</v>
      </c>
      <c r="O509" s="66" t="s">
        <v>874</v>
      </c>
      <c r="P509" s="66"/>
      <c r="Q509" s="66">
        <v>1</v>
      </c>
      <c r="R509" s="66">
        <v>628</v>
      </c>
      <c r="S509" s="66"/>
    </row>
    <row r="510" spans="1:19" x14ac:dyDescent="0.25">
      <c r="A510" s="15">
        <v>30</v>
      </c>
      <c r="B510" s="66"/>
      <c r="C510" s="66">
        <v>2429</v>
      </c>
      <c r="D510" s="66"/>
      <c r="E510" s="66" t="s">
        <v>763</v>
      </c>
      <c r="F510" s="66">
        <v>1</v>
      </c>
      <c r="G510" s="66"/>
      <c r="H510" s="66" t="e">
        <v>#N/A</v>
      </c>
      <c r="I510" s="66"/>
      <c r="J510" s="66" t="s">
        <v>870</v>
      </c>
      <c r="K510" s="66" t="s">
        <v>757</v>
      </c>
      <c r="L510" s="66" t="s">
        <v>757</v>
      </c>
      <c r="M510" s="66" t="s">
        <v>757</v>
      </c>
      <c r="N510" s="66" t="s">
        <v>757</v>
      </c>
      <c r="O510" s="66" t="s">
        <v>875</v>
      </c>
      <c r="P510" s="66"/>
      <c r="Q510" s="66">
        <v>1</v>
      </c>
      <c r="R510" s="66">
        <v>629</v>
      </c>
      <c r="S510" s="66"/>
    </row>
    <row r="511" spans="1:19" x14ac:dyDescent="0.25">
      <c r="A511" s="15">
        <v>30</v>
      </c>
      <c r="B511" s="66"/>
      <c r="C511" s="66">
        <v>2429</v>
      </c>
      <c r="D511" s="66"/>
      <c r="E511" s="66" t="s">
        <v>763</v>
      </c>
      <c r="F511" s="66">
        <v>1</v>
      </c>
      <c r="G511" s="66"/>
      <c r="H511" s="66" t="e">
        <v>#N/A</v>
      </c>
      <c r="I511" s="66"/>
      <c r="J511" s="66" t="s">
        <v>870</v>
      </c>
      <c r="K511" s="66" t="s">
        <v>757</v>
      </c>
      <c r="L511" s="66" t="s">
        <v>757</v>
      </c>
      <c r="M511" s="66" t="s">
        <v>757</v>
      </c>
      <c r="N511" s="66" t="s">
        <v>757</v>
      </c>
      <c r="O511" s="66" t="s">
        <v>876</v>
      </c>
      <c r="P511" s="66"/>
      <c r="Q511" s="66">
        <v>1</v>
      </c>
      <c r="R511" s="66">
        <v>630</v>
      </c>
      <c r="S511" s="66"/>
    </row>
    <row r="512" spans="1:19" x14ac:dyDescent="0.25">
      <c r="A512" s="15">
        <v>30</v>
      </c>
      <c r="B512" s="66"/>
      <c r="C512" s="66">
        <v>2429</v>
      </c>
      <c r="D512" s="66"/>
      <c r="E512" s="66" t="s">
        <v>763</v>
      </c>
      <c r="F512" s="66">
        <v>1</v>
      </c>
      <c r="G512" s="66"/>
      <c r="H512" s="66" t="e">
        <v>#N/A</v>
      </c>
      <c r="I512" s="66"/>
      <c r="J512" s="66" t="s">
        <v>870</v>
      </c>
      <c r="K512" s="66" t="s">
        <v>757</v>
      </c>
      <c r="L512" s="66" t="s">
        <v>757</v>
      </c>
      <c r="M512" s="66" t="s">
        <v>757</v>
      </c>
      <c r="N512" s="66" t="s">
        <v>757</v>
      </c>
      <c r="O512" s="66" t="s">
        <v>877</v>
      </c>
      <c r="P512" s="66"/>
      <c r="Q512" s="66">
        <v>1</v>
      </c>
      <c r="R512" s="66">
        <v>631</v>
      </c>
      <c r="S512" s="66"/>
    </row>
    <row r="513" spans="1:19" x14ac:dyDescent="0.25">
      <c r="A513" s="15">
        <v>30</v>
      </c>
      <c r="B513" s="66"/>
      <c r="C513" s="66">
        <v>2429</v>
      </c>
      <c r="D513" s="66"/>
      <c r="E513" s="66" t="s">
        <v>763</v>
      </c>
      <c r="F513" s="66">
        <v>1</v>
      </c>
      <c r="G513" s="66"/>
      <c r="H513" s="66" t="e">
        <v>#N/A</v>
      </c>
      <c r="I513" s="66"/>
      <c r="J513" s="66" t="s">
        <v>870</v>
      </c>
      <c r="K513" s="66" t="s">
        <v>757</v>
      </c>
      <c r="L513" s="66" t="s">
        <v>757</v>
      </c>
      <c r="M513" s="66" t="s">
        <v>757</v>
      </c>
      <c r="N513" s="66" t="s">
        <v>757</v>
      </c>
      <c r="O513" s="66" t="s">
        <v>878</v>
      </c>
      <c r="P513" s="66"/>
      <c r="Q513" s="66">
        <v>1</v>
      </c>
      <c r="R513" s="66">
        <v>632</v>
      </c>
      <c r="S513" s="66"/>
    </row>
    <row r="514" spans="1:19" x14ac:dyDescent="0.25">
      <c r="A514" s="15">
        <v>30</v>
      </c>
      <c r="B514" s="66"/>
      <c r="C514" s="66">
        <v>2429</v>
      </c>
      <c r="D514" s="66"/>
      <c r="E514" s="66" t="s">
        <v>763</v>
      </c>
      <c r="F514" s="66">
        <v>1</v>
      </c>
      <c r="G514" s="66"/>
      <c r="H514" s="66" t="e">
        <v>#N/A</v>
      </c>
      <c r="I514" s="66"/>
      <c r="J514" s="66" t="s">
        <v>870</v>
      </c>
      <c r="K514" s="66" t="s">
        <v>757</v>
      </c>
      <c r="L514" s="66" t="s">
        <v>757</v>
      </c>
      <c r="M514" s="66" t="s">
        <v>757</v>
      </c>
      <c r="N514" s="66" t="s">
        <v>757</v>
      </c>
      <c r="O514" s="66" t="s">
        <v>879</v>
      </c>
      <c r="P514" s="66"/>
      <c r="Q514" s="66">
        <v>1</v>
      </c>
      <c r="R514" s="66">
        <v>633</v>
      </c>
      <c r="S514" s="66"/>
    </row>
    <row r="515" spans="1:19" x14ac:dyDescent="0.25">
      <c r="A515" s="15">
        <v>30</v>
      </c>
      <c r="B515" s="66"/>
      <c r="C515" s="66">
        <v>2429</v>
      </c>
      <c r="D515" s="66"/>
      <c r="E515" s="66" t="s">
        <v>763</v>
      </c>
      <c r="F515" s="66">
        <v>1</v>
      </c>
      <c r="G515" s="66"/>
      <c r="H515" s="66" t="e">
        <v>#N/A</v>
      </c>
      <c r="I515" s="66"/>
      <c r="J515" s="66" t="s">
        <v>870</v>
      </c>
      <c r="K515" s="66" t="s">
        <v>757</v>
      </c>
      <c r="L515" s="66" t="s">
        <v>757</v>
      </c>
      <c r="M515" s="66" t="s">
        <v>757</v>
      </c>
      <c r="N515" s="66" t="s">
        <v>757</v>
      </c>
      <c r="O515" s="66" t="s">
        <v>880</v>
      </c>
      <c r="P515" s="66"/>
      <c r="Q515" s="66">
        <v>1</v>
      </c>
      <c r="R515" s="66">
        <v>634</v>
      </c>
      <c r="S515" s="66"/>
    </row>
    <row r="516" spans="1:19" x14ac:dyDescent="0.25">
      <c r="A516" s="15">
        <v>30</v>
      </c>
      <c r="B516" s="66"/>
      <c r="C516" s="66">
        <v>2429</v>
      </c>
      <c r="D516" s="66"/>
      <c r="E516" s="66" t="s">
        <v>763</v>
      </c>
      <c r="F516" s="66">
        <v>1</v>
      </c>
      <c r="G516" s="66"/>
      <c r="H516" s="66" t="e">
        <v>#N/A</v>
      </c>
      <c r="I516" s="66"/>
      <c r="J516" s="66" t="s">
        <v>870</v>
      </c>
      <c r="K516" s="66" t="s">
        <v>757</v>
      </c>
      <c r="L516" s="66" t="s">
        <v>757</v>
      </c>
      <c r="M516" s="66" t="s">
        <v>757</v>
      </c>
      <c r="N516" s="66" t="s">
        <v>757</v>
      </c>
      <c r="O516" s="66" t="s">
        <v>881</v>
      </c>
      <c r="P516" s="66"/>
      <c r="Q516" s="66">
        <v>1</v>
      </c>
      <c r="R516" s="66">
        <v>635</v>
      </c>
      <c r="S516" s="66"/>
    </row>
    <row r="517" spans="1:19" x14ac:dyDescent="0.25">
      <c r="A517" s="15">
        <v>30</v>
      </c>
      <c r="B517" s="66"/>
      <c r="C517" s="66">
        <v>2429</v>
      </c>
      <c r="D517" s="66"/>
      <c r="E517" s="66" t="s">
        <v>763</v>
      </c>
      <c r="F517" s="66">
        <v>0</v>
      </c>
      <c r="G517" s="66"/>
      <c r="H517" s="66">
        <v>3</v>
      </c>
      <c r="I517" s="66" t="e">
        <v>#N/A</v>
      </c>
      <c r="J517" s="66" t="s">
        <v>870</v>
      </c>
      <c r="K517" s="66"/>
      <c r="L517" s="66"/>
      <c r="M517" s="66"/>
      <c r="N517" s="66"/>
      <c r="O517" s="66" t="s">
        <v>882</v>
      </c>
      <c r="P517" s="66"/>
      <c r="Q517" s="66">
        <v>1</v>
      </c>
      <c r="R517" s="66">
        <v>851</v>
      </c>
      <c r="S517" s="66"/>
    </row>
    <row r="518" spans="1:19" x14ac:dyDescent="0.25">
      <c r="A518" s="15">
        <v>30</v>
      </c>
      <c r="B518" s="66"/>
      <c r="C518" s="66">
        <v>2429</v>
      </c>
      <c r="D518" s="66"/>
      <c r="E518" s="66" t="s">
        <v>763</v>
      </c>
      <c r="F518" s="66">
        <v>0</v>
      </c>
      <c r="G518" s="66"/>
      <c r="H518" s="66">
        <v>3</v>
      </c>
      <c r="I518" s="66" t="e">
        <v>#N/A</v>
      </c>
      <c r="J518" s="66" t="s">
        <v>870</v>
      </c>
      <c r="K518" s="66"/>
      <c r="L518" s="66"/>
      <c r="M518" s="66"/>
      <c r="N518" s="66"/>
      <c r="O518" s="66" t="s">
        <v>883</v>
      </c>
      <c r="P518" s="66"/>
      <c r="Q518" s="66">
        <v>1</v>
      </c>
      <c r="R518" s="66">
        <v>852</v>
      </c>
      <c r="S518" s="66"/>
    </row>
    <row r="519" spans="1:19" x14ac:dyDescent="0.25">
      <c r="A519" s="15">
        <v>30</v>
      </c>
      <c r="B519" s="66"/>
      <c r="C519" s="66">
        <v>2429</v>
      </c>
      <c r="D519" s="66"/>
      <c r="E519" s="66" t="s">
        <v>763</v>
      </c>
      <c r="F519" s="66">
        <v>0</v>
      </c>
      <c r="G519" s="66"/>
      <c r="H519" s="66">
        <v>3</v>
      </c>
      <c r="I519" s="66" t="e">
        <v>#N/A</v>
      </c>
      <c r="J519" s="66" t="s">
        <v>870</v>
      </c>
      <c r="K519" s="66"/>
      <c r="L519" s="66"/>
      <c r="M519" s="66"/>
      <c r="N519" s="66"/>
      <c r="O519" s="66" t="s">
        <v>884</v>
      </c>
      <c r="P519" s="66"/>
      <c r="Q519" s="66">
        <v>1</v>
      </c>
      <c r="R519" s="66">
        <v>853</v>
      </c>
      <c r="S519" s="66"/>
    </row>
    <row r="520" spans="1:19" x14ac:dyDescent="0.25">
      <c r="A520" s="15">
        <v>30</v>
      </c>
      <c r="B520" s="66"/>
      <c r="C520" s="66">
        <v>2429</v>
      </c>
      <c r="D520" s="66"/>
      <c r="E520" s="66" t="s">
        <v>763</v>
      </c>
      <c r="F520" s="66">
        <v>0</v>
      </c>
      <c r="G520" s="66"/>
      <c r="H520" s="66">
        <v>3</v>
      </c>
      <c r="I520" s="66" t="e">
        <v>#N/A</v>
      </c>
      <c r="J520" s="66" t="s">
        <v>870</v>
      </c>
      <c r="K520" s="66"/>
      <c r="L520" s="66"/>
      <c r="M520" s="66"/>
      <c r="N520" s="66"/>
      <c r="O520" s="66" t="s">
        <v>885</v>
      </c>
      <c r="P520" s="66"/>
      <c r="Q520" s="66">
        <v>1</v>
      </c>
      <c r="R520" s="66">
        <v>854</v>
      </c>
      <c r="S520" s="66"/>
    </row>
    <row r="521" spans="1:19" x14ac:dyDescent="0.25">
      <c r="A521" s="15">
        <v>30</v>
      </c>
      <c r="B521" s="66"/>
      <c r="C521" s="66">
        <v>2429</v>
      </c>
      <c r="D521" s="66"/>
      <c r="E521" s="66" t="s">
        <v>763</v>
      </c>
      <c r="F521" s="66">
        <v>0</v>
      </c>
      <c r="G521" s="66"/>
      <c r="H521" s="66">
        <v>3</v>
      </c>
      <c r="I521" s="66" t="e">
        <v>#N/A</v>
      </c>
      <c r="J521" s="66" t="s">
        <v>870</v>
      </c>
      <c r="K521" s="66"/>
      <c r="L521" s="66"/>
      <c r="M521" s="66"/>
      <c r="N521" s="66"/>
      <c r="O521" s="66" t="s">
        <v>886</v>
      </c>
      <c r="P521" s="66"/>
      <c r="Q521" s="66">
        <v>1</v>
      </c>
      <c r="R521" s="66">
        <v>855</v>
      </c>
      <c r="S521" s="66"/>
    </row>
    <row r="522" spans="1:19" x14ac:dyDescent="0.25">
      <c r="A522" s="15">
        <v>30</v>
      </c>
      <c r="B522" s="66"/>
      <c r="C522" s="66">
        <v>2429</v>
      </c>
      <c r="D522" s="66"/>
      <c r="E522" s="66" t="s">
        <v>763</v>
      </c>
      <c r="F522" s="66">
        <v>0</v>
      </c>
      <c r="G522" s="66"/>
      <c r="H522" s="66">
        <v>3</v>
      </c>
      <c r="I522" s="66" t="e">
        <v>#N/A</v>
      </c>
      <c r="J522" s="66" t="s">
        <v>870</v>
      </c>
      <c r="K522" s="66"/>
      <c r="L522" s="66"/>
      <c r="M522" s="66"/>
      <c r="N522" s="66"/>
      <c r="O522" s="66" t="s">
        <v>887</v>
      </c>
      <c r="P522" s="66"/>
      <c r="Q522" s="66">
        <v>1</v>
      </c>
      <c r="R522" s="66">
        <v>856</v>
      </c>
      <c r="S522" s="66"/>
    </row>
    <row r="523" spans="1:19" x14ac:dyDescent="0.25">
      <c r="A523" s="15">
        <v>30</v>
      </c>
      <c r="B523" s="66"/>
      <c r="C523" s="66">
        <v>2429</v>
      </c>
      <c r="D523" s="66"/>
      <c r="E523" s="66" t="s">
        <v>763</v>
      </c>
      <c r="F523" s="66">
        <v>0</v>
      </c>
      <c r="G523" s="66"/>
      <c r="H523" s="66">
        <v>3</v>
      </c>
      <c r="I523" s="66" t="e">
        <v>#N/A</v>
      </c>
      <c r="J523" s="66" t="s">
        <v>870</v>
      </c>
      <c r="K523" s="66"/>
      <c r="L523" s="66"/>
      <c r="M523" s="66"/>
      <c r="N523" s="66"/>
      <c r="O523" s="66" t="s">
        <v>888</v>
      </c>
      <c r="P523" s="66"/>
      <c r="Q523" s="66">
        <v>1</v>
      </c>
      <c r="R523" s="66">
        <v>857</v>
      </c>
      <c r="S523" s="66"/>
    </row>
    <row r="524" spans="1:19" x14ac:dyDescent="0.25">
      <c r="A524" s="15">
        <v>30</v>
      </c>
      <c r="B524" s="66"/>
      <c r="C524" s="66">
        <v>2429</v>
      </c>
      <c r="D524" s="66"/>
      <c r="E524" s="66" t="s">
        <v>763</v>
      </c>
      <c r="F524" s="66">
        <v>0</v>
      </c>
      <c r="G524" s="66"/>
      <c r="H524" s="66">
        <v>3</v>
      </c>
      <c r="I524" s="66" t="e">
        <v>#N/A</v>
      </c>
      <c r="J524" s="66" t="s">
        <v>870</v>
      </c>
      <c r="K524" s="66"/>
      <c r="L524" s="66"/>
      <c r="M524" s="66"/>
      <c r="N524" s="66"/>
      <c r="O524" s="66" t="s">
        <v>889</v>
      </c>
      <c r="P524" s="66"/>
      <c r="Q524" s="66">
        <v>1</v>
      </c>
      <c r="R524" s="66">
        <v>858</v>
      </c>
      <c r="S524" s="66"/>
    </row>
    <row r="525" spans="1:19" x14ac:dyDescent="0.25">
      <c r="A525" s="15">
        <v>30</v>
      </c>
      <c r="B525" s="66"/>
      <c r="C525" s="66">
        <v>2429</v>
      </c>
      <c r="D525" s="66"/>
      <c r="E525" s="66" t="s">
        <v>763</v>
      </c>
      <c r="F525" s="66">
        <v>0</v>
      </c>
      <c r="G525" s="66"/>
      <c r="H525" s="66">
        <v>3</v>
      </c>
      <c r="I525" s="66" t="e">
        <v>#N/A</v>
      </c>
      <c r="J525" s="66" t="s">
        <v>870</v>
      </c>
      <c r="K525" s="66"/>
      <c r="L525" s="66"/>
      <c r="M525" s="66"/>
      <c r="N525" s="66"/>
      <c r="O525" s="66" t="s">
        <v>890</v>
      </c>
      <c r="P525" s="66"/>
      <c r="Q525" s="66">
        <v>1</v>
      </c>
      <c r="R525" s="66">
        <v>859</v>
      </c>
      <c r="S525" s="66"/>
    </row>
    <row r="526" spans="1:19" x14ac:dyDescent="0.25">
      <c r="A526" s="15">
        <v>30</v>
      </c>
      <c r="B526" s="66"/>
      <c r="C526" s="66">
        <v>2429</v>
      </c>
      <c r="D526" s="66"/>
      <c r="E526" s="66" t="s">
        <v>763</v>
      </c>
      <c r="F526" s="66">
        <v>0</v>
      </c>
      <c r="G526" s="66"/>
      <c r="H526" s="66">
        <v>3</v>
      </c>
      <c r="I526" s="66" t="e">
        <v>#N/A</v>
      </c>
      <c r="J526" s="66" t="s">
        <v>870</v>
      </c>
      <c r="K526" s="66"/>
      <c r="L526" s="66"/>
      <c r="M526" s="66"/>
      <c r="N526" s="66"/>
      <c r="O526" s="66" t="s">
        <v>891</v>
      </c>
      <c r="P526" s="66"/>
      <c r="Q526" s="66">
        <v>1</v>
      </c>
      <c r="R526" s="66">
        <v>860</v>
      </c>
      <c r="S526" s="66"/>
    </row>
    <row r="527" spans="1:19" x14ac:dyDescent="0.25">
      <c r="A527" s="15">
        <v>30</v>
      </c>
      <c r="B527" s="66"/>
      <c r="C527" s="66">
        <v>2429</v>
      </c>
      <c r="D527" s="66"/>
      <c r="E527" s="66" t="s">
        <v>763</v>
      </c>
      <c r="F527" s="66">
        <v>0</v>
      </c>
      <c r="G527" s="66"/>
      <c r="H527" s="66">
        <v>3</v>
      </c>
      <c r="I527" s="66" t="e">
        <v>#N/A</v>
      </c>
      <c r="J527" s="66" t="s">
        <v>870</v>
      </c>
      <c r="K527" s="66"/>
      <c r="L527" s="66"/>
      <c r="M527" s="66"/>
      <c r="N527" s="66"/>
      <c r="O527" s="66" t="s">
        <v>892</v>
      </c>
      <c r="P527" s="66"/>
      <c r="Q527" s="66">
        <v>1</v>
      </c>
      <c r="R527" s="66">
        <v>861</v>
      </c>
      <c r="S527" s="66"/>
    </row>
    <row r="528" spans="1:19" x14ac:dyDescent="0.25">
      <c r="A528" s="15">
        <v>30</v>
      </c>
      <c r="B528" s="66"/>
      <c r="C528" s="66">
        <v>2429</v>
      </c>
      <c r="D528" s="66"/>
      <c r="E528" s="66" t="s">
        <v>763</v>
      </c>
      <c r="F528" s="66">
        <v>0</v>
      </c>
      <c r="G528" s="66"/>
      <c r="H528" s="66">
        <v>3</v>
      </c>
      <c r="I528" s="66" t="e">
        <v>#N/A</v>
      </c>
      <c r="J528" s="66" t="s">
        <v>870</v>
      </c>
      <c r="K528" s="66"/>
      <c r="L528" s="66"/>
      <c r="M528" s="66"/>
      <c r="N528" s="66"/>
      <c r="O528" s="66" t="s">
        <v>893</v>
      </c>
      <c r="P528" s="66"/>
      <c r="Q528" s="66">
        <v>1</v>
      </c>
      <c r="R528" s="66">
        <v>862</v>
      </c>
      <c r="S528" s="66"/>
    </row>
    <row r="529" spans="1:19" x14ac:dyDescent="0.25">
      <c r="A529" s="15">
        <v>30</v>
      </c>
      <c r="B529" s="66"/>
      <c r="C529" s="66">
        <v>2429</v>
      </c>
      <c r="D529" s="66"/>
      <c r="E529" s="66" t="s">
        <v>763</v>
      </c>
      <c r="F529" s="66">
        <v>3</v>
      </c>
      <c r="G529" s="66"/>
      <c r="H529" s="66">
        <v>3</v>
      </c>
      <c r="I529" s="66" t="e">
        <v>#N/A</v>
      </c>
      <c r="J529" s="66" t="s">
        <v>870</v>
      </c>
      <c r="K529" s="66"/>
      <c r="L529" s="66"/>
      <c r="M529" s="66"/>
      <c r="N529" s="66"/>
      <c r="O529" s="66" t="s">
        <v>894</v>
      </c>
      <c r="P529" s="66"/>
      <c r="Q529" s="66">
        <v>1</v>
      </c>
      <c r="R529" s="66">
        <v>1078</v>
      </c>
      <c r="S529" s="66"/>
    </row>
    <row r="530" spans="1:19" x14ac:dyDescent="0.25">
      <c r="A530" s="15">
        <v>30</v>
      </c>
      <c r="B530" s="66"/>
      <c r="C530" s="66">
        <v>2429</v>
      </c>
      <c r="D530" s="66"/>
      <c r="E530" s="66" t="s">
        <v>763</v>
      </c>
      <c r="F530" s="66">
        <v>3</v>
      </c>
      <c r="G530" s="66"/>
      <c r="H530" s="66">
        <v>3</v>
      </c>
      <c r="I530" s="66" t="e">
        <v>#N/A</v>
      </c>
      <c r="J530" s="66" t="s">
        <v>870</v>
      </c>
      <c r="K530" s="66"/>
      <c r="L530" s="66"/>
      <c r="M530" s="66"/>
      <c r="N530" s="66"/>
      <c r="O530" s="66" t="s">
        <v>895</v>
      </c>
      <c r="P530" s="66"/>
      <c r="Q530" s="66">
        <v>1</v>
      </c>
      <c r="R530" s="66">
        <v>1079</v>
      </c>
      <c r="S530" s="66"/>
    </row>
    <row r="531" spans="1:19" x14ac:dyDescent="0.25">
      <c r="A531" s="15">
        <v>30</v>
      </c>
      <c r="B531" s="66"/>
      <c r="C531" s="66">
        <v>2429</v>
      </c>
      <c r="D531" s="66"/>
      <c r="E531" s="66" t="s">
        <v>763</v>
      </c>
      <c r="F531" s="66">
        <v>3</v>
      </c>
      <c r="G531" s="66"/>
      <c r="H531" s="66">
        <v>3</v>
      </c>
      <c r="I531" s="66" t="e">
        <v>#N/A</v>
      </c>
      <c r="J531" s="66" t="s">
        <v>870</v>
      </c>
      <c r="K531" s="66"/>
      <c r="L531" s="66"/>
      <c r="M531" s="66"/>
      <c r="N531" s="66"/>
      <c r="O531" s="66" t="s">
        <v>896</v>
      </c>
      <c r="P531" s="66"/>
      <c r="Q531" s="66">
        <v>1</v>
      </c>
      <c r="R531" s="66">
        <v>1080</v>
      </c>
      <c r="S531" s="66"/>
    </row>
    <row r="532" spans="1:19" x14ac:dyDescent="0.25">
      <c r="A532" s="15">
        <v>30</v>
      </c>
      <c r="B532" s="66"/>
      <c r="C532" s="66">
        <v>2429</v>
      </c>
      <c r="D532" s="66"/>
      <c r="E532" s="66" t="s">
        <v>763</v>
      </c>
      <c r="F532" s="66">
        <v>3</v>
      </c>
      <c r="G532" s="66"/>
      <c r="H532" s="66">
        <v>3</v>
      </c>
      <c r="I532" s="66" t="e">
        <v>#N/A</v>
      </c>
      <c r="J532" s="66" t="s">
        <v>870</v>
      </c>
      <c r="K532" s="66"/>
      <c r="L532" s="66"/>
      <c r="M532" s="66"/>
      <c r="N532" s="66"/>
      <c r="O532" s="66" t="s">
        <v>897</v>
      </c>
      <c r="P532" s="66"/>
      <c r="Q532" s="66">
        <v>1</v>
      </c>
      <c r="R532" s="66">
        <v>1081</v>
      </c>
      <c r="S532" s="66"/>
    </row>
    <row r="533" spans="1:19" x14ac:dyDescent="0.25">
      <c r="A533" s="15">
        <v>30</v>
      </c>
      <c r="B533" s="66"/>
      <c r="C533" s="66">
        <v>2429</v>
      </c>
      <c r="D533" s="66"/>
      <c r="E533" s="66" t="s">
        <v>763</v>
      </c>
      <c r="F533" s="66">
        <v>3</v>
      </c>
      <c r="G533" s="66"/>
      <c r="H533" s="66">
        <v>3</v>
      </c>
      <c r="I533" s="66" t="e">
        <v>#N/A</v>
      </c>
      <c r="J533" s="66" t="s">
        <v>870</v>
      </c>
      <c r="K533" s="66"/>
      <c r="L533" s="66"/>
      <c r="M533" s="66"/>
      <c r="N533" s="66"/>
      <c r="O533" s="66" t="s">
        <v>898</v>
      </c>
      <c r="P533" s="66"/>
      <c r="Q533" s="66">
        <v>1</v>
      </c>
      <c r="R533" s="66">
        <v>1082</v>
      </c>
      <c r="S533" s="66"/>
    </row>
    <row r="534" spans="1:19" x14ac:dyDescent="0.25">
      <c r="A534" s="15">
        <v>30</v>
      </c>
      <c r="B534" s="66"/>
      <c r="C534" s="66">
        <v>2429</v>
      </c>
      <c r="D534" s="66"/>
      <c r="E534" s="66" t="s">
        <v>763</v>
      </c>
      <c r="F534" s="66">
        <v>3</v>
      </c>
      <c r="G534" s="66"/>
      <c r="H534" s="66">
        <v>3</v>
      </c>
      <c r="I534" s="66" t="e">
        <v>#N/A</v>
      </c>
      <c r="J534" s="66" t="s">
        <v>870</v>
      </c>
      <c r="K534" s="66"/>
      <c r="L534" s="66"/>
      <c r="M534" s="66"/>
      <c r="N534" s="66"/>
      <c r="O534" s="66" t="s">
        <v>899</v>
      </c>
      <c r="P534" s="66"/>
      <c r="Q534" s="66">
        <v>1</v>
      </c>
      <c r="R534" s="66">
        <v>1083</v>
      </c>
      <c r="S534" s="66"/>
    </row>
    <row r="535" spans="1:19" x14ac:dyDescent="0.25">
      <c r="A535" s="15">
        <v>30</v>
      </c>
      <c r="B535" s="66"/>
      <c r="C535" s="66">
        <v>2429</v>
      </c>
      <c r="D535" s="66"/>
      <c r="E535" s="66" t="s">
        <v>763</v>
      </c>
      <c r="F535" s="66">
        <v>3</v>
      </c>
      <c r="G535" s="66"/>
      <c r="H535" s="66">
        <v>3</v>
      </c>
      <c r="I535" s="66" t="e">
        <v>#N/A</v>
      </c>
      <c r="J535" s="66" t="s">
        <v>870</v>
      </c>
      <c r="K535" s="66"/>
      <c r="L535" s="66"/>
      <c r="M535" s="66"/>
      <c r="N535" s="66"/>
      <c r="O535" s="66" t="s">
        <v>900</v>
      </c>
      <c r="P535" s="66"/>
      <c r="Q535" s="66">
        <v>1</v>
      </c>
      <c r="R535" s="66">
        <v>1084</v>
      </c>
      <c r="S535" s="66"/>
    </row>
    <row r="536" spans="1:19" x14ac:dyDescent="0.25">
      <c r="A536" s="15">
        <v>30</v>
      </c>
      <c r="B536" s="66"/>
      <c r="C536" s="66">
        <v>2429</v>
      </c>
      <c r="D536" s="66"/>
      <c r="E536" s="66" t="s">
        <v>763</v>
      </c>
      <c r="F536" s="66">
        <v>3</v>
      </c>
      <c r="G536" s="66"/>
      <c r="H536" s="66">
        <v>3</v>
      </c>
      <c r="I536" s="66" t="e">
        <v>#N/A</v>
      </c>
      <c r="J536" s="66" t="s">
        <v>870</v>
      </c>
      <c r="K536" s="66"/>
      <c r="L536" s="66"/>
      <c r="M536" s="66"/>
      <c r="N536" s="66"/>
      <c r="O536" s="66" t="s">
        <v>901</v>
      </c>
      <c r="P536" s="66"/>
      <c r="Q536" s="66">
        <v>1</v>
      </c>
      <c r="R536" s="66">
        <v>1085</v>
      </c>
      <c r="S536" s="66"/>
    </row>
    <row r="537" spans="1:19" x14ac:dyDescent="0.25">
      <c r="A537" s="15">
        <v>30</v>
      </c>
      <c r="B537" s="66"/>
      <c r="C537" s="66">
        <v>2429</v>
      </c>
      <c r="D537" s="66"/>
      <c r="E537" s="66" t="s">
        <v>763</v>
      </c>
      <c r="F537" s="66">
        <v>3</v>
      </c>
      <c r="G537" s="66"/>
      <c r="H537" s="66">
        <v>3</v>
      </c>
      <c r="I537" s="66" t="e">
        <v>#N/A</v>
      </c>
      <c r="J537" s="66" t="s">
        <v>870</v>
      </c>
      <c r="K537" s="66"/>
      <c r="L537" s="66"/>
      <c r="M537" s="66"/>
      <c r="N537" s="66"/>
      <c r="O537" s="66" t="s">
        <v>902</v>
      </c>
      <c r="P537" s="66"/>
      <c r="Q537" s="66">
        <v>1</v>
      </c>
      <c r="R537" s="66">
        <v>1086</v>
      </c>
      <c r="S537" s="66"/>
    </row>
    <row r="538" spans="1:19" x14ac:dyDescent="0.25">
      <c r="A538" s="15">
        <v>30</v>
      </c>
      <c r="B538" s="66"/>
      <c r="C538" s="66">
        <v>2429</v>
      </c>
      <c r="D538" s="66"/>
      <c r="E538" s="66" t="s">
        <v>763</v>
      </c>
      <c r="F538" s="66">
        <v>3</v>
      </c>
      <c r="G538" s="66"/>
      <c r="H538" s="66">
        <v>3</v>
      </c>
      <c r="I538" s="66" t="e">
        <v>#N/A</v>
      </c>
      <c r="J538" s="66" t="s">
        <v>870</v>
      </c>
      <c r="K538" s="66"/>
      <c r="L538" s="66"/>
      <c r="M538" s="66"/>
      <c r="N538" s="66"/>
      <c r="O538" s="66" t="s">
        <v>903</v>
      </c>
      <c r="P538" s="66"/>
      <c r="Q538" s="66">
        <v>1</v>
      </c>
      <c r="R538" s="66">
        <v>1087</v>
      </c>
      <c r="S538" s="66"/>
    </row>
    <row r="539" spans="1:19" x14ac:dyDescent="0.25">
      <c r="A539" s="15">
        <v>30</v>
      </c>
      <c r="B539" s="66"/>
      <c r="C539" s="66">
        <v>2429</v>
      </c>
      <c r="D539" s="66"/>
      <c r="E539" s="66" t="s">
        <v>763</v>
      </c>
      <c r="F539" s="66">
        <v>3</v>
      </c>
      <c r="G539" s="66"/>
      <c r="H539" s="66">
        <v>3</v>
      </c>
      <c r="I539" s="66" t="e">
        <v>#N/A</v>
      </c>
      <c r="J539" s="66" t="s">
        <v>870</v>
      </c>
      <c r="K539" s="66"/>
      <c r="L539" s="66"/>
      <c r="M539" s="66"/>
      <c r="N539" s="66"/>
      <c r="O539" s="66" t="s">
        <v>904</v>
      </c>
      <c r="P539" s="66"/>
      <c r="Q539" s="66">
        <v>1</v>
      </c>
      <c r="R539" s="66">
        <v>1088</v>
      </c>
      <c r="S539" s="66"/>
    </row>
    <row r="540" spans="1:19" x14ac:dyDescent="0.25">
      <c r="A540" s="15">
        <v>30</v>
      </c>
      <c r="B540" s="66"/>
      <c r="C540" s="66">
        <v>2429</v>
      </c>
      <c r="D540" s="66"/>
      <c r="E540" s="66" t="s">
        <v>763</v>
      </c>
      <c r="F540" s="66">
        <v>3</v>
      </c>
      <c r="G540" s="66"/>
      <c r="H540" s="66">
        <v>3</v>
      </c>
      <c r="I540" s="66" t="e">
        <v>#N/A</v>
      </c>
      <c r="J540" s="66" t="s">
        <v>870</v>
      </c>
      <c r="K540" s="66"/>
      <c r="L540" s="66"/>
      <c r="M540" s="66"/>
      <c r="N540" s="66"/>
      <c r="O540" s="66" t="s">
        <v>905</v>
      </c>
      <c r="P540" s="66"/>
      <c r="Q540" s="66">
        <v>1</v>
      </c>
      <c r="R540" s="66">
        <v>1089</v>
      </c>
      <c r="S540" s="66"/>
    </row>
    <row r="541" spans="1:19" x14ac:dyDescent="0.25">
      <c r="A541" s="15">
        <v>30</v>
      </c>
      <c r="B541" s="66"/>
      <c r="C541" s="66">
        <v>2429</v>
      </c>
      <c r="D541" s="66"/>
      <c r="E541" s="66" t="s">
        <v>763</v>
      </c>
      <c r="F541" s="66">
        <v>3</v>
      </c>
      <c r="G541" s="66"/>
      <c r="H541" s="66" t="e">
        <v>#N/A</v>
      </c>
      <c r="I541" s="66"/>
      <c r="J541" s="66" t="s">
        <v>870</v>
      </c>
      <c r="K541" s="66"/>
      <c r="L541" s="66"/>
      <c r="M541" s="66"/>
      <c r="N541" s="66"/>
      <c r="O541" s="66" t="s">
        <v>906</v>
      </c>
      <c r="P541" s="66"/>
      <c r="Q541" s="66">
        <v>1</v>
      </c>
      <c r="R541" s="66">
        <v>1272</v>
      </c>
      <c r="S541" s="66"/>
    </row>
    <row r="542" spans="1:19" x14ac:dyDescent="0.25">
      <c r="A542" s="15">
        <v>30</v>
      </c>
      <c r="B542" s="66"/>
      <c r="C542" s="66">
        <v>2429</v>
      </c>
      <c r="D542" s="66"/>
      <c r="E542" s="66" t="s">
        <v>763</v>
      </c>
      <c r="F542" s="66">
        <v>5</v>
      </c>
      <c r="G542" s="66"/>
      <c r="H542" s="66" t="e">
        <v>#N/A</v>
      </c>
      <c r="I542" s="66"/>
      <c r="J542" s="66" t="s">
        <v>870</v>
      </c>
      <c r="K542" s="66"/>
      <c r="L542" s="66"/>
      <c r="M542" s="66"/>
      <c r="N542" s="66"/>
      <c r="O542" s="66" t="s">
        <v>908</v>
      </c>
      <c r="P542" s="66"/>
      <c r="Q542" s="66">
        <v>1</v>
      </c>
      <c r="R542" s="66">
        <v>1372</v>
      </c>
      <c r="S542" s="66"/>
    </row>
    <row r="543" spans="1:19" x14ac:dyDescent="0.25">
      <c r="A543" s="15">
        <v>30</v>
      </c>
      <c r="B543" s="66"/>
      <c r="C543" s="66">
        <v>2429</v>
      </c>
      <c r="D543" s="66"/>
      <c r="E543" s="66" t="s">
        <v>763</v>
      </c>
      <c r="F543" s="66">
        <v>5</v>
      </c>
      <c r="G543" s="66"/>
      <c r="H543" s="66" t="e">
        <v>#N/A</v>
      </c>
      <c r="I543" s="66"/>
      <c r="J543" s="66" t="s">
        <v>870</v>
      </c>
      <c r="K543" s="66"/>
      <c r="L543" s="66"/>
      <c r="M543" s="66"/>
      <c r="N543" s="66"/>
      <c r="O543" s="66" t="s">
        <v>909</v>
      </c>
      <c r="P543" s="66"/>
      <c r="Q543" s="66">
        <v>1</v>
      </c>
      <c r="R543" s="66">
        <v>1373</v>
      </c>
      <c r="S543" s="66"/>
    </row>
    <row r="544" spans="1:19" x14ac:dyDescent="0.25">
      <c r="A544" s="15">
        <v>30</v>
      </c>
      <c r="B544" s="66"/>
      <c r="C544" s="66">
        <v>2429</v>
      </c>
      <c r="D544" s="66"/>
      <c r="E544" s="66" t="s">
        <v>763</v>
      </c>
      <c r="F544" s="66">
        <v>5</v>
      </c>
      <c r="G544" s="66"/>
      <c r="H544" s="66" t="e">
        <v>#N/A</v>
      </c>
      <c r="I544" s="66"/>
      <c r="J544" s="66" t="s">
        <v>870</v>
      </c>
      <c r="K544" s="66"/>
      <c r="L544" s="66"/>
      <c r="M544" s="66"/>
      <c r="N544" s="66"/>
      <c r="O544" s="66" t="s">
        <v>910</v>
      </c>
      <c r="P544" s="66"/>
      <c r="Q544" s="66">
        <v>1</v>
      </c>
      <c r="R544" s="66">
        <v>1374</v>
      </c>
      <c r="S544" s="66"/>
    </row>
    <row r="545" spans="1:25" x14ac:dyDescent="0.25">
      <c r="A545" s="15">
        <v>30</v>
      </c>
      <c r="B545" s="66"/>
      <c r="C545" s="66">
        <v>2429</v>
      </c>
      <c r="D545" s="66"/>
      <c r="E545" s="66" t="s">
        <v>763</v>
      </c>
      <c r="F545" s="66">
        <v>5</v>
      </c>
      <c r="G545" s="66"/>
      <c r="H545" s="66" t="e">
        <v>#N/A</v>
      </c>
      <c r="I545" s="66"/>
      <c r="J545" s="66" t="s">
        <v>870</v>
      </c>
      <c r="K545" s="66"/>
      <c r="L545" s="66"/>
      <c r="M545" s="66"/>
      <c r="N545" s="66"/>
      <c r="O545" s="66" t="s">
        <v>911</v>
      </c>
      <c r="P545" s="66"/>
      <c r="Q545" s="66">
        <v>1</v>
      </c>
      <c r="R545" s="66">
        <v>1375</v>
      </c>
      <c r="S545" s="66"/>
    </row>
    <row r="546" spans="1:25" x14ac:dyDescent="0.25">
      <c r="A546" s="15">
        <v>30</v>
      </c>
      <c r="B546" s="66"/>
      <c r="C546" s="66">
        <v>2429</v>
      </c>
      <c r="D546" s="66"/>
      <c r="E546" s="66" t="s">
        <v>763</v>
      </c>
      <c r="F546" s="66">
        <v>5</v>
      </c>
      <c r="G546" s="66"/>
      <c r="H546" s="66" t="e">
        <v>#N/A</v>
      </c>
      <c r="I546" s="66"/>
      <c r="J546" s="66" t="s">
        <v>870</v>
      </c>
      <c r="K546" s="66"/>
      <c r="L546" s="66"/>
      <c r="M546" s="66"/>
      <c r="N546" s="66"/>
      <c r="O546" s="66" t="s">
        <v>912</v>
      </c>
      <c r="P546" s="66"/>
      <c r="Q546" s="66">
        <v>1</v>
      </c>
      <c r="R546" s="66">
        <v>1376</v>
      </c>
      <c r="S546" s="66"/>
    </row>
    <row r="547" spans="1:25" x14ac:dyDescent="0.25">
      <c r="A547" s="15">
        <v>30</v>
      </c>
      <c r="B547" s="66"/>
      <c r="C547" s="66">
        <v>2429</v>
      </c>
      <c r="D547" s="66"/>
      <c r="E547" s="66" t="s">
        <v>763</v>
      </c>
      <c r="F547" s="66">
        <v>5</v>
      </c>
      <c r="G547" s="66"/>
      <c r="H547" s="66" t="e">
        <v>#N/A</v>
      </c>
      <c r="I547" s="66"/>
      <c r="J547" s="66" t="s">
        <v>870</v>
      </c>
      <c r="K547" s="66"/>
      <c r="L547" s="66"/>
      <c r="M547" s="66"/>
      <c r="N547" s="66"/>
      <c r="O547" s="66" t="s">
        <v>913</v>
      </c>
      <c r="P547" s="66"/>
      <c r="Q547" s="66">
        <v>1</v>
      </c>
      <c r="R547" s="66">
        <v>1377</v>
      </c>
      <c r="S547" s="66"/>
    </row>
    <row r="548" spans="1:25" x14ac:dyDescent="0.25">
      <c r="A548" s="15">
        <v>30</v>
      </c>
      <c r="B548" s="66"/>
      <c r="C548" s="66">
        <v>2429</v>
      </c>
      <c r="D548" s="66"/>
      <c r="E548" s="66" t="s">
        <v>763</v>
      </c>
      <c r="F548" s="66">
        <v>5</v>
      </c>
      <c r="G548" s="66"/>
      <c r="H548" s="66" t="e">
        <v>#N/A</v>
      </c>
      <c r="I548" s="66"/>
      <c r="J548" s="66" t="s">
        <v>870</v>
      </c>
      <c r="K548" s="66"/>
      <c r="L548" s="66"/>
      <c r="M548" s="66"/>
      <c r="N548" s="66"/>
      <c r="O548" s="66" t="s">
        <v>914</v>
      </c>
      <c r="P548" s="66"/>
      <c r="Q548" s="66">
        <v>1</v>
      </c>
      <c r="R548" s="66">
        <v>1378</v>
      </c>
      <c r="S548" s="66"/>
    </row>
    <row r="549" spans="1:25" x14ac:dyDescent="0.25">
      <c r="A549" s="15">
        <v>30</v>
      </c>
      <c r="B549" s="66"/>
      <c r="C549" s="66">
        <v>2429</v>
      </c>
      <c r="D549" s="66"/>
      <c r="E549" s="66" t="s">
        <v>763</v>
      </c>
      <c r="F549" s="66">
        <v>5</v>
      </c>
      <c r="G549" s="66"/>
      <c r="H549" s="66" t="e">
        <v>#N/A</v>
      </c>
      <c r="I549" s="66"/>
      <c r="J549" s="66" t="s">
        <v>870</v>
      </c>
      <c r="K549" s="66"/>
      <c r="L549" s="66"/>
      <c r="M549" s="66"/>
      <c r="N549" s="66"/>
      <c r="O549" s="66" t="s">
        <v>915</v>
      </c>
      <c r="P549" s="66"/>
      <c r="Q549" s="66">
        <v>1</v>
      </c>
      <c r="R549" s="66">
        <v>1379</v>
      </c>
      <c r="S549" s="66"/>
    </row>
    <row r="550" spans="1:25" x14ac:dyDescent="0.25">
      <c r="A550" s="15">
        <v>30</v>
      </c>
      <c r="B550" s="66"/>
      <c r="C550" s="66">
        <v>2429</v>
      </c>
      <c r="D550" s="66"/>
      <c r="E550" s="66" t="s">
        <v>763</v>
      </c>
      <c r="F550" s="66">
        <v>5</v>
      </c>
      <c r="G550" s="66"/>
      <c r="H550" s="66" t="e">
        <v>#N/A</v>
      </c>
      <c r="I550" s="66"/>
      <c r="J550" s="66" t="s">
        <v>870</v>
      </c>
      <c r="K550" s="66"/>
      <c r="L550" s="66"/>
      <c r="M550" s="66"/>
      <c r="N550" s="66"/>
      <c r="O550" s="66" t="s">
        <v>916</v>
      </c>
      <c r="P550" s="66"/>
      <c r="Q550" s="66">
        <v>1</v>
      </c>
      <c r="R550" s="66">
        <v>1380</v>
      </c>
      <c r="S550" s="66"/>
    </row>
    <row r="551" spans="1:25" x14ac:dyDescent="0.25">
      <c r="A551" s="15">
        <v>30</v>
      </c>
      <c r="B551" s="66"/>
      <c r="C551" s="66">
        <v>2429</v>
      </c>
      <c r="D551" s="66"/>
      <c r="E551" s="66" t="s">
        <v>763</v>
      </c>
      <c r="F551" s="66">
        <v>5</v>
      </c>
      <c r="G551" s="66"/>
      <c r="H551" s="66" t="e">
        <v>#N/A</v>
      </c>
      <c r="I551" s="66"/>
      <c r="J551" s="66" t="s">
        <v>870</v>
      </c>
      <c r="K551" s="66"/>
      <c r="L551" s="66"/>
      <c r="M551" s="66"/>
      <c r="N551" s="66"/>
      <c r="O551" s="66" t="s">
        <v>917</v>
      </c>
      <c r="P551" s="66"/>
      <c r="Q551" s="66">
        <v>1</v>
      </c>
      <c r="R551" s="66">
        <v>1381</v>
      </c>
      <c r="S551" s="66"/>
    </row>
    <row r="552" spans="1:25" x14ac:dyDescent="0.25">
      <c r="A552" s="15">
        <v>30</v>
      </c>
      <c r="B552" s="66"/>
      <c r="C552" s="66">
        <v>2429</v>
      </c>
      <c r="D552" s="66"/>
      <c r="E552" s="66" t="s">
        <v>763</v>
      </c>
      <c r="F552" s="66">
        <v>5</v>
      </c>
      <c r="G552" s="66"/>
      <c r="H552" s="66" t="e">
        <v>#N/A</v>
      </c>
      <c r="I552" s="66"/>
      <c r="J552" s="66" t="s">
        <v>870</v>
      </c>
      <c r="K552" s="66"/>
      <c r="L552" s="66"/>
      <c r="M552" s="66"/>
      <c r="N552" s="66"/>
      <c r="O552" s="66" t="s">
        <v>918</v>
      </c>
      <c r="P552" s="66"/>
      <c r="Q552" s="66">
        <v>1</v>
      </c>
      <c r="R552" s="66">
        <v>1382</v>
      </c>
      <c r="S552" s="66"/>
    </row>
    <row r="553" spans="1:25" x14ac:dyDescent="0.25">
      <c r="A553" s="15">
        <v>30</v>
      </c>
      <c r="B553" s="66"/>
      <c r="C553" s="66">
        <v>2429</v>
      </c>
      <c r="D553" s="66"/>
      <c r="E553" s="66" t="s">
        <v>763</v>
      </c>
      <c r="F553" s="66">
        <v>5</v>
      </c>
      <c r="G553" s="66"/>
      <c r="H553" s="66" t="e">
        <v>#N/A</v>
      </c>
      <c r="I553" s="66"/>
      <c r="J553" s="66" t="s">
        <v>870</v>
      </c>
      <c r="K553" s="66"/>
      <c r="L553" s="66"/>
      <c r="M553" s="66"/>
      <c r="N553" s="66"/>
      <c r="O553" s="66" t="s">
        <v>919</v>
      </c>
      <c r="P553" s="66"/>
      <c r="Q553" s="66">
        <v>1</v>
      </c>
      <c r="R553" s="66">
        <v>1383</v>
      </c>
      <c r="S553" s="66"/>
    </row>
    <row r="554" spans="1:25" x14ac:dyDescent="0.25">
      <c r="A554" s="15">
        <v>31</v>
      </c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</row>
    <row r="555" spans="1:25" x14ac:dyDescent="0.25">
      <c r="A555" s="15">
        <v>31</v>
      </c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 t="s">
        <v>788</v>
      </c>
      <c r="P555" s="66"/>
      <c r="Q555" s="66"/>
      <c r="R555" s="66"/>
      <c r="S555" s="66"/>
    </row>
    <row r="556" spans="1:25" x14ac:dyDescent="0.25">
      <c r="A556" s="15">
        <v>31</v>
      </c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 t="s">
        <v>837</v>
      </c>
      <c r="P556" s="66"/>
      <c r="Q556" s="66"/>
      <c r="R556" s="66"/>
      <c r="S556" s="66"/>
    </row>
    <row r="557" spans="1:25" x14ac:dyDescent="0.25">
      <c r="A557" s="15">
        <v>31</v>
      </c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 t="s">
        <v>846</v>
      </c>
      <c r="P557" s="66"/>
      <c r="Q557" s="66"/>
      <c r="R557" s="66"/>
      <c r="S557" s="66"/>
    </row>
    <row r="558" spans="1:25" x14ac:dyDescent="0.25">
      <c r="A558" s="15">
        <v>31</v>
      </c>
      <c r="B558" s="66"/>
      <c r="C558" s="66" t="s">
        <v>77</v>
      </c>
      <c r="D558" s="66"/>
      <c r="E558" s="66" t="s">
        <v>763</v>
      </c>
      <c r="F558" s="66">
        <v>6</v>
      </c>
      <c r="G558" s="66"/>
      <c r="H558" s="66">
        <v>10</v>
      </c>
      <c r="I558" s="66">
        <v>11.916666666666666</v>
      </c>
      <c r="J558" s="66" t="s">
        <v>850</v>
      </c>
      <c r="K558" s="66"/>
      <c r="L558" s="66"/>
      <c r="M558" s="66"/>
      <c r="N558" s="66"/>
      <c r="O558" s="66" t="s">
        <v>849</v>
      </c>
      <c r="P558" s="66"/>
      <c r="Q558" s="66">
        <v>1</v>
      </c>
      <c r="R558" s="66">
        <v>293</v>
      </c>
      <c r="S558" s="66"/>
      <c r="Y558" s="15"/>
    </row>
    <row r="559" spans="1:25" x14ac:dyDescent="0.25">
      <c r="A559" s="15">
        <v>31</v>
      </c>
      <c r="B559" s="66"/>
      <c r="C559" s="66">
        <v>2429</v>
      </c>
      <c r="D559" s="66"/>
      <c r="E559" s="66" t="s">
        <v>763</v>
      </c>
      <c r="F559" s="66">
        <v>6</v>
      </c>
      <c r="G559" s="66"/>
      <c r="H559" s="66"/>
      <c r="I559" s="66">
        <v>26.666666666666668</v>
      </c>
      <c r="J559" s="66" t="s">
        <v>850</v>
      </c>
      <c r="K559" s="66"/>
      <c r="L559" s="66"/>
      <c r="M559" s="66"/>
      <c r="N559" s="66"/>
      <c r="O559" s="66" t="s">
        <v>852</v>
      </c>
      <c r="P559" s="66"/>
      <c r="Q559" s="66">
        <v>1</v>
      </c>
      <c r="R559" s="66">
        <v>404</v>
      </c>
      <c r="S559" s="66"/>
    </row>
    <row r="560" spans="1:25" x14ac:dyDescent="0.25">
      <c r="A560" s="15">
        <v>31</v>
      </c>
      <c r="B560" s="66"/>
      <c r="C560" s="66">
        <v>2429</v>
      </c>
      <c r="D560" s="66"/>
      <c r="E560" s="66" t="s">
        <v>763</v>
      </c>
      <c r="F560" s="66">
        <v>12</v>
      </c>
      <c r="G560" s="66"/>
      <c r="H560" s="66"/>
      <c r="I560" s="66">
        <v>15.666666666666666</v>
      </c>
      <c r="J560" s="66" t="s">
        <v>850</v>
      </c>
      <c r="K560" s="66"/>
      <c r="L560" s="66"/>
      <c r="M560" s="66"/>
      <c r="N560" s="66"/>
      <c r="O560" s="66" t="s">
        <v>853</v>
      </c>
      <c r="P560" s="66"/>
      <c r="Q560" s="66">
        <v>1</v>
      </c>
      <c r="R560" s="66">
        <v>405</v>
      </c>
      <c r="S560" s="66"/>
    </row>
    <row r="561" spans="1:19" x14ac:dyDescent="0.25">
      <c r="A561" s="15">
        <v>31</v>
      </c>
      <c r="B561" s="66"/>
      <c r="C561" s="66">
        <v>2429</v>
      </c>
      <c r="D561" s="66"/>
      <c r="E561" s="66" t="s">
        <v>763</v>
      </c>
      <c r="F561" s="66">
        <v>12</v>
      </c>
      <c r="G561" s="66"/>
      <c r="H561" s="66"/>
      <c r="I561" s="66">
        <v>15.666666666666666</v>
      </c>
      <c r="J561" s="66" t="s">
        <v>850</v>
      </c>
      <c r="K561" s="66"/>
      <c r="L561" s="66"/>
      <c r="M561" s="66"/>
      <c r="N561" s="66"/>
      <c r="O561" s="66" t="s">
        <v>854</v>
      </c>
      <c r="P561" s="66"/>
      <c r="Q561" s="66">
        <v>1</v>
      </c>
      <c r="R561" s="66">
        <v>406</v>
      </c>
      <c r="S561" s="66"/>
    </row>
    <row r="562" spans="1:19" x14ac:dyDescent="0.25">
      <c r="A562" s="15">
        <v>31</v>
      </c>
      <c r="B562" s="66"/>
      <c r="C562" s="66">
        <v>2429</v>
      </c>
      <c r="D562" s="66"/>
      <c r="E562" s="66" t="s">
        <v>763</v>
      </c>
      <c r="F562" s="66">
        <v>12</v>
      </c>
      <c r="G562" s="66"/>
      <c r="H562" s="66"/>
      <c r="I562" s="66">
        <v>15.666666666666666</v>
      </c>
      <c r="J562" s="66" t="s">
        <v>850</v>
      </c>
      <c r="K562" s="66"/>
      <c r="L562" s="66"/>
      <c r="M562" s="66"/>
      <c r="N562" s="66"/>
      <c r="O562" s="66" t="s">
        <v>855</v>
      </c>
      <c r="P562" s="66"/>
      <c r="Q562" s="66">
        <v>1</v>
      </c>
      <c r="R562" s="66">
        <v>407</v>
      </c>
      <c r="S562" s="66"/>
    </row>
    <row r="563" spans="1:19" x14ac:dyDescent="0.25">
      <c r="A563" s="15">
        <v>31</v>
      </c>
      <c r="B563" s="66"/>
      <c r="C563" s="66">
        <v>2429</v>
      </c>
      <c r="D563" s="66"/>
      <c r="E563" s="66" t="s">
        <v>763</v>
      </c>
      <c r="F563" s="66">
        <v>12</v>
      </c>
      <c r="G563" s="66"/>
      <c r="H563" s="66"/>
      <c r="I563" s="66">
        <v>15.666666666666666</v>
      </c>
      <c r="J563" s="66" t="s">
        <v>850</v>
      </c>
      <c r="K563" s="66"/>
      <c r="L563" s="66"/>
      <c r="M563" s="66"/>
      <c r="N563" s="66"/>
      <c r="O563" s="66" t="s">
        <v>856</v>
      </c>
      <c r="P563" s="66"/>
      <c r="Q563" s="66">
        <v>1</v>
      </c>
      <c r="R563" s="66">
        <v>408</v>
      </c>
      <c r="S563" s="66"/>
    </row>
    <row r="564" spans="1:19" x14ac:dyDescent="0.25">
      <c r="A564" s="15">
        <v>31</v>
      </c>
      <c r="B564" s="66"/>
      <c r="C564" s="66">
        <v>2429</v>
      </c>
      <c r="D564" s="66"/>
      <c r="E564" s="66" t="s">
        <v>763</v>
      </c>
      <c r="F564" s="66">
        <v>12</v>
      </c>
      <c r="G564" s="66"/>
      <c r="H564" s="66"/>
      <c r="I564" s="66">
        <v>15.666666666666666</v>
      </c>
      <c r="J564" s="66" t="s">
        <v>850</v>
      </c>
      <c r="K564" s="66"/>
      <c r="L564" s="66"/>
      <c r="M564" s="66"/>
      <c r="N564" s="66"/>
      <c r="O564" s="66" t="s">
        <v>857</v>
      </c>
      <c r="P564" s="66"/>
      <c r="Q564" s="66">
        <v>1</v>
      </c>
      <c r="R564" s="66">
        <v>409</v>
      </c>
      <c r="S564" s="66"/>
    </row>
    <row r="565" spans="1:19" x14ac:dyDescent="0.25">
      <c r="A565" s="15">
        <v>31</v>
      </c>
      <c r="B565" s="66"/>
      <c r="C565" s="66">
        <v>2429</v>
      </c>
      <c r="D565" s="66"/>
      <c r="E565" s="66" t="s">
        <v>763</v>
      </c>
      <c r="F565" s="66">
        <v>12</v>
      </c>
      <c r="G565" s="66"/>
      <c r="H565" s="66"/>
      <c r="I565" s="66">
        <v>15.666666666666666</v>
      </c>
      <c r="J565" s="66" t="s">
        <v>850</v>
      </c>
      <c r="K565" s="66"/>
      <c r="L565" s="66"/>
      <c r="M565" s="66"/>
      <c r="N565" s="66"/>
      <c r="O565" s="66" t="s">
        <v>858</v>
      </c>
      <c r="P565" s="66"/>
      <c r="Q565" s="66">
        <v>1</v>
      </c>
      <c r="R565" s="66">
        <v>410</v>
      </c>
      <c r="S565" s="66"/>
    </row>
    <row r="566" spans="1:19" x14ac:dyDescent="0.25">
      <c r="A566" s="15">
        <v>31</v>
      </c>
      <c r="B566" s="66"/>
      <c r="C566" s="66">
        <v>2429</v>
      </c>
      <c r="D566" s="66"/>
      <c r="E566" s="66" t="s">
        <v>763</v>
      </c>
      <c r="F566" s="66">
        <v>12</v>
      </c>
      <c r="G566" s="66"/>
      <c r="H566" s="66"/>
      <c r="I566" s="66">
        <v>15.666666666666666</v>
      </c>
      <c r="J566" s="66" t="s">
        <v>850</v>
      </c>
      <c r="K566" s="66"/>
      <c r="L566" s="66"/>
      <c r="M566" s="66"/>
      <c r="N566" s="66"/>
      <c r="O566" s="66" t="s">
        <v>859</v>
      </c>
      <c r="P566" s="66"/>
      <c r="Q566" s="66">
        <v>1</v>
      </c>
      <c r="R566" s="66">
        <v>411</v>
      </c>
      <c r="S566" s="66"/>
    </row>
    <row r="567" spans="1:19" x14ac:dyDescent="0.25">
      <c r="A567" s="15">
        <v>31</v>
      </c>
      <c r="B567" s="66"/>
      <c r="C567" s="66">
        <v>2429</v>
      </c>
      <c r="D567" s="66"/>
      <c r="E567" s="66" t="s">
        <v>763</v>
      </c>
      <c r="F567" s="66">
        <v>12</v>
      </c>
      <c r="G567" s="66"/>
      <c r="H567" s="66"/>
      <c r="I567" s="66">
        <v>15.666666666666666</v>
      </c>
      <c r="J567" s="66" t="s">
        <v>850</v>
      </c>
      <c r="K567" s="66"/>
      <c r="L567" s="66"/>
      <c r="M567" s="66"/>
      <c r="N567" s="66"/>
      <c r="O567" s="66" t="s">
        <v>860</v>
      </c>
      <c r="P567" s="66"/>
      <c r="Q567" s="66">
        <v>1</v>
      </c>
      <c r="R567" s="66">
        <v>412</v>
      </c>
      <c r="S567" s="66"/>
    </row>
    <row r="568" spans="1:19" x14ac:dyDescent="0.25">
      <c r="A568" s="15">
        <v>31</v>
      </c>
      <c r="B568" s="66"/>
      <c r="C568" s="66">
        <v>2429</v>
      </c>
      <c r="D568" s="66"/>
      <c r="E568" s="66" t="s">
        <v>763</v>
      </c>
      <c r="F568" s="66">
        <v>12</v>
      </c>
      <c r="G568" s="66"/>
      <c r="H568" s="66"/>
      <c r="I568" s="66">
        <v>15.666666666666666</v>
      </c>
      <c r="J568" s="66" t="s">
        <v>850</v>
      </c>
      <c r="K568" s="66"/>
      <c r="L568" s="66"/>
      <c r="M568" s="66"/>
      <c r="N568" s="66"/>
      <c r="O568" s="66" t="s">
        <v>861</v>
      </c>
      <c r="P568" s="66"/>
      <c r="Q568" s="66">
        <v>1</v>
      </c>
      <c r="R568" s="66">
        <v>413</v>
      </c>
      <c r="S568" s="66"/>
    </row>
    <row r="569" spans="1:19" x14ac:dyDescent="0.25">
      <c r="A569" s="15">
        <v>31</v>
      </c>
      <c r="B569" s="66"/>
      <c r="C569" s="66">
        <v>2429</v>
      </c>
      <c r="D569" s="66"/>
      <c r="E569" s="66" t="s">
        <v>763</v>
      </c>
      <c r="F569" s="66">
        <v>16</v>
      </c>
      <c r="G569" s="66"/>
      <c r="H569" s="66"/>
      <c r="I569" s="66">
        <v>10.583333333333334</v>
      </c>
      <c r="J569" s="66" t="s">
        <v>850</v>
      </c>
      <c r="K569" s="66"/>
      <c r="L569" s="66"/>
      <c r="M569" s="66"/>
      <c r="N569" s="66"/>
      <c r="O569" s="66" t="s">
        <v>862</v>
      </c>
      <c r="P569" s="66"/>
      <c r="Q569" s="66">
        <v>1</v>
      </c>
      <c r="R569" s="66">
        <v>414</v>
      </c>
      <c r="S569" s="66"/>
    </row>
    <row r="570" spans="1:19" x14ac:dyDescent="0.25">
      <c r="A570" s="15">
        <v>31</v>
      </c>
      <c r="B570" s="66"/>
      <c r="C570" s="66">
        <v>2429</v>
      </c>
      <c r="D570" s="66"/>
      <c r="E570" s="66" t="s">
        <v>763</v>
      </c>
      <c r="F570" s="66" t="s">
        <v>867</v>
      </c>
      <c r="G570" s="66"/>
      <c r="H570" s="66">
        <v>0</v>
      </c>
      <c r="I570" s="66">
        <v>10.833333333333332</v>
      </c>
      <c r="J570" s="66" t="s">
        <v>866</v>
      </c>
      <c r="K570" s="66"/>
      <c r="L570" s="66"/>
      <c r="M570" s="66"/>
      <c r="N570" s="66"/>
      <c r="O570" s="66" t="s">
        <v>865</v>
      </c>
      <c r="P570" s="66"/>
      <c r="Q570" s="66">
        <v>1</v>
      </c>
      <c r="R570" s="66">
        <v>565</v>
      </c>
      <c r="S570" s="66"/>
    </row>
    <row r="571" spans="1:19" x14ac:dyDescent="0.25">
      <c r="A571" s="15">
        <v>31</v>
      </c>
      <c r="B571" s="66"/>
      <c r="C571" s="66">
        <v>2429</v>
      </c>
      <c r="D571" s="66"/>
      <c r="E571" s="66" t="s">
        <v>763</v>
      </c>
      <c r="F571" s="66">
        <v>1</v>
      </c>
      <c r="G571" s="66"/>
      <c r="H571" s="66" t="e">
        <v>#N/A</v>
      </c>
      <c r="I571" s="66"/>
      <c r="J571" s="66" t="s">
        <v>870</v>
      </c>
      <c r="K571" s="66" t="s">
        <v>757</v>
      </c>
      <c r="L571" s="66" t="s">
        <v>757</v>
      </c>
      <c r="M571" s="66" t="s">
        <v>757</v>
      </c>
      <c r="N571" s="66" t="s">
        <v>757</v>
      </c>
      <c r="O571" s="66" t="s">
        <v>869</v>
      </c>
      <c r="P571" s="66"/>
      <c r="Q571" s="66">
        <v>1</v>
      </c>
      <c r="R571" s="66">
        <v>636</v>
      </c>
      <c r="S571" s="66"/>
    </row>
    <row r="572" spans="1:19" x14ac:dyDescent="0.25">
      <c r="A572" s="15">
        <v>31</v>
      </c>
      <c r="B572" s="66"/>
      <c r="C572" s="66">
        <v>2429</v>
      </c>
      <c r="D572" s="66"/>
      <c r="E572" s="66" t="s">
        <v>763</v>
      </c>
      <c r="F572" s="66">
        <v>1</v>
      </c>
      <c r="G572" s="66"/>
      <c r="H572" s="66" t="e">
        <v>#N/A</v>
      </c>
      <c r="I572" s="66"/>
      <c r="J572" s="66" t="s">
        <v>870</v>
      </c>
      <c r="K572" s="66" t="s">
        <v>757</v>
      </c>
      <c r="L572" s="66" t="s">
        <v>757</v>
      </c>
      <c r="M572" s="66" t="s">
        <v>757</v>
      </c>
      <c r="N572" s="66" t="s">
        <v>757</v>
      </c>
      <c r="O572" s="66" t="s">
        <v>871</v>
      </c>
      <c r="P572" s="66"/>
      <c r="Q572" s="66">
        <v>1</v>
      </c>
      <c r="R572" s="66">
        <v>637</v>
      </c>
      <c r="S572" s="66"/>
    </row>
    <row r="573" spans="1:19" x14ac:dyDescent="0.25">
      <c r="A573" s="15">
        <v>31</v>
      </c>
      <c r="B573" s="66"/>
      <c r="C573" s="66">
        <v>2429</v>
      </c>
      <c r="D573" s="66"/>
      <c r="E573" s="66" t="s">
        <v>763</v>
      </c>
      <c r="F573" s="66">
        <v>1</v>
      </c>
      <c r="G573" s="66"/>
      <c r="H573" s="66" t="e">
        <v>#N/A</v>
      </c>
      <c r="I573" s="66"/>
      <c r="J573" s="66" t="s">
        <v>870</v>
      </c>
      <c r="K573" s="66" t="s">
        <v>757</v>
      </c>
      <c r="L573" s="66" t="s">
        <v>757</v>
      </c>
      <c r="M573" s="66" t="s">
        <v>757</v>
      </c>
      <c r="N573" s="66" t="s">
        <v>757</v>
      </c>
      <c r="O573" s="66" t="s">
        <v>872</v>
      </c>
      <c r="P573" s="66"/>
      <c r="Q573" s="66">
        <v>1</v>
      </c>
      <c r="R573" s="66">
        <v>638</v>
      </c>
      <c r="S573" s="66"/>
    </row>
    <row r="574" spans="1:19" x14ac:dyDescent="0.25">
      <c r="A574" s="15">
        <v>31</v>
      </c>
      <c r="B574" s="66"/>
      <c r="C574" s="66">
        <v>2429</v>
      </c>
      <c r="D574" s="66"/>
      <c r="E574" s="66" t="s">
        <v>763</v>
      </c>
      <c r="F574" s="66">
        <v>1</v>
      </c>
      <c r="G574" s="66"/>
      <c r="H574" s="66" t="e">
        <v>#N/A</v>
      </c>
      <c r="I574" s="66"/>
      <c r="J574" s="66" t="s">
        <v>870</v>
      </c>
      <c r="K574" s="66" t="s">
        <v>757</v>
      </c>
      <c r="L574" s="66" t="s">
        <v>757</v>
      </c>
      <c r="M574" s="66" t="s">
        <v>757</v>
      </c>
      <c r="N574" s="66" t="s">
        <v>757</v>
      </c>
      <c r="O574" s="66" t="s">
        <v>873</v>
      </c>
      <c r="P574" s="66"/>
      <c r="Q574" s="66">
        <v>1</v>
      </c>
      <c r="R574" s="66">
        <v>639</v>
      </c>
      <c r="S574" s="66"/>
    </row>
    <row r="575" spans="1:19" x14ac:dyDescent="0.25">
      <c r="A575" s="15">
        <v>31</v>
      </c>
      <c r="B575" s="66"/>
      <c r="C575" s="66">
        <v>2429</v>
      </c>
      <c r="D575" s="66"/>
      <c r="E575" s="66" t="s">
        <v>763</v>
      </c>
      <c r="F575" s="66">
        <v>1</v>
      </c>
      <c r="G575" s="66"/>
      <c r="H575" s="66" t="e">
        <v>#N/A</v>
      </c>
      <c r="I575" s="66"/>
      <c r="J575" s="66" t="s">
        <v>870</v>
      </c>
      <c r="K575" s="66" t="s">
        <v>757</v>
      </c>
      <c r="L575" s="66" t="s">
        <v>757</v>
      </c>
      <c r="M575" s="66" t="s">
        <v>757</v>
      </c>
      <c r="N575" s="66" t="s">
        <v>757</v>
      </c>
      <c r="O575" s="66" t="s">
        <v>874</v>
      </c>
      <c r="P575" s="66"/>
      <c r="Q575" s="66">
        <v>1</v>
      </c>
      <c r="R575" s="66">
        <v>640</v>
      </c>
      <c r="S575" s="66"/>
    </row>
    <row r="576" spans="1:19" x14ac:dyDescent="0.25">
      <c r="A576" s="15">
        <v>31</v>
      </c>
      <c r="B576" s="66"/>
      <c r="C576" s="66">
        <v>2429</v>
      </c>
      <c r="D576" s="66"/>
      <c r="E576" s="66" t="s">
        <v>763</v>
      </c>
      <c r="F576" s="66">
        <v>1</v>
      </c>
      <c r="G576" s="66"/>
      <c r="H576" s="66" t="e">
        <v>#N/A</v>
      </c>
      <c r="I576" s="66"/>
      <c r="J576" s="66" t="s">
        <v>870</v>
      </c>
      <c r="K576" s="66" t="s">
        <v>757</v>
      </c>
      <c r="L576" s="66" t="s">
        <v>757</v>
      </c>
      <c r="M576" s="66" t="s">
        <v>757</v>
      </c>
      <c r="N576" s="66" t="s">
        <v>757</v>
      </c>
      <c r="O576" s="66" t="s">
        <v>875</v>
      </c>
      <c r="P576" s="66"/>
      <c r="Q576" s="66">
        <v>1</v>
      </c>
      <c r="R576" s="66">
        <v>641</v>
      </c>
      <c r="S576" s="66"/>
    </row>
    <row r="577" spans="1:19" x14ac:dyDescent="0.25">
      <c r="A577" s="15">
        <v>31</v>
      </c>
      <c r="B577" s="66"/>
      <c r="C577" s="66">
        <v>2429</v>
      </c>
      <c r="D577" s="66"/>
      <c r="E577" s="66" t="s">
        <v>763</v>
      </c>
      <c r="F577" s="66">
        <v>1</v>
      </c>
      <c r="G577" s="66"/>
      <c r="H577" s="66" t="e">
        <v>#N/A</v>
      </c>
      <c r="I577" s="66"/>
      <c r="J577" s="66" t="s">
        <v>870</v>
      </c>
      <c r="K577" s="66" t="s">
        <v>757</v>
      </c>
      <c r="L577" s="66" t="s">
        <v>757</v>
      </c>
      <c r="M577" s="66" t="s">
        <v>757</v>
      </c>
      <c r="N577" s="66" t="s">
        <v>757</v>
      </c>
      <c r="O577" s="66" t="s">
        <v>876</v>
      </c>
      <c r="P577" s="66"/>
      <c r="Q577" s="66">
        <v>1</v>
      </c>
      <c r="R577" s="66">
        <v>642</v>
      </c>
      <c r="S577" s="66"/>
    </row>
    <row r="578" spans="1:19" x14ac:dyDescent="0.25">
      <c r="A578" s="15">
        <v>31</v>
      </c>
      <c r="B578" s="66"/>
      <c r="C578" s="66">
        <v>2429</v>
      </c>
      <c r="D578" s="66"/>
      <c r="E578" s="66" t="s">
        <v>763</v>
      </c>
      <c r="F578" s="66">
        <v>1</v>
      </c>
      <c r="G578" s="66"/>
      <c r="H578" s="66" t="e">
        <v>#N/A</v>
      </c>
      <c r="I578" s="66"/>
      <c r="J578" s="66" t="s">
        <v>870</v>
      </c>
      <c r="K578" s="66" t="s">
        <v>757</v>
      </c>
      <c r="L578" s="66" t="s">
        <v>757</v>
      </c>
      <c r="M578" s="66" t="s">
        <v>757</v>
      </c>
      <c r="N578" s="66" t="s">
        <v>757</v>
      </c>
      <c r="O578" s="66" t="s">
        <v>877</v>
      </c>
      <c r="P578" s="66"/>
      <c r="Q578" s="66">
        <v>1</v>
      </c>
      <c r="R578" s="66">
        <v>643</v>
      </c>
      <c r="S578" s="66"/>
    </row>
    <row r="579" spans="1:19" x14ac:dyDescent="0.25">
      <c r="A579" s="15">
        <v>31</v>
      </c>
      <c r="B579" s="66"/>
      <c r="C579" s="66">
        <v>2429</v>
      </c>
      <c r="D579" s="66"/>
      <c r="E579" s="66" t="s">
        <v>763</v>
      </c>
      <c r="F579" s="66">
        <v>1</v>
      </c>
      <c r="G579" s="66"/>
      <c r="H579" s="66" t="e">
        <v>#N/A</v>
      </c>
      <c r="I579" s="66"/>
      <c r="J579" s="66" t="s">
        <v>870</v>
      </c>
      <c r="K579" s="66" t="s">
        <v>757</v>
      </c>
      <c r="L579" s="66" t="s">
        <v>757</v>
      </c>
      <c r="M579" s="66" t="s">
        <v>757</v>
      </c>
      <c r="N579" s="66" t="s">
        <v>757</v>
      </c>
      <c r="O579" s="66" t="s">
        <v>878</v>
      </c>
      <c r="P579" s="66"/>
      <c r="Q579" s="66">
        <v>1</v>
      </c>
      <c r="R579" s="66">
        <v>644</v>
      </c>
      <c r="S579" s="66"/>
    </row>
    <row r="580" spans="1:19" x14ac:dyDescent="0.25">
      <c r="A580" s="15">
        <v>31</v>
      </c>
      <c r="B580" s="66"/>
      <c r="C580" s="66">
        <v>2429</v>
      </c>
      <c r="D580" s="66"/>
      <c r="E580" s="66" t="s">
        <v>763</v>
      </c>
      <c r="F580" s="66">
        <v>1</v>
      </c>
      <c r="G580" s="66"/>
      <c r="H580" s="66" t="e">
        <v>#N/A</v>
      </c>
      <c r="I580" s="66"/>
      <c r="J580" s="66" t="s">
        <v>870</v>
      </c>
      <c r="K580" s="66" t="s">
        <v>757</v>
      </c>
      <c r="L580" s="66" t="s">
        <v>757</v>
      </c>
      <c r="M580" s="66" t="s">
        <v>757</v>
      </c>
      <c r="N580" s="66" t="s">
        <v>757</v>
      </c>
      <c r="O580" s="66" t="s">
        <v>879</v>
      </c>
      <c r="P580" s="66"/>
      <c r="Q580" s="66">
        <v>1</v>
      </c>
      <c r="R580" s="66">
        <v>645</v>
      </c>
      <c r="S580" s="66"/>
    </row>
    <row r="581" spans="1:19" x14ac:dyDescent="0.25">
      <c r="A581" s="15">
        <v>31</v>
      </c>
      <c r="B581" s="66"/>
      <c r="C581" s="66">
        <v>2429</v>
      </c>
      <c r="D581" s="66"/>
      <c r="E581" s="66" t="s">
        <v>763</v>
      </c>
      <c r="F581" s="66">
        <v>1</v>
      </c>
      <c r="G581" s="66"/>
      <c r="H581" s="66" t="e">
        <v>#N/A</v>
      </c>
      <c r="I581" s="66"/>
      <c r="J581" s="66" t="s">
        <v>870</v>
      </c>
      <c r="K581" s="66" t="s">
        <v>757</v>
      </c>
      <c r="L581" s="66" t="s">
        <v>757</v>
      </c>
      <c r="M581" s="66" t="s">
        <v>757</v>
      </c>
      <c r="N581" s="66" t="s">
        <v>757</v>
      </c>
      <c r="O581" s="66" t="s">
        <v>880</v>
      </c>
      <c r="P581" s="66"/>
      <c r="Q581" s="66">
        <v>1</v>
      </c>
      <c r="R581" s="66">
        <v>646</v>
      </c>
      <c r="S581" s="66"/>
    </row>
    <row r="582" spans="1:19" x14ac:dyDescent="0.25">
      <c r="A582" s="15">
        <v>31</v>
      </c>
      <c r="B582" s="66"/>
      <c r="C582" s="66">
        <v>2429</v>
      </c>
      <c r="D582" s="66"/>
      <c r="E582" s="66" t="s">
        <v>763</v>
      </c>
      <c r="F582" s="66">
        <v>0</v>
      </c>
      <c r="G582" s="66"/>
      <c r="H582" s="66">
        <v>3</v>
      </c>
      <c r="I582" s="66" t="e">
        <v>#N/A</v>
      </c>
      <c r="J582" s="66" t="s">
        <v>870</v>
      </c>
      <c r="K582" s="66"/>
      <c r="L582" s="66"/>
      <c r="M582" s="66"/>
      <c r="N582" s="66"/>
      <c r="O582" s="66" t="s">
        <v>882</v>
      </c>
      <c r="P582" s="66"/>
      <c r="Q582" s="66">
        <v>1</v>
      </c>
      <c r="R582" s="66">
        <v>863</v>
      </c>
      <c r="S582" s="66"/>
    </row>
    <row r="583" spans="1:19" x14ac:dyDescent="0.25">
      <c r="A583" s="15">
        <v>31</v>
      </c>
      <c r="B583" s="66"/>
      <c r="C583" s="66">
        <v>2429</v>
      </c>
      <c r="D583" s="66"/>
      <c r="E583" s="66" t="s">
        <v>763</v>
      </c>
      <c r="F583" s="66">
        <v>0</v>
      </c>
      <c r="G583" s="66"/>
      <c r="H583" s="66">
        <v>3</v>
      </c>
      <c r="I583" s="66" t="e">
        <v>#N/A</v>
      </c>
      <c r="J583" s="66" t="s">
        <v>870</v>
      </c>
      <c r="K583" s="66"/>
      <c r="L583" s="66"/>
      <c r="M583" s="66"/>
      <c r="N583" s="66"/>
      <c r="O583" s="66" t="s">
        <v>883</v>
      </c>
      <c r="P583" s="66"/>
      <c r="Q583" s="66">
        <v>1</v>
      </c>
      <c r="R583" s="66">
        <v>864</v>
      </c>
      <c r="S583" s="66"/>
    </row>
    <row r="584" spans="1:19" x14ac:dyDescent="0.25">
      <c r="A584" s="15">
        <v>31</v>
      </c>
      <c r="B584" s="66"/>
      <c r="C584" s="66">
        <v>2429</v>
      </c>
      <c r="D584" s="66"/>
      <c r="E584" s="66" t="s">
        <v>763</v>
      </c>
      <c r="F584" s="66">
        <v>0</v>
      </c>
      <c r="G584" s="66"/>
      <c r="H584" s="66">
        <v>3</v>
      </c>
      <c r="I584" s="66" t="e">
        <v>#N/A</v>
      </c>
      <c r="J584" s="66" t="s">
        <v>870</v>
      </c>
      <c r="K584" s="66"/>
      <c r="L584" s="66"/>
      <c r="M584" s="66"/>
      <c r="N584" s="66"/>
      <c r="O584" s="66" t="s">
        <v>884</v>
      </c>
      <c r="P584" s="66"/>
      <c r="Q584" s="66">
        <v>1</v>
      </c>
      <c r="R584" s="66">
        <v>865</v>
      </c>
      <c r="S584" s="66"/>
    </row>
    <row r="585" spans="1:19" x14ac:dyDescent="0.25">
      <c r="A585" s="15">
        <v>31</v>
      </c>
      <c r="B585" s="66"/>
      <c r="C585" s="66">
        <v>2429</v>
      </c>
      <c r="D585" s="66"/>
      <c r="E585" s="66" t="s">
        <v>763</v>
      </c>
      <c r="F585" s="66">
        <v>0</v>
      </c>
      <c r="G585" s="66"/>
      <c r="H585" s="66">
        <v>3</v>
      </c>
      <c r="I585" s="66" t="e">
        <v>#N/A</v>
      </c>
      <c r="J585" s="66" t="s">
        <v>870</v>
      </c>
      <c r="K585" s="66"/>
      <c r="L585" s="66"/>
      <c r="M585" s="66"/>
      <c r="N585" s="66"/>
      <c r="O585" s="66" t="s">
        <v>885</v>
      </c>
      <c r="P585" s="66"/>
      <c r="Q585" s="66">
        <v>1</v>
      </c>
      <c r="R585" s="66">
        <v>866</v>
      </c>
      <c r="S585" s="66"/>
    </row>
    <row r="586" spans="1:19" x14ac:dyDescent="0.25">
      <c r="A586" s="15">
        <v>31</v>
      </c>
      <c r="B586" s="66"/>
      <c r="C586" s="66">
        <v>2429</v>
      </c>
      <c r="D586" s="66"/>
      <c r="E586" s="66" t="s">
        <v>763</v>
      </c>
      <c r="F586" s="66">
        <v>0</v>
      </c>
      <c r="G586" s="66"/>
      <c r="H586" s="66">
        <v>3</v>
      </c>
      <c r="I586" s="66" t="e">
        <v>#N/A</v>
      </c>
      <c r="J586" s="66" t="s">
        <v>870</v>
      </c>
      <c r="K586" s="66"/>
      <c r="L586" s="66"/>
      <c r="M586" s="66"/>
      <c r="N586" s="66"/>
      <c r="O586" s="66" t="s">
        <v>886</v>
      </c>
      <c r="P586" s="66"/>
      <c r="Q586" s="66">
        <v>1</v>
      </c>
      <c r="R586" s="66">
        <v>867</v>
      </c>
      <c r="S586" s="66"/>
    </row>
    <row r="587" spans="1:19" x14ac:dyDescent="0.25">
      <c r="A587" s="15">
        <v>31</v>
      </c>
      <c r="B587" s="66"/>
      <c r="C587" s="66">
        <v>2429</v>
      </c>
      <c r="D587" s="66"/>
      <c r="E587" s="66" t="s">
        <v>763</v>
      </c>
      <c r="F587" s="66">
        <v>0</v>
      </c>
      <c r="G587" s="66"/>
      <c r="H587" s="66">
        <v>3</v>
      </c>
      <c r="I587" s="66" t="e">
        <v>#N/A</v>
      </c>
      <c r="J587" s="66" t="s">
        <v>870</v>
      </c>
      <c r="K587" s="66"/>
      <c r="L587" s="66"/>
      <c r="M587" s="66"/>
      <c r="N587" s="66"/>
      <c r="O587" s="66" t="s">
        <v>887</v>
      </c>
      <c r="P587" s="66"/>
      <c r="Q587" s="66">
        <v>1</v>
      </c>
      <c r="R587" s="66">
        <v>868</v>
      </c>
      <c r="S587" s="66"/>
    </row>
    <row r="588" spans="1:19" x14ac:dyDescent="0.25">
      <c r="A588" s="15">
        <v>31</v>
      </c>
      <c r="B588" s="66"/>
      <c r="C588" s="66">
        <v>2429</v>
      </c>
      <c r="D588" s="66"/>
      <c r="E588" s="66" t="s">
        <v>763</v>
      </c>
      <c r="F588" s="66">
        <v>0</v>
      </c>
      <c r="G588" s="66"/>
      <c r="H588" s="66">
        <v>3</v>
      </c>
      <c r="I588" s="66" t="e">
        <v>#N/A</v>
      </c>
      <c r="J588" s="66" t="s">
        <v>870</v>
      </c>
      <c r="K588" s="66"/>
      <c r="L588" s="66"/>
      <c r="M588" s="66"/>
      <c r="N588" s="66"/>
      <c r="O588" s="66" t="s">
        <v>888</v>
      </c>
      <c r="P588" s="66"/>
      <c r="Q588" s="66">
        <v>1</v>
      </c>
      <c r="R588" s="66">
        <v>869</v>
      </c>
      <c r="S588" s="66"/>
    </row>
    <row r="589" spans="1:19" x14ac:dyDescent="0.25">
      <c r="A589" s="15">
        <v>31</v>
      </c>
      <c r="B589" s="66"/>
      <c r="C589" s="66">
        <v>2429</v>
      </c>
      <c r="D589" s="66"/>
      <c r="E589" s="66" t="s">
        <v>763</v>
      </c>
      <c r="F589" s="66">
        <v>0</v>
      </c>
      <c r="G589" s="66"/>
      <c r="H589" s="66">
        <v>3</v>
      </c>
      <c r="I589" s="66" t="e">
        <v>#N/A</v>
      </c>
      <c r="J589" s="66" t="s">
        <v>870</v>
      </c>
      <c r="K589" s="66"/>
      <c r="L589" s="66"/>
      <c r="M589" s="66"/>
      <c r="N589" s="66"/>
      <c r="O589" s="66" t="s">
        <v>889</v>
      </c>
      <c r="P589" s="66"/>
      <c r="Q589" s="66">
        <v>1</v>
      </c>
      <c r="R589" s="66">
        <v>870</v>
      </c>
      <c r="S589" s="66"/>
    </row>
    <row r="590" spans="1:19" x14ac:dyDescent="0.25">
      <c r="A590" s="15">
        <v>31</v>
      </c>
      <c r="B590" s="66"/>
      <c r="C590" s="66">
        <v>2429</v>
      </c>
      <c r="D590" s="66"/>
      <c r="E590" s="66" t="s">
        <v>763</v>
      </c>
      <c r="F590" s="66">
        <v>0</v>
      </c>
      <c r="G590" s="66"/>
      <c r="H590" s="66">
        <v>3</v>
      </c>
      <c r="I590" s="66" t="e">
        <v>#N/A</v>
      </c>
      <c r="J590" s="66" t="s">
        <v>870</v>
      </c>
      <c r="K590" s="66"/>
      <c r="L590" s="66"/>
      <c r="M590" s="66"/>
      <c r="N590" s="66"/>
      <c r="O590" s="66" t="s">
        <v>890</v>
      </c>
      <c r="P590" s="66"/>
      <c r="Q590" s="66">
        <v>1</v>
      </c>
      <c r="R590" s="66">
        <v>871</v>
      </c>
      <c r="S590" s="66"/>
    </row>
    <row r="591" spans="1:19" x14ac:dyDescent="0.25">
      <c r="A591" s="15">
        <v>31</v>
      </c>
      <c r="B591" s="66"/>
      <c r="C591" s="66">
        <v>2429</v>
      </c>
      <c r="D591" s="66"/>
      <c r="E591" s="66" t="s">
        <v>763</v>
      </c>
      <c r="F591" s="66">
        <v>0</v>
      </c>
      <c r="G591" s="66"/>
      <c r="H591" s="66">
        <v>3</v>
      </c>
      <c r="I591" s="66" t="e">
        <v>#N/A</v>
      </c>
      <c r="J591" s="66" t="s">
        <v>870</v>
      </c>
      <c r="K591" s="66"/>
      <c r="L591" s="66"/>
      <c r="M591" s="66"/>
      <c r="N591" s="66"/>
      <c r="O591" s="66" t="s">
        <v>891</v>
      </c>
      <c r="P591" s="66"/>
      <c r="Q591" s="66">
        <v>1</v>
      </c>
      <c r="R591" s="66">
        <v>872</v>
      </c>
      <c r="S591" s="66"/>
    </row>
    <row r="592" spans="1:19" x14ac:dyDescent="0.25">
      <c r="A592" s="15">
        <v>31</v>
      </c>
      <c r="B592" s="66"/>
      <c r="C592" s="66">
        <v>2429</v>
      </c>
      <c r="D592" s="66"/>
      <c r="E592" s="66" t="s">
        <v>763</v>
      </c>
      <c r="F592" s="66">
        <v>0</v>
      </c>
      <c r="G592" s="66"/>
      <c r="H592" s="66">
        <v>3</v>
      </c>
      <c r="I592" s="66" t="e">
        <v>#N/A</v>
      </c>
      <c r="J592" s="66" t="s">
        <v>870</v>
      </c>
      <c r="K592" s="66"/>
      <c r="L592" s="66"/>
      <c r="M592" s="66"/>
      <c r="N592" s="66"/>
      <c r="O592" s="66" t="s">
        <v>892</v>
      </c>
      <c r="P592" s="66"/>
      <c r="Q592" s="66">
        <v>1</v>
      </c>
      <c r="R592" s="66">
        <v>873</v>
      </c>
      <c r="S592" s="66"/>
    </row>
    <row r="593" spans="1:19" x14ac:dyDescent="0.25">
      <c r="A593" s="15">
        <v>31</v>
      </c>
      <c r="B593" s="66"/>
      <c r="C593" s="66">
        <v>2429</v>
      </c>
      <c r="D593" s="66"/>
      <c r="E593" s="66" t="s">
        <v>763</v>
      </c>
      <c r="F593" s="66">
        <v>3</v>
      </c>
      <c r="G593" s="66"/>
      <c r="H593" s="66">
        <v>3</v>
      </c>
      <c r="I593" s="66" t="e">
        <v>#N/A</v>
      </c>
      <c r="J593" s="66" t="s">
        <v>870</v>
      </c>
      <c r="K593" s="66"/>
      <c r="L593" s="66"/>
      <c r="M593" s="66"/>
      <c r="N593" s="66"/>
      <c r="O593" s="66" t="s">
        <v>894</v>
      </c>
      <c r="P593" s="66"/>
      <c r="Q593" s="66">
        <v>1</v>
      </c>
      <c r="R593" s="66">
        <v>1090</v>
      </c>
      <c r="S593" s="66"/>
    </row>
    <row r="594" spans="1:19" x14ac:dyDescent="0.25">
      <c r="A594" s="15">
        <v>31</v>
      </c>
      <c r="B594" s="66"/>
      <c r="C594" s="66">
        <v>2429</v>
      </c>
      <c r="D594" s="66"/>
      <c r="E594" s="66" t="s">
        <v>763</v>
      </c>
      <c r="F594" s="66">
        <v>3</v>
      </c>
      <c r="G594" s="66"/>
      <c r="H594" s="66">
        <v>3</v>
      </c>
      <c r="I594" s="66" t="e">
        <v>#N/A</v>
      </c>
      <c r="J594" s="66" t="s">
        <v>870</v>
      </c>
      <c r="K594" s="66"/>
      <c r="L594" s="66"/>
      <c r="M594" s="66"/>
      <c r="N594" s="66"/>
      <c r="O594" s="66" t="s">
        <v>895</v>
      </c>
      <c r="P594" s="66"/>
      <c r="Q594" s="66">
        <v>1</v>
      </c>
      <c r="R594" s="66">
        <v>1091</v>
      </c>
      <c r="S594" s="66"/>
    </row>
    <row r="595" spans="1:19" x14ac:dyDescent="0.25">
      <c r="A595" s="15">
        <v>31</v>
      </c>
      <c r="B595" s="66"/>
      <c r="C595" s="66">
        <v>2429</v>
      </c>
      <c r="D595" s="66"/>
      <c r="E595" s="66" t="s">
        <v>763</v>
      </c>
      <c r="F595" s="66">
        <v>3</v>
      </c>
      <c r="G595" s="66"/>
      <c r="H595" s="66">
        <v>3</v>
      </c>
      <c r="I595" s="66" t="e">
        <v>#N/A</v>
      </c>
      <c r="J595" s="66" t="s">
        <v>870</v>
      </c>
      <c r="K595" s="66"/>
      <c r="L595" s="66"/>
      <c r="M595" s="66"/>
      <c r="N595" s="66"/>
      <c r="O595" s="66" t="s">
        <v>896</v>
      </c>
      <c r="P595" s="66"/>
      <c r="Q595" s="66">
        <v>1</v>
      </c>
      <c r="R595" s="66">
        <v>1092</v>
      </c>
      <c r="S595" s="66"/>
    </row>
    <row r="596" spans="1:19" x14ac:dyDescent="0.25">
      <c r="A596" s="15">
        <v>31</v>
      </c>
      <c r="B596" s="66"/>
      <c r="C596" s="66">
        <v>2429</v>
      </c>
      <c r="D596" s="66"/>
      <c r="E596" s="66" t="s">
        <v>763</v>
      </c>
      <c r="F596" s="66">
        <v>3</v>
      </c>
      <c r="G596" s="66"/>
      <c r="H596" s="66">
        <v>3</v>
      </c>
      <c r="I596" s="66" t="e">
        <v>#N/A</v>
      </c>
      <c r="J596" s="66" t="s">
        <v>870</v>
      </c>
      <c r="K596" s="66"/>
      <c r="L596" s="66"/>
      <c r="M596" s="66"/>
      <c r="N596" s="66"/>
      <c r="O596" s="66" t="s">
        <v>897</v>
      </c>
      <c r="P596" s="66"/>
      <c r="Q596" s="66">
        <v>1</v>
      </c>
      <c r="R596" s="66">
        <v>1093</v>
      </c>
      <c r="S596" s="66"/>
    </row>
    <row r="597" spans="1:19" x14ac:dyDescent="0.25">
      <c r="A597" s="15">
        <v>31</v>
      </c>
      <c r="B597" s="66"/>
      <c r="C597" s="66">
        <v>2429</v>
      </c>
      <c r="D597" s="66"/>
      <c r="E597" s="66" t="s">
        <v>763</v>
      </c>
      <c r="F597" s="66">
        <v>3</v>
      </c>
      <c r="G597" s="66"/>
      <c r="H597" s="66">
        <v>3</v>
      </c>
      <c r="I597" s="66" t="e">
        <v>#N/A</v>
      </c>
      <c r="J597" s="66" t="s">
        <v>870</v>
      </c>
      <c r="K597" s="66"/>
      <c r="L597" s="66"/>
      <c r="M597" s="66"/>
      <c r="N597" s="66"/>
      <c r="O597" s="66" t="s">
        <v>898</v>
      </c>
      <c r="P597" s="66"/>
      <c r="Q597" s="66">
        <v>1</v>
      </c>
      <c r="R597" s="66">
        <v>1094</v>
      </c>
      <c r="S597" s="66"/>
    </row>
    <row r="598" spans="1:19" x14ac:dyDescent="0.25">
      <c r="A598" s="15">
        <v>31</v>
      </c>
      <c r="B598" s="66"/>
      <c r="C598" s="66">
        <v>2429</v>
      </c>
      <c r="D598" s="66"/>
      <c r="E598" s="66" t="s">
        <v>763</v>
      </c>
      <c r="F598" s="66">
        <v>3</v>
      </c>
      <c r="G598" s="66"/>
      <c r="H598" s="66">
        <v>3</v>
      </c>
      <c r="I598" s="66" t="e">
        <v>#N/A</v>
      </c>
      <c r="J598" s="66" t="s">
        <v>870</v>
      </c>
      <c r="K598" s="66"/>
      <c r="L598" s="66"/>
      <c r="M598" s="66"/>
      <c r="N598" s="66"/>
      <c r="O598" s="66" t="s">
        <v>899</v>
      </c>
      <c r="P598" s="66"/>
      <c r="Q598" s="66">
        <v>1</v>
      </c>
      <c r="R598" s="66">
        <v>1095</v>
      </c>
      <c r="S598" s="66"/>
    </row>
    <row r="599" spans="1:19" x14ac:dyDescent="0.25">
      <c r="A599" s="15">
        <v>31</v>
      </c>
      <c r="B599" s="66"/>
      <c r="C599" s="66">
        <v>2429</v>
      </c>
      <c r="D599" s="66"/>
      <c r="E599" s="66" t="s">
        <v>763</v>
      </c>
      <c r="F599" s="66">
        <v>3</v>
      </c>
      <c r="G599" s="66"/>
      <c r="H599" s="66">
        <v>3</v>
      </c>
      <c r="I599" s="66" t="e">
        <v>#N/A</v>
      </c>
      <c r="J599" s="66" t="s">
        <v>870</v>
      </c>
      <c r="K599" s="66"/>
      <c r="L599" s="66"/>
      <c r="M599" s="66"/>
      <c r="N599" s="66"/>
      <c r="O599" s="66" t="s">
        <v>900</v>
      </c>
      <c r="P599" s="66"/>
      <c r="Q599" s="66">
        <v>1</v>
      </c>
      <c r="R599" s="66">
        <v>1096</v>
      </c>
      <c r="S599" s="66"/>
    </row>
    <row r="600" spans="1:19" x14ac:dyDescent="0.25">
      <c r="A600" s="15">
        <v>31</v>
      </c>
      <c r="B600" s="66"/>
      <c r="C600" s="66">
        <v>2429</v>
      </c>
      <c r="D600" s="66"/>
      <c r="E600" s="66" t="s">
        <v>763</v>
      </c>
      <c r="F600" s="66">
        <v>3</v>
      </c>
      <c r="G600" s="66"/>
      <c r="H600" s="66">
        <v>3</v>
      </c>
      <c r="I600" s="66" t="e">
        <v>#N/A</v>
      </c>
      <c r="J600" s="66" t="s">
        <v>870</v>
      </c>
      <c r="K600" s="66"/>
      <c r="L600" s="66"/>
      <c r="M600" s="66"/>
      <c r="N600" s="66"/>
      <c r="O600" s="66" t="s">
        <v>901</v>
      </c>
      <c r="P600" s="66"/>
      <c r="Q600" s="66">
        <v>1</v>
      </c>
      <c r="R600" s="66">
        <v>1097</v>
      </c>
      <c r="S600" s="66"/>
    </row>
    <row r="601" spans="1:19" x14ac:dyDescent="0.25">
      <c r="A601" s="15">
        <v>31</v>
      </c>
      <c r="B601" s="66"/>
      <c r="C601" s="66">
        <v>2429</v>
      </c>
      <c r="D601" s="66"/>
      <c r="E601" s="66" t="s">
        <v>763</v>
      </c>
      <c r="F601" s="66">
        <v>3</v>
      </c>
      <c r="G601" s="66"/>
      <c r="H601" s="66">
        <v>3</v>
      </c>
      <c r="I601" s="66" t="e">
        <v>#N/A</v>
      </c>
      <c r="J601" s="66" t="s">
        <v>870</v>
      </c>
      <c r="K601" s="66"/>
      <c r="L601" s="66"/>
      <c r="M601" s="66"/>
      <c r="N601" s="66"/>
      <c r="O601" s="66" t="s">
        <v>902</v>
      </c>
      <c r="P601" s="66"/>
      <c r="Q601" s="66">
        <v>1</v>
      </c>
      <c r="R601" s="66">
        <v>1098</v>
      </c>
      <c r="S601" s="66"/>
    </row>
    <row r="602" spans="1:19" x14ac:dyDescent="0.25">
      <c r="A602" s="15">
        <v>31</v>
      </c>
      <c r="B602" s="66"/>
      <c r="C602" s="66">
        <v>2429</v>
      </c>
      <c r="D602" s="66"/>
      <c r="E602" s="66" t="s">
        <v>763</v>
      </c>
      <c r="F602" s="66">
        <v>3</v>
      </c>
      <c r="G602" s="66"/>
      <c r="H602" s="66">
        <v>3</v>
      </c>
      <c r="I602" s="66" t="e">
        <v>#N/A</v>
      </c>
      <c r="J602" s="66" t="s">
        <v>870</v>
      </c>
      <c r="K602" s="66"/>
      <c r="L602" s="66"/>
      <c r="M602" s="66"/>
      <c r="N602" s="66"/>
      <c r="O602" s="66" t="s">
        <v>903</v>
      </c>
      <c r="P602" s="66"/>
      <c r="Q602" s="66">
        <v>1</v>
      </c>
      <c r="R602" s="66">
        <v>1099</v>
      </c>
      <c r="S602" s="66"/>
    </row>
    <row r="603" spans="1:19" x14ac:dyDescent="0.25">
      <c r="A603" s="15">
        <v>31</v>
      </c>
      <c r="B603" s="66"/>
      <c r="C603" s="66">
        <v>2429</v>
      </c>
      <c r="D603" s="66"/>
      <c r="E603" s="66" t="s">
        <v>763</v>
      </c>
      <c r="F603" s="66">
        <v>3</v>
      </c>
      <c r="G603" s="66"/>
      <c r="H603" s="66">
        <v>3</v>
      </c>
      <c r="I603" s="66" t="e">
        <v>#N/A</v>
      </c>
      <c r="J603" s="66" t="s">
        <v>870</v>
      </c>
      <c r="K603" s="66"/>
      <c r="L603" s="66"/>
      <c r="M603" s="66"/>
      <c r="N603" s="66"/>
      <c r="O603" s="66" t="s">
        <v>904</v>
      </c>
      <c r="P603" s="66"/>
      <c r="Q603" s="66">
        <v>1</v>
      </c>
      <c r="R603" s="66">
        <v>1100</v>
      </c>
      <c r="S603" s="66"/>
    </row>
    <row r="604" spans="1:19" x14ac:dyDescent="0.25">
      <c r="A604" s="15">
        <v>31</v>
      </c>
      <c r="B604" s="66"/>
      <c r="C604" s="66">
        <v>2429</v>
      </c>
      <c r="D604" s="66"/>
      <c r="E604" s="66" t="s">
        <v>763</v>
      </c>
      <c r="F604" s="66">
        <v>3</v>
      </c>
      <c r="G604" s="66"/>
      <c r="H604" s="66" t="e">
        <v>#N/A</v>
      </c>
      <c r="I604" s="66"/>
      <c r="J604" s="66" t="s">
        <v>870</v>
      </c>
      <c r="K604" s="66"/>
      <c r="L604" s="66"/>
      <c r="M604" s="66"/>
      <c r="N604" s="66"/>
      <c r="O604" s="66" t="s">
        <v>906</v>
      </c>
      <c r="P604" s="66"/>
      <c r="Q604" s="66">
        <v>1</v>
      </c>
      <c r="R604" s="66">
        <v>1273</v>
      </c>
      <c r="S604" s="66"/>
    </row>
    <row r="605" spans="1:19" x14ac:dyDescent="0.25">
      <c r="A605" s="15">
        <v>31</v>
      </c>
      <c r="B605" s="66"/>
      <c r="C605" s="66">
        <v>2429</v>
      </c>
      <c r="D605" s="66"/>
      <c r="E605" s="66" t="s">
        <v>763</v>
      </c>
      <c r="F605" s="66">
        <v>5</v>
      </c>
      <c r="G605" s="66"/>
      <c r="H605" s="66" t="e">
        <v>#N/A</v>
      </c>
      <c r="I605" s="66"/>
      <c r="J605" s="66" t="s">
        <v>870</v>
      </c>
      <c r="K605" s="66"/>
      <c r="L605" s="66"/>
      <c r="M605" s="66"/>
      <c r="N605" s="66"/>
      <c r="O605" s="66" t="s">
        <v>908</v>
      </c>
      <c r="P605" s="66"/>
      <c r="Q605" s="66">
        <v>1</v>
      </c>
      <c r="R605" s="66">
        <v>1384</v>
      </c>
      <c r="S605" s="66"/>
    </row>
    <row r="606" spans="1:19" x14ac:dyDescent="0.25">
      <c r="A606" s="15">
        <v>31</v>
      </c>
      <c r="B606" s="66"/>
      <c r="C606" s="66">
        <v>2429</v>
      </c>
      <c r="D606" s="66"/>
      <c r="E606" s="66" t="s">
        <v>763</v>
      </c>
      <c r="F606" s="66">
        <v>5</v>
      </c>
      <c r="G606" s="66"/>
      <c r="H606" s="66" t="e">
        <v>#N/A</v>
      </c>
      <c r="I606" s="66"/>
      <c r="J606" s="66" t="s">
        <v>870</v>
      </c>
      <c r="K606" s="66"/>
      <c r="L606" s="66"/>
      <c r="M606" s="66"/>
      <c r="N606" s="66"/>
      <c r="O606" s="66" t="s">
        <v>909</v>
      </c>
      <c r="P606" s="66"/>
      <c r="Q606" s="66">
        <v>1</v>
      </c>
      <c r="R606" s="66">
        <v>1385</v>
      </c>
      <c r="S606" s="66"/>
    </row>
    <row r="607" spans="1:19" x14ac:dyDescent="0.25">
      <c r="A607" s="15">
        <v>31</v>
      </c>
      <c r="B607" s="66"/>
      <c r="C607" s="66">
        <v>2429</v>
      </c>
      <c r="D607" s="66"/>
      <c r="E607" s="66" t="s">
        <v>763</v>
      </c>
      <c r="F607" s="66">
        <v>5</v>
      </c>
      <c r="G607" s="66"/>
      <c r="H607" s="66" t="e">
        <v>#N/A</v>
      </c>
      <c r="I607" s="66"/>
      <c r="J607" s="66" t="s">
        <v>870</v>
      </c>
      <c r="K607" s="66"/>
      <c r="L607" s="66"/>
      <c r="M607" s="66"/>
      <c r="N607" s="66"/>
      <c r="O607" s="66" t="s">
        <v>910</v>
      </c>
      <c r="P607" s="66"/>
      <c r="Q607" s="66">
        <v>1</v>
      </c>
      <c r="R607" s="66">
        <v>1386</v>
      </c>
      <c r="S607" s="66"/>
    </row>
    <row r="608" spans="1:19" x14ac:dyDescent="0.25">
      <c r="A608" s="15">
        <v>31</v>
      </c>
      <c r="B608" s="66"/>
      <c r="C608" s="66">
        <v>2429</v>
      </c>
      <c r="D608" s="66"/>
      <c r="E608" s="66" t="s">
        <v>763</v>
      </c>
      <c r="F608" s="66">
        <v>5</v>
      </c>
      <c r="G608" s="66"/>
      <c r="H608" s="66" t="e">
        <v>#N/A</v>
      </c>
      <c r="I608" s="66"/>
      <c r="J608" s="66" t="s">
        <v>870</v>
      </c>
      <c r="K608" s="66"/>
      <c r="L608" s="66"/>
      <c r="M608" s="66"/>
      <c r="N608" s="66"/>
      <c r="O608" s="66" t="s">
        <v>911</v>
      </c>
      <c r="P608" s="66"/>
      <c r="Q608" s="66">
        <v>1</v>
      </c>
      <c r="R608" s="66">
        <v>1387</v>
      </c>
      <c r="S608" s="66"/>
    </row>
    <row r="609" spans="1:19" x14ac:dyDescent="0.25">
      <c r="A609" s="15">
        <v>31</v>
      </c>
      <c r="B609" s="66"/>
      <c r="C609" s="66">
        <v>2429</v>
      </c>
      <c r="D609" s="66"/>
      <c r="E609" s="66" t="s">
        <v>763</v>
      </c>
      <c r="F609" s="66">
        <v>5</v>
      </c>
      <c r="G609" s="66"/>
      <c r="H609" s="66" t="e">
        <v>#N/A</v>
      </c>
      <c r="I609" s="66"/>
      <c r="J609" s="66" t="s">
        <v>870</v>
      </c>
      <c r="K609" s="66"/>
      <c r="L609" s="66"/>
      <c r="M609" s="66"/>
      <c r="N609" s="66"/>
      <c r="O609" s="66" t="s">
        <v>912</v>
      </c>
      <c r="P609" s="66"/>
      <c r="Q609" s="66">
        <v>1</v>
      </c>
      <c r="R609" s="66">
        <v>1388</v>
      </c>
      <c r="S609" s="66"/>
    </row>
    <row r="610" spans="1:19" x14ac:dyDescent="0.25">
      <c r="A610" s="15">
        <v>31</v>
      </c>
      <c r="B610" s="66"/>
      <c r="C610" s="66">
        <v>2429</v>
      </c>
      <c r="D610" s="66"/>
      <c r="E610" s="66" t="s">
        <v>763</v>
      </c>
      <c r="F610" s="66">
        <v>5</v>
      </c>
      <c r="G610" s="66"/>
      <c r="H610" s="66" t="e">
        <v>#N/A</v>
      </c>
      <c r="I610" s="66"/>
      <c r="J610" s="66" t="s">
        <v>870</v>
      </c>
      <c r="K610" s="66"/>
      <c r="L610" s="66"/>
      <c r="M610" s="66"/>
      <c r="N610" s="66"/>
      <c r="O610" s="66" t="s">
        <v>913</v>
      </c>
      <c r="P610" s="66"/>
      <c r="Q610" s="66">
        <v>1</v>
      </c>
      <c r="R610" s="66">
        <v>1389</v>
      </c>
      <c r="S610" s="66"/>
    </row>
    <row r="611" spans="1:19" x14ac:dyDescent="0.25">
      <c r="A611" s="15">
        <v>31</v>
      </c>
      <c r="B611" s="66"/>
      <c r="C611" s="66">
        <v>2429</v>
      </c>
      <c r="D611" s="66"/>
      <c r="E611" s="66" t="s">
        <v>763</v>
      </c>
      <c r="F611" s="66">
        <v>5</v>
      </c>
      <c r="G611" s="66"/>
      <c r="H611" s="66" t="e">
        <v>#N/A</v>
      </c>
      <c r="I611" s="66"/>
      <c r="J611" s="66" t="s">
        <v>870</v>
      </c>
      <c r="K611" s="66"/>
      <c r="L611" s="66"/>
      <c r="M611" s="66"/>
      <c r="N611" s="66"/>
      <c r="O611" s="66" t="s">
        <v>914</v>
      </c>
      <c r="P611" s="66"/>
      <c r="Q611" s="66">
        <v>1</v>
      </c>
      <c r="R611" s="66">
        <v>1390</v>
      </c>
      <c r="S611" s="66"/>
    </row>
    <row r="612" spans="1:19" x14ac:dyDescent="0.25">
      <c r="A612" s="15">
        <v>31</v>
      </c>
      <c r="B612" s="66"/>
      <c r="C612" s="66">
        <v>2429</v>
      </c>
      <c r="D612" s="66"/>
      <c r="E612" s="66" t="s">
        <v>763</v>
      </c>
      <c r="F612" s="66">
        <v>5</v>
      </c>
      <c r="G612" s="66"/>
      <c r="H612" s="66" t="e">
        <v>#N/A</v>
      </c>
      <c r="I612" s="66"/>
      <c r="J612" s="66" t="s">
        <v>870</v>
      </c>
      <c r="K612" s="66"/>
      <c r="L612" s="66"/>
      <c r="M612" s="66"/>
      <c r="N612" s="66"/>
      <c r="O612" s="66" t="s">
        <v>915</v>
      </c>
      <c r="P612" s="66"/>
      <c r="Q612" s="66">
        <v>1</v>
      </c>
      <c r="R612" s="66">
        <v>1391</v>
      </c>
      <c r="S612" s="66"/>
    </row>
    <row r="613" spans="1:19" x14ac:dyDescent="0.25">
      <c r="A613" s="15">
        <v>31</v>
      </c>
      <c r="B613" s="66"/>
      <c r="C613" s="66">
        <v>2429</v>
      </c>
      <c r="D613" s="66"/>
      <c r="E613" s="66" t="s">
        <v>763</v>
      </c>
      <c r="F613" s="66">
        <v>5</v>
      </c>
      <c r="G613" s="66"/>
      <c r="H613" s="66" t="e">
        <v>#N/A</v>
      </c>
      <c r="I613" s="66"/>
      <c r="J613" s="66" t="s">
        <v>870</v>
      </c>
      <c r="K613" s="66"/>
      <c r="L613" s="66"/>
      <c r="M613" s="66"/>
      <c r="N613" s="66"/>
      <c r="O613" s="66" t="s">
        <v>916</v>
      </c>
      <c r="P613" s="66"/>
      <c r="Q613" s="66">
        <v>1</v>
      </c>
      <c r="R613" s="66">
        <v>1392</v>
      </c>
      <c r="S613" s="66"/>
    </row>
    <row r="614" spans="1:19" x14ac:dyDescent="0.25">
      <c r="A614" s="15">
        <v>31</v>
      </c>
      <c r="B614" s="66"/>
      <c r="C614" s="66">
        <v>2429</v>
      </c>
      <c r="D614" s="66"/>
      <c r="E614" s="66" t="s">
        <v>763</v>
      </c>
      <c r="F614" s="66">
        <v>5</v>
      </c>
      <c r="G614" s="66"/>
      <c r="H614" s="66" t="e">
        <v>#N/A</v>
      </c>
      <c r="I614" s="66"/>
      <c r="J614" s="66" t="s">
        <v>870</v>
      </c>
      <c r="K614" s="66"/>
      <c r="L614" s="66"/>
      <c r="M614" s="66"/>
      <c r="N614" s="66"/>
      <c r="O614" s="66" t="s">
        <v>917</v>
      </c>
      <c r="P614" s="66"/>
      <c r="Q614" s="66">
        <v>1</v>
      </c>
      <c r="R614" s="66">
        <v>1393</v>
      </c>
      <c r="S614" s="66"/>
    </row>
    <row r="615" spans="1:19" x14ac:dyDescent="0.25">
      <c r="A615" s="15">
        <v>31</v>
      </c>
      <c r="B615" s="66"/>
      <c r="C615" s="66">
        <v>2429</v>
      </c>
      <c r="D615" s="66"/>
      <c r="E615" s="66" t="s">
        <v>763</v>
      </c>
      <c r="F615" s="66">
        <v>5</v>
      </c>
      <c r="G615" s="66"/>
      <c r="H615" s="66" t="e">
        <v>#N/A</v>
      </c>
      <c r="I615" s="66"/>
      <c r="J615" s="66" t="s">
        <v>870</v>
      </c>
      <c r="K615" s="66"/>
      <c r="L615" s="66"/>
      <c r="M615" s="66"/>
      <c r="N615" s="66"/>
      <c r="O615" s="66" t="s">
        <v>918</v>
      </c>
      <c r="P615" s="66"/>
      <c r="Q615" s="66">
        <v>1</v>
      </c>
      <c r="R615" s="66">
        <v>1394</v>
      </c>
      <c r="S615" s="66"/>
    </row>
    <row r="616" spans="1:19" x14ac:dyDescent="0.25">
      <c r="A616" s="15">
        <v>32</v>
      </c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</row>
    <row r="617" spans="1:19" x14ac:dyDescent="0.25">
      <c r="A617" s="15">
        <v>32</v>
      </c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 t="s">
        <v>789</v>
      </c>
      <c r="P617" s="66"/>
      <c r="Q617" s="66"/>
      <c r="R617" s="66"/>
      <c r="S617" s="66"/>
    </row>
    <row r="618" spans="1:19" x14ac:dyDescent="0.25">
      <c r="A618" s="15">
        <v>32</v>
      </c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 t="s">
        <v>835</v>
      </c>
      <c r="P618" s="66"/>
      <c r="Q618" s="66"/>
      <c r="R618" s="66"/>
      <c r="S618" s="66"/>
    </row>
    <row r="619" spans="1:19" x14ac:dyDescent="0.25">
      <c r="A619" s="15">
        <v>32</v>
      </c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 t="s">
        <v>844</v>
      </c>
      <c r="P619" s="66"/>
      <c r="Q619" s="66"/>
      <c r="R619" s="66"/>
      <c r="S619" s="66"/>
    </row>
    <row r="620" spans="1:19" x14ac:dyDescent="0.25">
      <c r="A620" s="15">
        <v>32</v>
      </c>
      <c r="B620" s="66"/>
      <c r="C620" s="66" t="s">
        <v>77</v>
      </c>
      <c r="D620" s="66"/>
      <c r="E620" s="66" t="s">
        <v>763</v>
      </c>
      <c r="F620" s="66">
        <v>6</v>
      </c>
      <c r="G620" s="66"/>
      <c r="H620" s="66">
        <v>7</v>
      </c>
      <c r="I620" s="66">
        <v>7.666666666666667</v>
      </c>
      <c r="J620" s="66" t="s">
        <v>850</v>
      </c>
      <c r="K620" s="66"/>
      <c r="L620" s="66"/>
      <c r="M620" s="66"/>
      <c r="N620" s="66"/>
      <c r="O620" s="66" t="s">
        <v>849</v>
      </c>
      <c r="P620" s="66"/>
      <c r="Q620" s="66">
        <v>1</v>
      </c>
      <c r="R620" s="66">
        <v>294</v>
      </c>
      <c r="S620" s="66"/>
    </row>
    <row r="621" spans="1:19" x14ac:dyDescent="0.25">
      <c r="A621" s="15">
        <v>32</v>
      </c>
      <c r="B621" s="66"/>
      <c r="C621" s="66">
        <v>2429</v>
      </c>
      <c r="D621" s="66"/>
      <c r="E621" s="66" t="s">
        <v>763</v>
      </c>
      <c r="F621" s="66">
        <v>6</v>
      </c>
      <c r="G621" s="66"/>
      <c r="H621" s="66"/>
      <c r="I621" s="66">
        <v>12.25</v>
      </c>
      <c r="J621" s="66" t="s">
        <v>850</v>
      </c>
      <c r="K621" s="66"/>
      <c r="L621" s="66"/>
      <c r="M621" s="66"/>
      <c r="N621" s="66"/>
      <c r="O621" s="66" t="s">
        <v>852</v>
      </c>
      <c r="P621" s="66"/>
      <c r="Q621" s="66">
        <v>1</v>
      </c>
      <c r="R621" s="66">
        <v>415</v>
      </c>
      <c r="S621" s="66"/>
    </row>
    <row r="622" spans="1:19" x14ac:dyDescent="0.25">
      <c r="A622" s="15">
        <v>32</v>
      </c>
      <c r="B622" s="66"/>
      <c r="C622" s="66">
        <v>2429</v>
      </c>
      <c r="D622" s="66"/>
      <c r="E622" s="66" t="s">
        <v>763</v>
      </c>
      <c r="F622" s="66">
        <v>1</v>
      </c>
      <c r="G622" s="66"/>
      <c r="H622" s="66" t="e">
        <v>#N/A</v>
      </c>
      <c r="I622" s="66"/>
      <c r="J622" s="66" t="s">
        <v>870</v>
      </c>
      <c r="K622" s="66" t="s">
        <v>757</v>
      </c>
      <c r="L622" s="66" t="s">
        <v>757</v>
      </c>
      <c r="M622" s="66" t="s">
        <v>757</v>
      </c>
      <c r="N622" s="66" t="s">
        <v>757</v>
      </c>
      <c r="O622" s="66" t="s">
        <v>869</v>
      </c>
      <c r="P622" s="66"/>
      <c r="Q622" s="66">
        <v>1</v>
      </c>
      <c r="R622" s="66">
        <v>647</v>
      </c>
      <c r="S622" s="66"/>
    </row>
    <row r="623" spans="1:19" x14ac:dyDescent="0.25">
      <c r="A623" s="15">
        <v>32</v>
      </c>
      <c r="B623" s="66"/>
      <c r="C623" s="66">
        <v>2429</v>
      </c>
      <c r="D623" s="66"/>
      <c r="E623" s="66" t="s">
        <v>763</v>
      </c>
      <c r="F623" s="66">
        <v>0</v>
      </c>
      <c r="G623" s="66"/>
      <c r="H623" s="66">
        <v>3</v>
      </c>
      <c r="I623" s="66" t="e">
        <v>#N/A</v>
      </c>
      <c r="J623" s="66" t="s">
        <v>870</v>
      </c>
      <c r="K623" s="66"/>
      <c r="L623" s="66"/>
      <c r="M623" s="66"/>
      <c r="N623" s="66"/>
      <c r="O623" s="66" t="s">
        <v>882</v>
      </c>
      <c r="P623" s="66"/>
      <c r="Q623" s="66">
        <v>1</v>
      </c>
      <c r="R623" s="66">
        <v>874</v>
      </c>
      <c r="S623" s="66"/>
    </row>
    <row r="624" spans="1:19" x14ac:dyDescent="0.25">
      <c r="A624" s="15">
        <v>32</v>
      </c>
      <c r="B624" s="66"/>
      <c r="C624" s="66">
        <v>2429</v>
      </c>
      <c r="D624" s="66"/>
      <c r="E624" s="66" t="s">
        <v>763</v>
      </c>
      <c r="F624" s="66">
        <v>3</v>
      </c>
      <c r="G624" s="66"/>
      <c r="H624" s="66">
        <v>3</v>
      </c>
      <c r="I624" s="66" t="e">
        <v>#N/A</v>
      </c>
      <c r="J624" s="66" t="s">
        <v>870</v>
      </c>
      <c r="K624" s="66"/>
      <c r="L624" s="66"/>
      <c r="M624" s="66"/>
      <c r="N624" s="66"/>
      <c r="O624" s="66" t="s">
        <v>894</v>
      </c>
      <c r="P624" s="66"/>
      <c r="Q624" s="66">
        <v>1</v>
      </c>
      <c r="R624" s="66">
        <v>1101</v>
      </c>
      <c r="S624" s="66"/>
    </row>
    <row r="625" spans="1:19" x14ac:dyDescent="0.25">
      <c r="A625" s="15">
        <v>32</v>
      </c>
      <c r="B625" s="66"/>
      <c r="C625" s="66">
        <v>2429</v>
      </c>
      <c r="D625" s="66"/>
      <c r="E625" s="66" t="s">
        <v>763</v>
      </c>
      <c r="F625" s="66">
        <v>3</v>
      </c>
      <c r="G625" s="66"/>
      <c r="H625" s="66" t="e">
        <v>#N/A</v>
      </c>
      <c r="I625" s="66"/>
      <c r="J625" s="66" t="s">
        <v>870</v>
      </c>
      <c r="K625" s="66"/>
      <c r="L625" s="66"/>
      <c r="M625" s="66"/>
      <c r="N625" s="66"/>
      <c r="O625" s="66" t="s">
        <v>906</v>
      </c>
      <c r="P625" s="66"/>
      <c r="Q625" s="66">
        <v>1</v>
      </c>
      <c r="R625" s="66">
        <v>1274</v>
      </c>
      <c r="S625" s="66"/>
    </row>
    <row r="626" spans="1:19" x14ac:dyDescent="0.25">
      <c r="A626" s="15">
        <v>32</v>
      </c>
      <c r="B626" s="66"/>
      <c r="C626" s="66">
        <v>2429</v>
      </c>
      <c r="D626" s="66"/>
      <c r="E626" s="66" t="s">
        <v>763</v>
      </c>
      <c r="F626" s="66">
        <v>5</v>
      </c>
      <c r="G626" s="66"/>
      <c r="H626" s="66" t="e">
        <v>#N/A</v>
      </c>
      <c r="I626" s="66"/>
      <c r="J626" s="66" t="s">
        <v>870</v>
      </c>
      <c r="K626" s="66"/>
      <c r="L626" s="66"/>
      <c r="M626" s="66"/>
      <c r="N626" s="66"/>
      <c r="O626" s="66" t="s">
        <v>908</v>
      </c>
      <c r="P626" s="66"/>
      <c r="Q626" s="66">
        <v>1</v>
      </c>
      <c r="R626" s="66">
        <v>1395</v>
      </c>
      <c r="S626" s="66"/>
    </row>
    <row r="627" spans="1:19" x14ac:dyDescent="0.25">
      <c r="A627" s="15">
        <v>33</v>
      </c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</row>
    <row r="628" spans="1:19" x14ac:dyDescent="0.25">
      <c r="A628" s="15">
        <v>33</v>
      </c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 t="s">
        <v>790</v>
      </c>
      <c r="P628" s="66"/>
      <c r="Q628" s="66"/>
      <c r="R628" s="66"/>
      <c r="S628" s="66"/>
    </row>
    <row r="629" spans="1:19" x14ac:dyDescent="0.25">
      <c r="A629" s="15">
        <v>33</v>
      </c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 t="s">
        <v>835</v>
      </c>
      <c r="P629" s="66"/>
      <c r="Q629" s="66"/>
      <c r="R629" s="66"/>
      <c r="S629" s="66"/>
    </row>
    <row r="630" spans="1:19" x14ac:dyDescent="0.25">
      <c r="A630" s="15">
        <v>33</v>
      </c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 t="s">
        <v>842</v>
      </c>
      <c r="P630" s="66"/>
      <c r="Q630" s="66"/>
      <c r="R630" s="66"/>
      <c r="S630" s="66"/>
    </row>
    <row r="631" spans="1:19" x14ac:dyDescent="0.25">
      <c r="A631" s="15">
        <v>33</v>
      </c>
      <c r="B631" s="66"/>
      <c r="C631" s="66" t="s">
        <v>77</v>
      </c>
      <c r="D631" s="66"/>
      <c r="E631" s="66" t="s">
        <v>763</v>
      </c>
      <c r="F631" s="66">
        <v>6</v>
      </c>
      <c r="G631" s="66"/>
      <c r="H631" s="66">
        <v>7</v>
      </c>
      <c r="I631" s="66">
        <v>7.666666666666667</v>
      </c>
      <c r="J631" s="66" t="s">
        <v>850</v>
      </c>
      <c r="K631" s="66"/>
      <c r="L631" s="66"/>
      <c r="M631" s="66"/>
      <c r="N631" s="66"/>
      <c r="O631" s="66" t="s">
        <v>849</v>
      </c>
      <c r="P631" s="66"/>
      <c r="Q631" s="66">
        <v>1</v>
      </c>
      <c r="R631" s="66">
        <v>295</v>
      </c>
      <c r="S631" s="66"/>
    </row>
    <row r="632" spans="1:19" x14ac:dyDescent="0.25">
      <c r="A632" s="15">
        <v>33</v>
      </c>
      <c r="B632" s="66"/>
      <c r="C632" s="66">
        <v>2429</v>
      </c>
      <c r="D632" s="66"/>
      <c r="E632" s="66" t="s">
        <v>763</v>
      </c>
      <c r="F632" s="66">
        <v>6</v>
      </c>
      <c r="G632" s="66"/>
      <c r="H632" s="66"/>
      <c r="I632" s="66">
        <v>19.583333333333332</v>
      </c>
      <c r="J632" s="66" t="s">
        <v>850</v>
      </c>
      <c r="K632" s="66"/>
      <c r="L632" s="66"/>
      <c r="M632" s="66"/>
      <c r="N632" s="66"/>
      <c r="O632" s="66" t="s">
        <v>852</v>
      </c>
      <c r="P632" s="66"/>
      <c r="Q632" s="66">
        <v>1</v>
      </c>
      <c r="R632" s="66">
        <v>416</v>
      </c>
      <c r="S632" s="66"/>
    </row>
    <row r="633" spans="1:19" x14ac:dyDescent="0.25">
      <c r="A633" s="15">
        <v>33</v>
      </c>
      <c r="B633" s="66"/>
      <c r="C633" s="66">
        <v>2429</v>
      </c>
      <c r="D633" s="66"/>
      <c r="E633" s="66" t="s">
        <v>763</v>
      </c>
      <c r="F633" s="66">
        <v>1</v>
      </c>
      <c r="G633" s="66"/>
      <c r="H633" s="66" t="e">
        <v>#N/A</v>
      </c>
      <c r="I633" s="66"/>
      <c r="J633" s="66" t="s">
        <v>870</v>
      </c>
      <c r="K633" s="66" t="s">
        <v>757</v>
      </c>
      <c r="L633" s="66" t="s">
        <v>757</v>
      </c>
      <c r="M633" s="66" t="s">
        <v>757</v>
      </c>
      <c r="N633" s="66" t="s">
        <v>757</v>
      </c>
      <c r="O633" s="66" t="s">
        <v>869</v>
      </c>
      <c r="P633" s="66"/>
      <c r="Q633" s="66">
        <v>1</v>
      </c>
      <c r="R633" s="66">
        <v>648</v>
      </c>
      <c r="S633" s="66"/>
    </row>
    <row r="634" spans="1:19" x14ac:dyDescent="0.25">
      <c r="A634" s="15">
        <v>33</v>
      </c>
      <c r="B634" s="66"/>
      <c r="C634" s="66">
        <v>2429</v>
      </c>
      <c r="D634" s="66"/>
      <c r="E634" s="66" t="s">
        <v>763</v>
      </c>
      <c r="F634" s="66">
        <v>0</v>
      </c>
      <c r="G634" s="66"/>
      <c r="H634" s="66">
        <v>3</v>
      </c>
      <c r="I634" s="66" t="e">
        <v>#N/A</v>
      </c>
      <c r="J634" s="66" t="s">
        <v>870</v>
      </c>
      <c r="K634" s="66"/>
      <c r="L634" s="66"/>
      <c r="M634" s="66"/>
      <c r="N634" s="66"/>
      <c r="O634" s="66" t="s">
        <v>882</v>
      </c>
      <c r="P634" s="66"/>
      <c r="Q634" s="66">
        <v>1</v>
      </c>
      <c r="R634" s="66">
        <v>875</v>
      </c>
      <c r="S634" s="66"/>
    </row>
    <row r="635" spans="1:19" x14ac:dyDescent="0.25">
      <c r="A635" s="15">
        <v>33</v>
      </c>
      <c r="B635" s="66"/>
      <c r="C635" s="66">
        <v>2429</v>
      </c>
      <c r="D635" s="66"/>
      <c r="E635" s="66" t="s">
        <v>763</v>
      </c>
      <c r="F635" s="66">
        <v>3</v>
      </c>
      <c r="G635" s="66"/>
      <c r="H635" s="66">
        <v>3</v>
      </c>
      <c r="I635" s="66" t="e">
        <v>#N/A</v>
      </c>
      <c r="J635" s="66" t="s">
        <v>870</v>
      </c>
      <c r="K635" s="66"/>
      <c r="L635" s="66"/>
      <c r="M635" s="66"/>
      <c r="N635" s="66"/>
      <c r="O635" s="66" t="s">
        <v>894</v>
      </c>
      <c r="P635" s="66"/>
      <c r="Q635" s="66">
        <v>1</v>
      </c>
      <c r="R635" s="66">
        <v>1102</v>
      </c>
      <c r="S635" s="66"/>
    </row>
    <row r="636" spans="1:19" x14ac:dyDescent="0.25">
      <c r="A636" s="15">
        <v>33</v>
      </c>
      <c r="B636" s="66"/>
      <c r="C636" s="66">
        <v>2429</v>
      </c>
      <c r="D636" s="66"/>
      <c r="E636" s="66" t="s">
        <v>763</v>
      </c>
      <c r="F636" s="66">
        <v>3</v>
      </c>
      <c r="G636" s="66"/>
      <c r="H636" s="66" t="e">
        <v>#N/A</v>
      </c>
      <c r="I636" s="66"/>
      <c r="J636" s="66" t="s">
        <v>870</v>
      </c>
      <c r="K636" s="66"/>
      <c r="L636" s="66"/>
      <c r="M636" s="66"/>
      <c r="N636" s="66"/>
      <c r="O636" s="66" t="s">
        <v>906</v>
      </c>
      <c r="P636" s="66"/>
      <c r="Q636" s="66">
        <v>1</v>
      </c>
      <c r="R636" s="66">
        <v>1275</v>
      </c>
      <c r="S636" s="66"/>
    </row>
    <row r="637" spans="1:19" x14ac:dyDescent="0.25">
      <c r="A637" s="15">
        <v>33</v>
      </c>
      <c r="B637" s="66"/>
      <c r="C637" s="66">
        <v>2429</v>
      </c>
      <c r="D637" s="66"/>
      <c r="E637" s="66" t="s">
        <v>763</v>
      </c>
      <c r="F637" s="66">
        <v>5</v>
      </c>
      <c r="G637" s="66"/>
      <c r="H637" s="66" t="e">
        <v>#N/A</v>
      </c>
      <c r="I637" s="66"/>
      <c r="J637" s="66" t="s">
        <v>870</v>
      </c>
      <c r="K637" s="66"/>
      <c r="L637" s="66"/>
      <c r="M637" s="66"/>
      <c r="N637" s="66"/>
      <c r="O637" s="66" t="s">
        <v>908</v>
      </c>
      <c r="P637" s="66"/>
      <c r="Q637" s="66">
        <v>1</v>
      </c>
      <c r="R637" s="66">
        <v>1396</v>
      </c>
      <c r="S637" s="66"/>
    </row>
    <row r="638" spans="1:19" x14ac:dyDescent="0.25">
      <c r="A638" s="15">
        <v>34</v>
      </c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</row>
    <row r="639" spans="1:19" x14ac:dyDescent="0.25">
      <c r="A639" s="15">
        <v>34</v>
      </c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 t="s">
        <v>791</v>
      </c>
      <c r="P639" s="66"/>
      <c r="Q639" s="66"/>
      <c r="R639" s="66"/>
      <c r="S639" s="66"/>
    </row>
    <row r="640" spans="1:19" x14ac:dyDescent="0.25">
      <c r="A640" s="15">
        <v>34</v>
      </c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 t="s">
        <v>837</v>
      </c>
      <c r="P640" s="66"/>
      <c r="Q640" s="66"/>
      <c r="R640" s="66"/>
      <c r="S640" s="66"/>
    </row>
    <row r="641" spans="1:19" x14ac:dyDescent="0.25">
      <c r="A641" s="15">
        <v>34</v>
      </c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 t="s">
        <v>845</v>
      </c>
      <c r="P641" s="66"/>
      <c r="Q641" s="66"/>
      <c r="R641" s="66"/>
      <c r="S641" s="66"/>
    </row>
    <row r="642" spans="1:19" x14ac:dyDescent="0.25">
      <c r="A642" s="15">
        <v>34</v>
      </c>
      <c r="B642" s="66"/>
      <c r="C642" s="66" t="s">
        <v>77</v>
      </c>
      <c r="D642" s="66"/>
      <c r="E642" s="66" t="s">
        <v>763</v>
      </c>
      <c r="F642" s="66">
        <v>10</v>
      </c>
      <c r="G642" s="66"/>
      <c r="H642" s="66">
        <v>10</v>
      </c>
      <c r="I642" s="66">
        <v>12.75</v>
      </c>
      <c r="J642" s="66" t="s">
        <v>850</v>
      </c>
      <c r="K642" s="66"/>
      <c r="L642" s="66"/>
      <c r="M642" s="66"/>
      <c r="N642" s="66"/>
      <c r="O642" s="66" t="s">
        <v>849</v>
      </c>
      <c r="P642" s="66"/>
      <c r="Q642" s="66">
        <v>1</v>
      </c>
      <c r="R642" s="66">
        <v>296</v>
      </c>
      <c r="S642" s="66"/>
    </row>
    <row r="643" spans="1:19" x14ac:dyDescent="0.25">
      <c r="A643" s="15">
        <v>34</v>
      </c>
      <c r="B643" s="66"/>
      <c r="C643" s="66">
        <v>2429</v>
      </c>
      <c r="D643" s="66"/>
      <c r="E643" s="66" t="s">
        <v>763</v>
      </c>
      <c r="F643" s="66">
        <v>10</v>
      </c>
      <c r="G643" s="66"/>
      <c r="H643" s="66"/>
      <c r="I643" s="66">
        <v>26.666666666666668</v>
      </c>
      <c r="J643" s="66" t="s">
        <v>850</v>
      </c>
      <c r="K643" s="66"/>
      <c r="L643" s="66"/>
      <c r="M643" s="66"/>
      <c r="N643" s="66"/>
      <c r="O643" s="66" t="s">
        <v>852</v>
      </c>
      <c r="P643" s="66"/>
      <c r="Q643" s="66">
        <v>1</v>
      </c>
      <c r="R643" s="66">
        <v>417</v>
      </c>
      <c r="S643" s="66"/>
    </row>
    <row r="644" spans="1:19" x14ac:dyDescent="0.25">
      <c r="A644" s="15">
        <v>34</v>
      </c>
      <c r="B644" s="66"/>
      <c r="C644" s="66">
        <v>2429</v>
      </c>
      <c r="D644" s="66"/>
      <c r="E644" s="66" t="s">
        <v>763</v>
      </c>
      <c r="F644" s="66">
        <v>10</v>
      </c>
      <c r="G644" s="66"/>
      <c r="H644" s="66"/>
      <c r="I644" s="66">
        <v>15.666666666666666</v>
      </c>
      <c r="J644" s="66" t="s">
        <v>850</v>
      </c>
      <c r="K644" s="66"/>
      <c r="L644" s="66"/>
      <c r="M644" s="66"/>
      <c r="N644" s="66"/>
      <c r="O644" s="66" t="s">
        <v>853</v>
      </c>
      <c r="P644" s="66"/>
      <c r="Q644" s="66">
        <v>1</v>
      </c>
      <c r="R644" s="66">
        <v>418</v>
      </c>
      <c r="S644" s="66"/>
    </row>
    <row r="645" spans="1:19" x14ac:dyDescent="0.25">
      <c r="A645" s="15">
        <v>34</v>
      </c>
      <c r="B645" s="66"/>
      <c r="C645" s="66">
        <v>2429</v>
      </c>
      <c r="D645" s="66"/>
      <c r="E645" s="66" t="s">
        <v>763</v>
      </c>
      <c r="F645" s="66">
        <v>6</v>
      </c>
      <c r="G645" s="66"/>
      <c r="H645" s="66"/>
      <c r="I645" s="66">
        <v>15.666666666666666</v>
      </c>
      <c r="J645" s="66" t="s">
        <v>850</v>
      </c>
      <c r="K645" s="66"/>
      <c r="L645" s="66"/>
      <c r="M645" s="66"/>
      <c r="N645" s="66"/>
      <c r="O645" s="66" t="s">
        <v>854</v>
      </c>
      <c r="P645" s="66"/>
      <c r="Q645" s="66">
        <v>1</v>
      </c>
      <c r="R645" s="66">
        <v>419</v>
      </c>
      <c r="S645" s="66"/>
    </row>
    <row r="646" spans="1:19" x14ac:dyDescent="0.25">
      <c r="A646" s="15">
        <v>34</v>
      </c>
      <c r="B646" s="66"/>
      <c r="C646" s="66">
        <v>2429</v>
      </c>
      <c r="D646" s="66"/>
      <c r="E646" s="66" t="s">
        <v>763</v>
      </c>
      <c r="F646" s="66">
        <v>6</v>
      </c>
      <c r="G646" s="66"/>
      <c r="H646" s="66"/>
      <c r="I646" s="66">
        <v>15.666666666666666</v>
      </c>
      <c r="J646" s="66" t="s">
        <v>850</v>
      </c>
      <c r="K646" s="66"/>
      <c r="L646" s="66"/>
      <c r="M646" s="66"/>
      <c r="N646" s="66"/>
      <c r="O646" s="66" t="s">
        <v>855</v>
      </c>
      <c r="P646" s="66"/>
      <c r="Q646" s="66">
        <v>1</v>
      </c>
      <c r="R646" s="66">
        <v>420</v>
      </c>
      <c r="S646" s="66"/>
    </row>
    <row r="647" spans="1:19" x14ac:dyDescent="0.25">
      <c r="A647" s="15">
        <v>34</v>
      </c>
      <c r="B647" s="66"/>
      <c r="C647" s="66">
        <v>2429</v>
      </c>
      <c r="D647" s="66"/>
      <c r="E647" s="66" t="s">
        <v>763</v>
      </c>
      <c r="F647" s="66">
        <v>6</v>
      </c>
      <c r="G647" s="66"/>
      <c r="H647" s="66"/>
      <c r="I647" s="66">
        <v>15.666666666666666</v>
      </c>
      <c r="J647" s="66" t="s">
        <v>850</v>
      </c>
      <c r="K647" s="66"/>
      <c r="L647" s="66"/>
      <c r="M647" s="66"/>
      <c r="N647" s="66"/>
      <c r="O647" s="66" t="s">
        <v>856</v>
      </c>
      <c r="P647" s="66"/>
      <c r="Q647" s="66">
        <v>1</v>
      </c>
      <c r="R647" s="66">
        <v>421</v>
      </c>
      <c r="S647" s="66"/>
    </row>
    <row r="648" spans="1:19" x14ac:dyDescent="0.25">
      <c r="A648" s="15">
        <v>34</v>
      </c>
      <c r="B648" s="66"/>
      <c r="C648" s="66">
        <v>2429</v>
      </c>
      <c r="D648" s="66"/>
      <c r="E648" s="66" t="s">
        <v>763</v>
      </c>
      <c r="F648" s="66">
        <v>6</v>
      </c>
      <c r="G648" s="66"/>
      <c r="H648" s="66"/>
      <c r="I648" s="66">
        <v>15.666666666666666</v>
      </c>
      <c r="J648" s="66" t="s">
        <v>850</v>
      </c>
      <c r="K648" s="66"/>
      <c r="L648" s="66"/>
      <c r="M648" s="66"/>
      <c r="N648" s="66"/>
      <c r="O648" s="66" t="s">
        <v>857</v>
      </c>
      <c r="P648" s="66"/>
      <c r="Q648" s="66">
        <v>1</v>
      </c>
      <c r="R648" s="66">
        <v>422</v>
      </c>
      <c r="S648" s="66"/>
    </row>
    <row r="649" spans="1:19" x14ac:dyDescent="0.25">
      <c r="A649" s="15">
        <v>34</v>
      </c>
      <c r="B649" s="66"/>
      <c r="C649" s="66">
        <v>2429</v>
      </c>
      <c r="D649" s="66"/>
      <c r="E649" s="66" t="s">
        <v>763</v>
      </c>
      <c r="F649" s="66">
        <v>6</v>
      </c>
      <c r="G649" s="66"/>
      <c r="H649" s="66"/>
      <c r="I649" s="66">
        <v>15.666666666666666</v>
      </c>
      <c r="J649" s="66" t="s">
        <v>850</v>
      </c>
      <c r="K649" s="66"/>
      <c r="L649" s="66"/>
      <c r="M649" s="66"/>
      <c r="N649" s="66"/>
      <c r="O649" s="66" t="s">
        <v>858</v>
      </c>
      <c r="P649" s="66"/>
      <c r="Q649" s="66">
        <v>1</v>
      </c>
      <c r="R649" s="66">
        <v>423</v>
      </c>
      <c r="S649" s="66"/>
    </row>
    <row r="650" spans="1:19" x14ac:dyDescent="0.25">
      <c r="A650" s="15">
        <v>34</v>
      </c>
      <c r="B650" s="66"/>
      <c r="C650" s="66">
        <v>2429</v>
      </c>
      <c r="D650" s="66"/>
      <c r="E650" s="66" t="s">
        <v>763</v>
      </c>
      <c r="F650" s="66">
        <v>6</v>
      </c>
      <c r="G650" s="66"/>
      <c r="H650" s="66"/>
      <c r="I650" s="66">
        <v>15.666666666666666</v>
      </c>
      <c r="J650" s="66" t="s">
        <v>850</v>
      </c>
      <c r="K650" s="66"/>
      <c r="L650" s="66"/>
      <c r="M650" s="66"/>
      <c r="N650" s="66"/>
      <c r="O650" s="66" t="s">
        <v>859</v>
      </c>
      <c r="P650" s="66"/>
      <c r="Q650" s="66">
        <v>1</v>
      </c>
      <c r="R650" s="66">
        <v>424</v>
      </c>
      <c r="S650" s="66"/>
    </row>
    <row r="651" spans="1:19" x14ac:dyDescent="0.25">
      <c r="A651" s="15">
        <v>34</v>
      </c>
      <c r="B651" s="66"/>
      <c r="C651" s="66">
        <v>2429</v>
      </c>
      <c r="D651" s="66"/>
      <c r="E651" s="66" t="s">
        <v>763</v>
      </c>
      <c r="F651" s="66">
        <v>6</v>
      </c>
      <c r="G651" s="66"/>
      <c r="H651" s="66"/>
      <c r="I651" s="66">
        <v>15.666666666666666</v>
      </c>
      <c r="J651" s="66" t="s">
        <v>850</v>
      </c>
      <c r="K651" s="66"/>
      <c r="L651" s="66"/>
      <c r="M651" s="66"/>
      <c r="N651" s="66"/>
      <c r="O651" s="66" t="s">
        <v>860</v>
      </c>
      <c r="P651" s="66"/>
      <c r="Q651" s="66">
        <v>1</v>
      </c>
      <c r="R651" s="66">
        <v>425</v>
      </c>
      <c r="S651" s="66"/>
    </row>
    <row r="652" spans="1:19" x14ac:dyDescent="0.25">
      <c r="A652" s="15">
        <v>34</v>
      </c>
      <c r="B652" s="66"/>
      <c r="C652" s="66">
        <v>2429</v>
      </c>
      <c r="D652" s="66"/>
      <c r="E652" s="66" t="s">
        <v>763</v>
      </c>
      <c r="F652" s="66">
        <v>6</v>
      </c>
      <c r="G652" s="66"/>
      <c r="H652" s="66"/>
      <c r="I652" s="66">
        <v>15.666666666666666</v>
      </c>
      <c r="J652" s="66" t="s">
        <v>850</v>
      </c>
      <c r="K652" s="66"/>
      <c r="L652" s="66"/>
      <c r="M652" s="66"/>
      <c r="N652" s="66"/>
      <c r="O652" s="66" t="s">
        <v>861</v>
      </c>
      <c r="P652" s="66"/>
      <c r="Q652" s="66">
        <v>1</v>
      </c>
      <c r="R652" s="66">
        <v>426</v>
      </c>
      <c r="S652" s="66"/>
    </row>
    <row r="653" spans="1:19" x14ac:dyDescent="0.25">
      <c r="A653" s="15">
        <v>34</v>
      </c>
      <c r="B653" s="66"/>
      <c r="C653" s="66">
        <v>2429</v>
      </c>
      <c r="D653" s="66"/>
      <c r="E653" s="66" t="s">
        <v>763</v>
      </c>
      <c r="F653" s="66">
        <v>6</v>
      </c>
      <c r="G653" s="66"/>
      <c r="H653" s="66"/>
      <c r="I653" s="66">
        <v>15.666666666666666</v>
      </c>
      <c r="J653" s="66" t="s">
        <v>850</v>
      </c>
      <c r="K653" s="66"/>
      <c r="L653" s="66"/>
      <c r="M653" s="66"/>
      <c r="N653" s="66"/>
      <c r="O653" s="66" t="s">
        <v>862</v>
      </c>
      <c r="P653" s="66"/>
      <c r="Q653" s="66">
        <v>1</v>
      </c>
      <c r="R653" s="66">
        <v>427</v>
      </c>
      <c r="S653" s="66"/>
    </row>
    <row r="654" spans="1:19" x14ac:dyDescent="0.25">
      <c r="A654" s="15">
        <v>34</v>
      </c>
      <c r="B654" s="66"/>
      <c r="C654" s="66">
        <v>2429</v>
      </c>
      <c r="D654" s="66"/>
      <c r="E654" s="66" t="s">
        <v>763</v>
      </c>
      <c r="F654" s="66">
        <v>10</v>
      </c>
      <c r="G654" s="66"/>
      <c r="H654" s="66"/>
      <c r="I654" s="66">
        <v>10.583333333333334</v>
      </c>
      <c r="J654" s="66" t="s">
        <v>850</v>
      </c>
      <c r="K654" s="66"/>
      <c r="L654" s="66"/>
      <c r="M654" s="66"/>
      <c r="N654" s="66"/>
      <c r="O654" s="66" t="s">
        <v>863</v>
      </c>
      <c r="P654" s="66"/>
      <c r="Q654" s="66">
        <v>1</v>
      </c>
      <c r="R654" s="66">
        <v>428</v>
      </c>
      <c r="S654" s="66"/>
    </row>
    <row r="655" spans="1:19" x14ac:dyDescent="0.25">
      <c r="A655" s="15">
        <v>34</v>
      </c>
      <c r="B655" s="66"/>
      <c r="C655" s="66">
        <v>2429</v>
      </c>
      <c r="D655" s="66"/>
      <c r="E655" s="66" t="s">
        <v>763</v>
      </c>
      <c r="F655" s="66">
        <v>1</v>
      </c>
      <c r="G655" s="66"/>
      <c r="H655" s="66" t="e">
        <v>#N/A</v>
      </c>
      <c r="I655" s="66"/>
      <c r="J655" s="66" t="s">
        <v>870</v>
      </c>
      <c r="K655" s="66" t="s">
        <v>757</v>
      </c>
      <c r="L655" s="66" t="s">
        <v>757</v>
      </c>
      <c r="M655" s="66" t="s">
        <v>757</v>
      </c>
      <c r="N655" s="66" t="s">
        <v>757</v>
      </c>
      <c r="O655" s="66" t="s">
        <v>869</v>
      </c>
      <c r="P655" s="66"/>
      <c r="Q655" s="66">
        <v>1</v>
      </c>
      <c r="R655" s="66">
        <v>649</v>
      </c>
      <c r="S655" s="66"/>
    </row>
    <row r="656" spans="1:19" x14ac:dyDescent="0.25">
      <c r="A656" s="15">
        <v>34</v>
      </c>
      <c r="B656" s="66"/>
      <c r="C656" s="66">
        <v>2429</v>
      </c>
      <c r="D656" s="66"/>
      <c r="E656" s="66" t="s">
        <v>763</v>
      </c>
      <c r="F656" s="66">
        <v>1</v>
      </c>
      <c r="G656" s="66"/>
      <c r="H656" s="66" t="e">
        <v>#N/A</v>
      </c>
      <c r="I656" s="66"/>
      <c r="J656" s="66" t="s">
        <v>870</v>
      </c>
      <c r="K656" s="66" t="s">
        <v>757</v>
      </c>
      <c r="L656" s="66" t="s">
        <v>757</v>
      </c>
      <c r="M656" s="66" t="s">
        <v>757</v>
      </c>
      <c r="N656" s="66" t="s">
        <v>757</v>
      </c>
      <c r="O656" s="66" t="s">
        <v>871</v>
      </c>
      <c r="P656" s="66"/>
      <c r="Q656" s="66">
        <v>1</v>
      </c>
      <c r="R656" s="66">
        <v>650</v>
      </c>
      <c r="S656" s="66"/>
    </row>
    <row r="657" spans="1:19" x14ac:dyDescent="0.25">
      <c r="A657" s="15">
        <v>34</v>
      </c>
      <c r="B657" s="66"/>
      <c r="C657" s="66">
        <v>2429</v>
      </c>
      <c r="D657" s="66"/>
      <c r="E657" s="66" t="s">
        <v>763</v>
      </c>
      <c r="F657" s="66">
        <v>1</v>
      </c>
      <c r="G657" s="66"/>
      <c r="H657" s="66" t="e">
        <v>#N/A</v>
      </c>
      <c r="I657" s="66"/>
      <c r="J657" s="66" t="s">
        <v>870</v>
      </c>
      <c r="K657" s="66" t="s">
        <v>757</v>
      </c>
      <c r="L657" s="66" t="s">
        <v>757</v>
      </c>
      <c r="M657" s="66" t="s">
        <v>757</v>
      </c>
      <c r="N657" s="66" t="s">
        <v>757</v>
      </c>
      <c r="O657" s="66" t="s">
        <v>872</v>
      </c>
      <c r="P657" s="66"/>
      <c r="Q657" s="66">
        <v>1</v>
      </c>
      <c r="R657" s="66">
        <v>651</v>
      </c>
      <c r="S657" s="66"/>
    </row>
    <row r="658" spans="1:19" x14ac:dyDescent="0.25">
      <c r="A658" s="15">
        <v>34</v>
      </c>
      <c r="B658" s="66"/>
      <c r="C658" s="66">
        <v>2429</v>
      </c>
      <c r="D658" s="66"/>
      <c r="E658" s="66" t="s">
        <v>763</v>
      </c>
      <c r="F658" s="66">
        <v>1</v>
      </c>
      <c r="G658" s="66"/>
      <c r="H658" s="66" t="e">
        <v>#N/A</v>
      </c>
      <c r="I658" s="66"/>
      <c r="J658" s="66" t="s">
        <v>870</v>
      </c>
      <c r="K658" s="66" t="s">
        <v>757</v>
      </c>
      <c r="L658" s="66" t="s">
        <v>757</v>
      </c>
      <c r="M658" s="66" t="s">
        <v>757</v>
      </c>
      <c r="N658" s="66" t="s">
        <v>757</v>
      </c>
      <c r="O658" s="66" t="s">
        <v>873</v>
      </c>
      <c r="P658" s="66"/>
      <c r="Q658" s="66">
        <v>1</v>
      </c>
      <c r="R658" s="66">
        <v>652</v>
      </c>
      <c r="S658" s="66"/>
    </row>
    <row r="659" spans="1:19" x14ac:dyDescent="0.25">
      <c r="A659" s="15">
        <v>34</v>
      </c>
      <c r="B659" s="66"/>
      <c r="C659" s="66">
        <v>2429</v>
      </c>
      <c r="D659" s="66"/>
      <c r="E659" s="66" t="s">
        <v>763</v>
      </c>
      <c r="F659" s="66">
        <v>1</v>
      </c>
      <c r="G659" s="66"/>
      <c r="H659" s="66" t="e">
        <v>#N/A</v>
      </c>
      <c r="I659" s="66"/>
      <c r="J659" s="66" t="s">
        <v>870</v>
      </c>
      <c r="K659" s="66" t="s">
        <v>757</v>
      </c>
      <c r="L659" s="66" t="s">
        <v>757</v>
      </c>
      <c r="M659" s="66" t="s">
        <v>757</v>
      </c>
      <c r="N659" s="66" t="s">
        <v>757</v>
      </c>
      <c r="O659" s="66" t="s">
        <v>874</v>
      </c>
      <c r="P659" s="66"/>
      <c r="Q659" s="66">
        <v>1</v>
      </c>
      <c r="R659" s="66">
        <v>653</v>
      </c>
      <c r="S659" s="66"/>
    </row>
    <row r="660" spans="1:19" x14ac:dyDescent="0.25">
      <c r="A660" s="15">
        <v>34</v>
      </c>
      <c r="B660" s="66"/>
      <c r="C660" s="66">
        <v>2429</v>
      </c>
      <c r="D660" s="66"/>
      <c r="E660" s="66" t="s">
        <v>763</v>
      </c>
      <c r="F660" s="66">
        <v>1</v>
      </c>
      <c r="G660" s="66"/>
      <c r="H660" s="66" t="e">
        <v>#N/A</v>
      </c>
      <c r="I660" s="66"/>
      <c r="J660" s="66" t="s">
        <v>870</v>
      </c>
      <c r="K660" s="66" t="s">
        <v>757</v>
      </c>
      <c r="L660" s="66" t="s">
        <v>757</v>
      </c>
      <c r="M660" s="66" t="s">
        <v>757</v>
      </c>
      <c r="N660" s="66" t="s">
        <v>757</v>
      </c>
      <c r="O660" s="66" t="s">
        <v>875</v>
      </c>
      <c r="P660" s="66"/>
      <c r="Q660" s="66">
        <v>1</v>
      </c>
      <c r="R660" s="66">
        <v>654</v>
      </c>
      <c r="S660" s="66"/>
    </row>
    <row r="661" spans="1:19" x14ac:dyDescent="0.25">
      <c r="A661" s="15">
        <v>34</v>
      </c>
      <c r="B661" s="66"/>
      <c r="C661" s="66">
        <v>2429</v>
      </c>
      <c r="D661" s="66"/>
      <c r="E661" s="66" t="s">
        <v>763</v>
      </c>
      <c r="F661" s="66">
        <v>1</v>
      </c>
      <c r="G661" s="66"/>
      <c r="H661" s="66" t="e">
        <v>#N/A</v>
      </c>
      <c r="I661" s="66"/>
      <c r="J661" s="66" t="s">
        <v>870</v>
      </c>
      <c r="K661" s="66" t="s">
        <v>757</v>
      </c>
      <c r="L661" s="66" t="s">
        <v>757</v>
      </c>
      <c r="M661" s="66" t="s">
        <v>757</v>
      </c>
      <c r="N661" s="66" t="s">
        <v>757</v>
      </c>
      <c r="O661" s="66" t="s">
        <v>876</v>
      </c>
      <c r="P661" s="66"/>
      <c r="Q661" s="66">
        <v>1</v>
      </c>
      <c r="R661" s="66">
        <v>655</v>
      </c>
      <c r="S661" s="66"/>
    </row>
    <row r="662" spans="1:19" x14ac:dyDescent="0.25">
      <c r="A662" s="15">
        <v>34</v>
      </c>
      <c r="B662" s="66"/>
      <c r="C662" s="66">
        <v>2429</v>
      </c>
      <c r="D662" s="66"/>
      <c r="E662" s="66" t="s">
        <v>763</v>
      </c>
      <c r="F662" s="66">
        <v>1</v>
      </c>
      <c r="G662" s="66"/>
      <c r="H662" s="66" t="e">
        <v>#N/A</v>
      </c>
      <c r="I662" s="66"/>
      <c r="J662" s="66" t="s">
        <v>870</v>
      </c>
      <c r="K662" s="66" t="s">
        <v>757</v>
      </c>
      <c r="L662" s="66" t="s">
        <v>757</v>
      </c>
      <c r="M662" s="66" t="s">
        <v>757</v>
      </c>
      <c r="N662" s="66" t="s">
        <v>757</v>
      </c>
      <c r="O662" s="66" t="s">
        <v>877</v>
      </c>
      <c r="P662" s="66"/>
      <c r="Q662" s="66">
        <v>1</v>
      </c>
      <c r="R662" s="66">
        <v>656</v>
      </c>
      <c r="S662" s="66"/>
    </row>
    <row r="663" spans="1:19" x14ac:dyDescent="0.25">
      <c r="A663" s="15">
        <v>34</v>
      </c>
      <c r="B663" s="66"/>
      <c r="C663" s="66">
        <v>2429</v>
      </c>
      <c r="D663" s="66"/>
      <c r="E663" s="66" t="s">
        <v>763</v>
      </c>
      <c r="F663" s="66">
        <v>1</v>
      </c>
      <c r="G663" s="66"/>
      <c r="H663" s="66" t="e">
        <v>#N/A</v>
      </c>
      <c r="I663" s="66"/>
      <c r="J663" s="66" t="s">
        <v>870</v>
      </c>
      <c r="K663" s="66" t="s">
        <v>757</v>
      </c>
      <c r="L663" s="66" t="s">
        <v>757</v>
      </c>
      <c r="M663" s="66" t="s">
        <v>757</v>
      </c>
      <c r="N663" s="66" t="s">
        <v>757</v>
      </c>
      <c r="O663" s="66" t="s">
        <v>878</v>
      </c>
      <c r="P663" s="66"/>
      <c r="Q663" s="66">
        <v>1</v>
      </c>
      <c r="R663" s="66">
        <v>657</v>
      </c>
      <c r="S663" s="66"/>
    </row>
    <row r="664" spans="1:19" x14ac:dyDescent="0.25">
      <c r="A664" s="15">
        <v>34</v>
      </c>
      <c r="B664" s="66"/>
      <c r="C664" s="66">
        <v>2429</v>
      </c>
      <c r="D664" s="66"/>
      <c r="E664" s="66" t="s">
        <v>763</v>
      </c>
      <c r="F664" s="66">
        <v>1</v>
      </c>
      <c r="G664" s="66"/>
      <c r="H664" s="66" t="e">
        <v>#N/A</v>
      </c>
      <c r="I664" s="66"/>
      <c r="J664" s="66" t="s">
        <v>870</v>
      </c>
      <c r="K664" s="66" t="s">
        <v>757</v>
      </c>
      <c r="L664" s="66" t="s">
        <v>757</v>
      </c>
      <c r="M664" s="66" t="s">
        <v>757</v>
      </c>
      <c r="N664" s="66" t="s">
        <v>757</v>
      </c>
      <c r="O664" s="66" t="s">
        <v>879</v>
      </c>
      <c r="P664" s="66"/>
      <c r="Q664" s="66">
        <v>1</v>
      </c>
      <c r="R664" s="66">
        <v>658</v>
      </c>
      <c r="S664" s="66"/>
    </row>
    <row r="665" spans="1:19" x14ac:dyDescent="0.25">
      <c r="A665" s="15">
        <v>34</v>
      </c>
      <c r="B665" s="66"/>
      <c r="C665" s="66">
        <v>2429</v>
      </c>
      <c r="D665" s="66"/>
      <c r="E665" s="66" t="s">
        <v>763</v>
      </c>
      <c r="F665" s="66">
        <v>1</v>
      </c>
      <c r="G665" s="66"/>
      <c r="H665" s="66" t="e">
        <v>#N/A</v>
      </c>
      <c r="I665" s="66"/>
      <c r="J665" s="66" t="s">
        <v>870</v>
      </c>
      <c r="K665" s="66" t="s">
        <v>757</v>
      </c>
      <c r="L665" s="66" t="s">
        <v>757</v>
      </c>
      <c r="M665" s="66" t="s">
        <v>757</v>
      </c>
      <c r="N665" s="66" t="s">
        <v>757</v>
      </c>
      <c r="O665" s="66" t="s">
        <v>880</v>
      </c>
      <c r="P665" s="66"/>
      <c r="Q665" s="66">
        <v>1</v>
      </c>
      <c r="R665" s="66">
        <v>659</v>
      </c>
      <c r="S665" s="66"/>
    </row>
    <row r="666" spans="1:19" x14ac:dyDescent="0.25">
      <c r="A666" s="15">
        <v>34</v>
      </c>
      <c r="B666" s="66"/>
      <c r="C666" s="66">
        <v>2429</v>
      </c>
      <c r="D666" s="66"/>
      <c r="E666" s="66" t="s">
        <v>763</v>
      </c>
      <c r="F666" s="66">
        <v>1</v>
      </c>
      <c r="G666" s="66"/>
      <c r="H666" s="66" t="e">
        <v>#N/A</v>
      </c>
      <c r="I666" s="66"/>
      <c r="J666" s="66" t="s">
        <v>870</v>
      </c>
      <c r="K666" s="66" t="s">
        <v>757</v>
      </c>
      <c r="L666" s="66" t="s">
        <v>757</v>
      </c>
      <c r="M666" s="66" t="s">
        <v>757</v>
      </c>
      <c r="N666" s="66" t="s">
        <v>757</v>
      </c>
      <c r="O666" s="66" t="s">
        <v>881</v>
      </c>
      <c r="P666" s="66"/>
      <c r="Q666" s="66">
        <v>1</v>
      </c>
      <c r="R666" s="66">
        <v>660</v>
      </c>
      <c r="S666" s="66"/>
    </row>
    <row r="667" spans="1:19" x14ac:dyDescent="0.25">
      <c r="A667" s="15">
        <v>34</v>
      </c>
      <c r="B667" s="66"/>
      <c r="C667" s="66">
        <v>2429</v>
      </c>
      <c r="D667" s="66"/>
      <c r="E667" s="66" t="s">
        <v>763</v>
      </c>
      <c r="F667" s="66">
        <v>0</v>
      </c>
      <c r="G667" s="66"/>
      <c r="H667" s="66">
        <v>3</v>
      </c>
      <c r="I667" s="66" t="e">
        <v>#N/A</v>
      </c>
      <c r="J667" s="66" t="s">
        <v>870</v>
      </c>
      <c r="K667" s="66"/>
      <c r="L667" s="66"/>
      <c r="M667" s="66"/>
      <c r="N667" s="66"/>
      <c r="O667" s="66" t="s">
        <v>882</v>
      </c>
      <c r="P667" s="66"/>
      <c r="Q667" s="66">
        <v>1</v>
      </c>
      <c r="R667" s="66">
        <v>876</v>
      </c>
      <c r="S667" s="66"/>
    </row>
    <row r="668" spans="1:19" x14ac:dyDescent="0.25">
      <c r="A668" s="15">
        <v>34</v>
      </c>
      <c r="B668" s="66"/>
      <c r="C668" s="66">
        <v>2429</v>
      </c>
      <c r="D668" s="66"/>
      <c r="E668" s="66" t="s">
        <v>763</v>
      </c>
      <c r="F668" s="66">
        <v>0</v>
      </c>
      <c r="G668" s="66"/>
      <c r="H668" s="66">
        <v>3</v>
      </c>
      <c r="I668" s="66" t="e">
        <v>#N/A</v>
      </c>
      <c r="J668" s="66" t="s">
        <v>870</v>
      </c>
      <c r="K668" s="66"/>
      <c r="L668" s="66"/>
      <c r="M668" s="66"/>
      <c r="N668" s="66"/>
      <c r="O668" s="66" t="s">
        <v>883</v>
      </c>
      <c r="P668" s="66"/>
      <c r="Q668" s="66">
        <v>1</v>
      </c>
      <c r="R668" s="66">
        <v>877</v>
      </c>
      <c r="S668" s="66"/>
    </row>
    <row r="669" spans="1:19" x14ac:dyDescent="0.25">
      <c r="A669" s="15">
        <v>34</v>
      </c>
      <c r="B669" s="66"/>
      <c r="C669" s="66">
        <v>2429</v>
      </c>
      <c r="D669" s="66"/>
      <c r="E669" s="66" t="s">
        <v>763</v>
      </c>
      <c r="F669" s="66">
        <v>0</v>
      </c>
      <c r="G669" s="66"/>
      <c r="H669" s="66">
        <v>3</v>
      </c>
      <c r="I669" s="66" t="e">
        <v>#N/A</v>
      </c>
      <c r="J669" s="66" t="s">
        <v>870</v>
      </c>
      <c r="K669" s="66"/>
      <c r="L669" s="66"/>
      <c r="M669" s="66"/>
      <c r="N669" s="66"/>
      <c r="O669" s="66" t="s">
        <v>884</v>
      </c>
      <c r="P669" s="66"/>
      <c r="Q669" s="66">
        <v>1</v>
      </c>
      <c r="R669" s="66">
        <v>878</v>
      </c>
      <c r="S669" s="66"/>
    </row>
    <row r="670" spans="1:19" x14ac:dyDescent="0.25">
      <c r="A670" s="15">
        <v>34</v>
      </c>
      <c r="B670" s="66"/>
      <c r="C670" s="66">
        <v>2429</v>
      </c>
      <c r="D670" s="66"/>
      <c r="E670" s="66" t="s">
        <v>763</v>
      </c>
      <c r="F670" s="66">
        <v>0</v>
      </c>
      <c r="G670" s="66"/>
      <c r="H670" s="66">
        <v>3</v>
      </c>
      <c r="I670" s="66" t="e">
        <v>#N/A</v>
      </c>
      <c r="J670" s="66" t="s">
        <v>870</v>
      </c>
      <c r="K670" s="66"/>
      <c r="L670" s="66"/>
      <c r="M670" s="66"/>
      <c r="N670" s="66"/>
      <c r="O670" s="66" t="s">
        <v>885</v>
      </c>
      <c r="P670" s="66"/>
      <c r="Q670" s="66">
        <v>1</v>
      </c>
      <c r="R670" s="66">
        <v>879</v>
      </c>
      <c r="S670" s="66"/>
    </row>
    <row r="671" spans="1:19" x14ac:dyDescent="0.25">
      <c r="A671" s="15">
        <v>34</v>
      </c>
      <c r="B671" s="66"/>
      <c r="C671" s="66">
        <v>2429</v>
      </c>
      <c r="D671" s="66"/>
      <c r="E671" s="66" t="s">
        <v>763</v>
      </c>
      <c r="F671" s="66">
        <v>0</v>
      </c>
      <c r="G671" s="66"/>
      <c r="H671" s="66">
        <v>3</v>
      </c>
      <c r="I671" s="66" t="e">
        <v>#N/A</v>
      </c>
      <c r="J671" s="66" t="s">
        <v>870</v>
      </c>
      <c r="K671" s="66"/>
      <c r="L671" s="66"/>
      <c r="M671" s="66"/>
      <c r="N671" s="66"/>
      <c r="O671" s="66" t="s">
        <v>886</v>
      </c>
      <c r="P671" s="66"/>
      <c r="Q671" s="66">
        <v>1</v>
      </c>
      <c r="R671" s="66">
        <v>880</v>
      </c>
      <c r="S671" s="66"/>
    </row>
    <row r="672" spans="1:19" x14ac:dyDescent="0.25">
      <c r="A672" s="15">
        <v>34</v>
      </c>
      <c r="B672" s="66"/>
      <c r="C672" s="66">
        <v>2429</v>
      </c>
      <c r="D672" s="66"/>
      <c r="E672" s="66" t="s">
        <v>763</v>
      </c>
      <c r="F672" s="66">
        <v>0</v>
      </c>
      <c r="G672" s="66"/>
      <c r="H672" s="66">
        <v>3</v>
      </c>
      <c r="I672" s="66" t="e">
        <v>#N/A</v>
      </c>
      <c r="J672" s="66" t="s">
        <v>870</v>
      </c>
      <c r="K672" s="66"/>
      <c r="L672" s="66"/>
      <c r="M672" s="66"/>
      <c r="N672" s="66"/>
      <c r="O672" s="66" t="s">
        <v>887</v>
      </c>
      <c r="P672" s="66"/>
      <c r="Q672" s="66">
        <v>1</v>
      </c>
      <c r="R672" s="66">
        <v>881</v>
      </c>
      <c r="S672" s="66"/>
    </row>
    <row r="673" spans="1:19" x14ac:dyDescent="0.25">
      <c r="A673" s="15">
        <v>34</v>
      </c>
      <c r="B673" s="66"/>
      <c r="C673" s="66">
        <v>2429</v>
      </c>
      <c r="D673" s="66"/>
      <c r="E673" s="66" t="s">
        <v>763</v>
      </c>
      <c r="F673" s="66">
        <v>0</v>
      </c>
      <c r="G673" s="66"/>
      <c r="H673" s="66">
        <v>3</v>
      </c>
      <c r="I673" s="66" t="e">
        <v>#N/A</v>
      </c>
      <c r="J673" s="66" t="s">
        <v>870</v>
      </c>
      <c r="K673" s="66"/>
      <c r="L673" s="66"/>
      <c r="M673" s="66"/>
      <c r="N673" s="66"/>
      <c r="O673" s="66" t="s">
        <v>888</v>
      </c>
      <c r="P673" s="66"/>
      <c r="Q673" s="66">
        <v>1</v>
      </c>
      <c r="R673" s="66">
        <v>882</v>
      </c>
      <c r="S673" s="66"/>
    </row>
    <row r="674" spans="1:19" x14ac:dyDescent="0.25">
      <c r="A674" s="15">
        <v>34</v>
      </c>
      <c r="B674" s="66"/>
      <c r="C674" s="66">
        <v>2429</v>
      </c>
      <c r="D674" s="66"/>
      <c r="E674" s="66" t="s">
        <v>763</v>
      </c>
      <c r="F674" s="66">
        <v>0</v>
      </c>
      <c r="G674" s="66"/>
      <c r="H674" s="66">
        <v>3</v>
      </c>
      <c r="I674" s="66" t="e">
        <v>#N/A</v>
      </c>
      <c r="J674" s="66" t="s">
        <v>870</v>
      </c>
      <c r="K674" s="66"/>
      <c r="L674" s="66"/>
      <c r="M674" s="66"/>
      <c r="N674" s="66"/>
      <c r="O674" s="66" t="s">
        <v>889</v>
      </c>
      <c r="P674" s="66"/>
      <c r="Q674" s="66">
        <v>1</v>
      </c>
      <c r="R674" s="66">
        <v>883</v>
      </c>
      <c r="S674" s="66"/>
    </row>
    <row r="675" spans="1:19" x14ac:dyDescent="0.25">
      <c r="A675" s="15">
        <v>34</v>
      </c>
      <c r="B675" s="66"/>
      <c r="C675" s="66">
        <v>2429</v>
      </c>
      <c r="D675" s="66"/>
      <c r="E675" s="66" t="s">
        <v>763</v>
      </c>
      <c r="F675" s="66">
        <v>0</v>
      </c>
      <c r="G675" s="66"/>
      <c r="H675" s="66">
        <v>3</v>
      </c>
      <c r="I675" s="66" t="e">
        <v>#N/A</v>
      </c>
      <c r="J675" s="66" t="s">
        <v>870</v>
      </c>
      <c r="K675" s="66"/>
      <c r="L675" s="66"/>
      <c r="M675" s="66"/>
      <c r="N675" s="66"/>
      <c r="O675" s="66" t="s">
        <v>890</v>
      </c>
      <c r="P675" s="66"/>
      <c r="Q675" s="66">
        <v>1</v>
      </c>
      <c r="R675" s="66">
        <v>884</v>
      </c>
      <c r="S675" s="66"/>
    </row>
    <row r="676" spans="1:19" x14ac:dyDescent="0.25">
      <c r="A676" s="15">
        <v>34</v>
      </c>
      <c r="B676" s="66"/>
      <c r="C676" s="66">
        <v>2429</v>
      </c>
      <c r="D676" s="66"/>
      <c r="E676" s="66" t="s">
        <v>763</v>
      </c>
      <c r="F676" s="66">
        <v>0</v>
      </c>
      <c r="G676" s="66"/>
      <c r="H676" s="66">
        <v>3</v>
      </c>
      <c r="I676" s="66" t="e">
        <v>#N/A</v>
      </c>
      <c r="J676" s="66" t="s">
        <v>870</v>
      </c>
      <c r="K676" s="66"/>
      <c r="L676" s="66"/>
      <c r="M676" s="66"/>
      <c r="N676" s="66"/>
      <c r="O676" s="66" t="s">
        <v>891</v>
      </c>
      <c r="P676" s="66"/>
      <c r="Q676" s="66">
        <v>1</v>
      </c>
      <c r="R676" s="66">
        <v>885</v>
      </c>
      <c r="S676" s="66"/>
    </row>
    <row r="677" spans="1:19" x14ac:dyDescent="0.25">
      <c r="A677" s="15">
        <v>34</v>
      </c>
      <c r="B677" s="66"/>
      <c r="C677" s="66">
        <v>2429</v>
      </c>
      <c r="D677" s="66"/>
      <c r="E677" s="66" t="s">
        <v>763</v>
      </c>
      <c r="F677" s="66">
        <v>0</v>
      </c>
      <c r="G677" s="66"/>
      <c r="H677" s="66">
        <v>3</v>
      </c>
      <c r="I677" s="66" t="e">
        <v>#N/A</v>
      </c>
      <c r="J677" s="66" t="s">
        <v>870</v>
      </c>
      <c r="K677" s="66"/>
      <c r="L677" s="66"/>
      <c r="M677" s="66"/>
      <c r="N677" s="66"/>
      <c r="O677" s="66" t="s">
        <v>892</v>
      </c>
      <c r="P677" s="66"/>
      <c r="Q677" s="66">
        <v>1</v>
      </c>
      <c r="R677" s="66">
        <v>886</v>
      </c>
      <c r="S677" s="66"/>
    </row>
    <row r="678" spans="1:19" x14ac:dyDescent="0.25">
      <c r="A678" s="15">
        <v>34</v>
      </c>
      <c r="B678" s="66"/>
      <c r="C678" s="66">
        <v>2429</v>
      </c>
      <c r="D678" s="66"/>
      <c r="E678" s="66" t="s">
        <v>763</v>
      </c>
      <c r="F678" s="66">
        <v>0</v>
      </c>
      <c r="G678" s="66"/>
      <c r="H678" s="66">
        <v>3</v>
      </c>
      <c r="I678" s="66" t="e">
        <v>#N/A</v>
      </c>
      <c r="J678" s="66" t="s">
        <v>870</v>
      </c>
      <c r="K678" s="66"/>
      <c r="L678" s="66"/>
      <c r="M678" s="66"/>
      <c r="N678" s="66"/>
      <c r="O678" s="66" t="s">
        <v>893</v>
      </c>
      <c r="P678" s="66"/>
      <c r="Q678" s="66">
        <v>1</v>
      </c>
      <c r="R678" s="66">
        <v>887</v>
      </c>
      <c r="S678" s="66"/>
    </row>
    <row r="679" spans="1:19" x14ac:dyDescent="0.25">
      <c r="A679" s="15">
        <v>34</v>
      </c>
      <c r="B679" s="66"/>
      <c r="C679" s="66">
        <v>2429</v>
      </c>
      <c r="D679" s="66"/>
      <c r="E679" s="66" t="s">
        <v>763</v>
      </c>
      <c r="F679" s="66">
        <v>3</v>
      </c>
      <c r="G679" s="66"/>
      <c r="H679" s="66">
        <v>3</v>
      </c>
      <c r="I679" s="66" t="e">
        <v>#N/A</v>
      </c>
      <c r="J679" s="66" t="s">
        <v>870</v>
      </c>
      <c r="K679" s="66"/>
      <c r="L679" s="66"/>
      <c r="M679" s="66"/>
      <c r="N679" s="66"/>
      <c r="O679" s="66" t="s">
        <v>894</v>
      </c>
      <c r="P679" s="66"/>
      <c r="Q679" s="66">
        <v>1</v>
      </c>
      <c r="R679" s="66">
        <v>1103</v>
      </c>
      <c r="S679" s="66"/>
    </row>
    <row r="680" spans="1:19" x14ac:dyDescent="0.25">
      <c r="A680" s="15">
        <v>34</v>
      </c>
      <c r="B680" s="66"/>
      <c r="C680" s="66">
        <v>2429</v>
      </c>
      <c r="D680" s="66"/>
      <c r="E680" s="66" t="s">
        <v>763</v>
      </c>
      <c r="F680" s="66">
        <v>3</v>
      </c>
      <c r="G680" s="66"/>
      <c r="H680" s="66">
        <v>3</v>
      </c>
      <c r="I680" s="66" t="e">
        <v>#N/A</v>
      </c>
      <c r="J680" s="66" t="s">
        <v>870</v>
      </c>
      <c r="K680" s="66"/>
      <c r="L680" s="66"/>
      <c r="M680" s="66"/>
      <c r="N680" s="66"/>
      <c r="O680" s="66" t="s">
        <v>895</v>
      </c>
      <c r="P680" s="66"/>
      <c r="Q680" s="66">
        <v>1</v>
      </c>
      <c r="R680" s="66">
        <v>1104</v>
      </c>
      <c r="S680" s="66"/>
    </row>
    <row r="681" spans="1:19" x14ac:dyDescent="0.25">
      <c r="A681" s="15">
        <v>34</v>
      </c>
      <c r="B681" s="66"/>
      <c r="C681" s="66">
        <v>2429</v>
      </c>
      <c r="D681" s="66"/>
      <c r="E681" s="66" t="s">
        <v>763</v>
      </c>
      <c r="F681" s="66">
        <v>3</v>
      </c>
      <c r="G681" s="66"/>
      <c r="H681" s="66">
        <v>3</v>
      </c>
      <c r="I681" s="66" t="e">
        <v>#N/A</v>
      </c>
      <c r="J681" s="66" t="s">
        <v>870</v>
      </c>
      <c r="K681" s="66"/>
      <c r="L681" s="66"/>
      <c r="M681" s="66"/>
      <c r="N681" s="66"/>
      <c r="O681" s="66" t="s">
        <v>896</v>
      </c>
      <c r="P681" s="66"/>
      <c r="Q681" s="66">
        <v>1</v>
      </c>
      <c r="R681" s="66">
        <v>1105</v>
      </c>
      <c r="S681" s="66"/>
    </row>
    <row r="682" spans="1:19" x14ac:dyDescent="0.25">
      <c r="A682" s="15">
        <v>34</v>
      </c>
      <c r="B682" s="66"/>
      <c r="C682" s="66">
        <v>2429</v>
      </c>
      <c r="D682" s="66"/>
      <c r="E682" s="66" t="s">
        <v>763</v>
      </c>
      <c r="F682" s="66">
        <v>3</v>
      </c>
      <c r="G682" s="66"/>
      <c r="H682" s="66">
        <v>3</v>
      </c>
      <c r="I682" s="66" t="e">
        <v>#N/A</v>
      </c>
      <c r="J682" s="66" t="s">
        <v>870</v>
      </c>
      <c r="K682" s="66"/>
      <c r="L682" s="66"/>
      <c r="M682" s="66"/>
      <c r="N682" s="66"/>
      <c r="O682" s="66" t="s">
        <v>897</v>
      </c>
      <c r="P682" s="66"/>
      <c r="Q682" s="66">
        <v>1</v>
      </c>
      <c r="R682" s="66">
        <v>1106</v>
      </c>
      <c r="S682" s="66"/>
    </row>
    <row r="683" spans="1:19" x14ac:dyDescent="0.25">
      <c r="A683" s="15">
        <v>34</v>
      </c>
      <c r="B683" s="66"/>
      <c r="C683" s="66">
        <v>2429</v>
      </c>
      <c r="D683" s="66"/>
      <c r="E683" s="66" t="s">
        <v>763</v>
      </c>
      <c r="F683" s="66">
        <v>3</v>
      </c>
      <c r="G683" s="66"/>
      <c r="H683" s="66">
        <v>3</v>
      </c>
      <c r="I683" s="66" t="e">
        <v>#N/A</v>
      </c>
      <c r="J683" s="66" t="s">
        <v>870</v>
      </c>
      <c r="K683" s="66"/>
      <c r="L683" s="66"/>
      <c r="M683" s="66"/>
      <c r="N683" s="66"/>
      <c r="O683" s="66" t="s">
        <v>898</v>
      </c>
      <c r="P683" s="66"/>
      <c r="Q683" s="66">
        <v>1</v>
      </c>
      <c r="R683" s="66">
        <v>1107</v>
      </c>
      <c r="S683" s="66"/>
    </row>
    <row r="684" spans="1:19" x14ac:dyDescent="0.25">
      <c r="A684" s="15">
        <v>34</v>
      </c>
      <c r="B684" s="66"/>
      <c r="C684" s="66">
        <v>2429</v>
      </c>
      <c r="D684" s="66"/>
      <c r="E684" s="66" t="s">
        <v>763</v>
      </c>
      <c r="F684" s="66">
        <v>3</v>
      </c>
      <c r="G684" s="66"/>
      <c r="H684" s="66">
        <v>3</v>
      </c>
      <c r="I684" s="66" t="e">
        <v>#N/A</v>
      </c>
      <c r="J684" s="66" t="s">
        <v>870</v>
      </c>
      <c r="K684" s="66"/>
      <c r="L684" s="66"/>
      <c r="M684" s="66"/>
      <c r="N684" s="66"/>
      <c r="O684" s="66" t="s">
        <v>899</v>
      </c>
      <c r="P684" s="66"/>
      <c r="Q684" s="66">
        <v>1</v>
      </c>
      <c r="R684" s="66">
        <v>1108</v>
      </c>
      <c r="S684" s="66"/>
    </row>
    <row r="685" spans="1:19" x14ac:dyDescent="0.25">
      <c r="A685" s="15">
        <v>34</v>
      </c>
      <c r="B685" s="66"/>
      <c r="C685" s="66">
        <v>2429</v>
      </c>
      <c r="D685" s="66"/>
      <c r="E685" s="66" t="s">
        <v>763</v>
      </c>
      <c r="F685" s="66">
        <v>3</v>
      </c>
      <c r="G685" s="66"/>
      <c r="H685" s="66">
        <v>3</v>
      </c>
      <c r="I685" s="66" t="e">
        <v>#N/A</v>
      </c>
      <c r="J685" s="66" t="s">
        <v>870</v>
      </c>
      <c r="K685" s="66"/>
      <c r="L685" s="66"/>
      <c r="M685" s="66"/>
      <c r="N685" s="66"/>
      <c r="O685" s="66" t="s">
        <v>900</v>
      </c>
      <c r="P685" s="66"/>
      <c r="Q685" s="66">
        <v>1</v>
      </c>
      <c r="R685" s="66">
        <v>1109</v>
      </c>
      <c r="S685" s="66"/>
    </row>
    <row r="686" spans="1:19" x14ac:dyDescent="0.25">
      <c r="A686" s="15">
        <v>34</v>
      </c>
      <c r="B686" s="66"/>
      <c r="C686" s="66">
        <v>2429</v>
      </c>
      <c r="D686" s="66"/>
      <c r="E686" s="66" t="s">
        <v>763</v>
      </c>
      <c r="F686" s="66">
        <v>3</v>
      </c>
      <c r="G686" s="66"/>
      <c r="H686" s="66">
        <v>3</v>
      </c>
      <c r="I686" s="66" t="e">
        <v>#N/A</v>
      </c>
      <c r="J686" s="66" t="s">
        <v>870</v>
      </c>
      <c r="K686" s="66"/>
      <c r="L686" s="66"/>
      <c r="M686" s="66"/>
      <c r="N686" s="66"/>
      <c r="O686" s="66" t="s">
        <v>901</v>
      </c>
      <c r="P686" s="66"/>
      <c r="Q686" s="66">
        <v>1</v>
      </c>
      <c r="R686" s="66">
        <v>1110</v>
      </c>
      <c r="S686" s="66"/>
    </row>
    <row r="687" spans="1:19" x14ac:dyDescent="0.25">
      <c r="A687" s="15">
        <v>34</v>
      </c>
      <c r="B687" s="66"/>
      <c r="C687" s="66">
        <v>2429</v>
      </c>
      <c r="D687" s="66"/>
      <c r="E687" s="66" t="s">
        <v>763</v>
      </c>
      <c r="F687" s="66">
        <v>3</v>
      </c>
      <c r="G687" s="66"/>
      <c r="H687" s="66">
        <v>3</v>
      </c>
      <c r="I687" s="66" t="e">
        <v>#N/A</v>
      </c>
      <c r="J687" s="66" t="s">
        <v>870</v>
      </c>
      <c r="K687" s="66"/>
      <c r="L687" s="66"/>
      <c r="M687" s="66"/>
      <c r="N687" s="66"/>
      <c r="O687" s="66" t="s">
        <v>902</v>
      </c>
      <c r="P687" s="66"/>
      <c r="Q687" s="66">
        <v>1</v>
      </c>
      <c r="R687" s="66">
        <v>1111</v>
      </c>
      <c r="S687" s="66"/>
    </row>
    <row r="688" spans="1:19" x14ac:dyDescent="0.25">
      <c r="A688" s="15">
        <v>34</v>
      </c>
      <c r="B688" s="66"/>
      <c r="C688" s="66">
        <v>2429</v>
      </c>
      <c r="D688" s="66"/>
      <c r="E688" s="66" t="s">
        <v>763</v>
      </c>
      <c r="F688" s="66">
        <v>3</v>
      </c>
      <c r="G688" s="66"/>
      <c r="H688" s="66">
        <v>3</v>
      </c>
      <c r="I688" s="66" t="e">
        <v>#N/A</v>
      </c>
      <c r="J688" s="66" t="s">
        <v>870</v>
      </c>
      <c r="K688" s="66"/>
      <c r="L688" s="66"/>
      <c r="M688" s="66"/>
      <c r="N688" s="66"/>
      <c r="O688" s="66" t="s">
        <v>903</v>
      </c>
      <c r="P688" s="66"/>
      <c r="Q688" s="66">
        <v>1</v>
      </c>
      <c r="R688" s="66">
        <v>1112</v>
      </c>
      <c r="S688" s="66"/>
    </row>
    <row r="689" spans="1:19" x14ac:dyDescent="0.25">
      <c r="A689" s="15">
        <v>34</v>
      </c>
      <c r="B689" s="66"/>
      <c r="C689" s="66">
        <v>2429</v>
      </c>
      <c r="D689" s="66"/>
      <c r="E689" s="66" t="s">
        <v>763</v>
      </c>
      <c r="F689" s="66">
        <v>3</v>
      </c>
      <c r="G689" s="66"/>
      <c r="H689" s="66">
        <v>3</v>
      </c>
      <c r="I689" s="66" t="e">
        <v>#N/A</v>
      </c>
      <c r="J689" s="66" t="s">
        <v>870</v>
      </c>
      <c r="K689" s="66"/>
      <c r="L689" s="66"/>
      <c r="M689" s="66"/>
      <c r="N689" s="66"/>
      <c r="O689" s="66" t="s">
        <v>904</v>
      </c>
      <c r="P689" s="66"/>
      <c r="Q689" s="66">
        <v>1</v>
      </c>
      <c r="R689" s="66">
        <v>1113</v>
      </c>
      <c r="S689" s="66"/>
    </row>
    <row r="690" spans="1:19" x14ac:dyDescent="0.25">
      <c r="A690" s="15">
        <v>34</v>
      </c>
      <c r="B690" s="66"/>
      <c r="C690" s="66">
        <v>2429</v>
      </c>
      <c r="D690" s="66"/>
      <c r="E690" s="66" t="s">
        <v>763</v>
      </c>
      <c r="F690" s="66">
        <v>3</v>
      </c>
      <c r="G690" s="66"/>
      <c r="H690" s="66">
        <v>3</v>
      </c>
      <c r="I690" s="66" t="e">
        <v>#N/A</v>
      </c>
      <c r="J690" s="66" t="s">
        <v>870</v>
      </c>
      <c r="K690" s="66"/>
      <c r="L690" s="66"/>
      <c r="M690" s="66"/>
      <c r="N690" s="66"/>
      <c r="O690" s="66" t="s">
        <v>905</v>
      </c>
      <c r="P690" s="66"/>
      <c r="Q690" s="66">
        <v>1</v>
      </c>
      <c r="R690" s="66">
        <v>1114</v>
      </c>
      <c r="S690" s="66"/>
    </row>
    <row r="691" spans="1:19" x14ac:dyDescent="0.25">
      <c r="A691" s="15">
        <v>34</v>
      </c>
      <c r="B691" s="66"/>
      <c r="C691" s="66">
        <v>2429</v>
      </c>
      <c r="D691" s="66"/>
      <c r="E691" s="66" t="s">
        <v>763</v>
      </c>
      <c r="F691" s="66">
        <v>3</v>
      </c>
      <c r="G691" s="66"/>
      <c r="H691" s="66" t="e">
        <v>#N/A</v>
      </c>
      <c r="I691" s="66"/>
      <c r="J691" s="66" t="s">
        <v>870</v>
      </c>
      <c r="K691" s="66"/>
      <c r="L691" s="66"/>
      <c r="M691" s="66"/>
      <c r="N691" s="66"/>
      <c r="O691" s="66" t="s">
        <v>906</v>
      </c>
      <c r="P691" s="66"/>
      <c r="Q691" s="66">
        <v>1</v>
      </c>
      <c r="R691" s="66">
        <v>1276</v>
      </c>
      <c r="S691" s="66"/>
    </row>
    <row r="692" spans="1:19" x14ac:dyDescent="0.25">
      <c r="A692" s="15">
        <v>34</v>
      </c>
      <c r="B692" s="66"/>
      <c r="C692" s="66">
        <v>2429</v>
      </c>
      <c r="D692" s="66"/>
      <c r="E692" s="66" t="s">
        <v>763</v>
      </c>
      <c r="F692" s="66">
        <v>5</v>
      </c>
      <c r="G692" s="66"/>
      <c r="H692" s="66" t="e">
        <v>#N/A</v>
      </c>
      <c r="I692" s="66"/>
      <c r="J692" s="66" t="s">
        <v>870</v>
      </c>
      <c r="K692" s="66"/>
      <c r="L692" s="66"/>
      <c r="M692" s="66"/>
      <c r="N692" s="66"/>
      <c r="O692" s="66" t="s">
        <v>908</v>
      </c>
      <c r="P692" s="66"/>
      <c r="Q692" s="66">
        <v>1</v>
      </c>
      <c r="R692" s="66">
        <v>1397</v>
      </c>
      <c r="S692" s="66"/>
    </row>
    <row r="693" spans="1:19" x14ac:dyDescent="0.25">
      <c r="A693" s="15">
        <v>34</v>
      </c>
      <c r="B693" s="66"/>
      <c r="C693" s="66">
        <v>2429</v>
      </c>
      <c r="D693" s="66"/>
      <c r="E693" s="66" t="s">
        <v>763</v>
      </c>
      <c r="F693" s="66">
        <v>5</v>
      </c>
      <c r="G693" s="66"/>
      <c r="H693" s="66" t="e">
        <v>#N/A</v>
      </c>
      <c r="I693" s="66"/>
      <c r="J693" s="66" t="s">
        <v>870</v>
      </c>
      <c r="K693" s="66"/>
      <c r="L693" s="66"/>
      <c r="M693" s="66"/>
      <c r="N693" s="66"/>
      <c r="O693" s="66" t="s">
        <v>909</v>
      </c>
      <c r="P693" s="66"/>
      <c r="Q693" s="66">
        <v>1</v>
      </c>
      <c r="R693" s="66">
        <v>1398</v>
      </c>
      <c r="S693" s="66"/>
    </row>
    <row r="694" spans="1:19" x14ac:dyDescent="0.25">
      <c r="A694" s="15">
        <v>34</v>
      </c>
      <c r="B694" s="66"/>
      <c r="C694" s="66">
        <v>2429</v>
      </c>
      <c r="D694" s="66"/>
      <c r="E694" s="66" t="s">
        <v>763</v>
      </c>
      <c r="F694" s="66">
        <v>5</v>
      </c>
      <c r="G694" s="66"/>
      <c r="H694" s="66" t="e">
        <v>#N/A</v>
      </c>
      <c r="I694" s="66"/>
      <c r="J694" s="66" t="s">
        <v>870</v>
      </c>
      <c r="K694" s="66"/>
      <c r="L694" s="66"/>
      <c r="M694" s="66"/>
      <c r="N694" s="66"/>
      <c r="O694" s="66" t="s">
        <v>910</v>
      </c>
      <c r="P694" s="66"/>
      <c r="Q694" s="66">
        <v>1</v>
      </c>
      <c r="R694" s="66">
        <v>1399</v>
      </c>
      <c r="S694" s="66"/>
    </row>
    <row r="695" spans="1:19" x14ac:dyDescent="0.25">
      <c r="A695" s="15">
        <v>34</v>
      </c>
      <c r="B695" s="66"/>
      <c r="C695" s="66">
        <v>2429</v>
      </c>
      <c r="D695" s="66"/>
      <c r="E695" s="66" t="s">
        <v>763</v>
      </c>
      <c r="F695" s="66">
        <v>5</v>
      </c>
      <c r="G695" s="66"/>
      <c r="H695" s="66" t="e">
        <v>#N/A</v>
      </c>
      <c r="I695" s="66"/>
      <c r="J695" s="66" t="s">
        <v>870</v>
      </c>
      <c r="K695" s="66"/>
      <c r="L695" s="66"/>
      <c r="M695" s="66"/>
      <c r="N695" s="66"/>
      <c r="O695" s="66" t="s">
        <v>911</v>
      </c>
      <c r="P695" s="66"/>
      <c r="Q695" s="66">
        <v>1</v>
      </c>
      <c r="R695" s="66">
        <v>1400</v>
      </c>
      <c r="S695" s="66"/>
    </row>
    <row r="696" spans="1:19" x14ac:dyDescent="0.25">
      <c r="A696" s="15">
        <v>34</v>
      </c>
      <c r="B696" s="66"/>
      <c r="C696" s="66">
        <v>2429</v>
      </c>
      <c r="D696" s="66"/>
      <c r="E696" s="66" t="s">
        <v>763</v>
      </c>
      <c r="F696" s="66">
        <v>5</v>
      </c>
      <c r="G696" s="66"/>
      <c r="H696" s="66" t="e">
        <v>#N/A</v>
      </c>
      <c r="I696" s="66"/>
      <c r="J696" s="66" t="s">
        <v>870</v>
      </c>
      <c r="K696" s="66"/>
      <c r="L696" s="66"/>
      <c r="M696" s="66"/>
      <c r="N696" s="66"/>
      <c r="O696" s="66" t="s">
        <v>912</v>
      </c>
      <c r="P696" s="66"/>
      <c r="Q696" s="66">
        <v>1</v>
      </c>
      <c r="R696" s="66">
        <v>1401</v>
      </c>
      <c r="S696" s="66"/>
    </row>
    <row r="697" spans="1:19" x14ac:dyDescent="0.25">
      <c r="A697" s="15">
        <v>34</v>
      </c>
      <c r="B697" s="66"/>
      <c r="C697" s="66">
        <v>2429</v>
      </c>
      <c r="D697" s="66"/>
      <c r="E697" s="66" t="s">
        <v>763</v>
      </c>
      <c r="F697" s="66">
        <v>5</v>
      </c>
      <c r="G697" s="66"/>
      <c r="H697" s="66" t="e">
        <v>#N/A</v>
      </c>
      <c r="I697" s="66"/>
      <c r="J697" s="66" t="s">
        <v>870</v>
      </c>
      <c r="K697" s="66"/>
      <c r="L697" s="66"/>
      <c r="M697" s="66"/>
      <c r="N697" s="66"/>
      <c r="O697" s="66" t="s">
        <v>913</v>
      </c>
      <c r="P697" s="66"/>
      <c r="Q697" s="66">
        <v>1</v>
      </c>
      <c r="R697" s="66">
        <v>1402</v>
      </c>
      <c r="S697" s="66"/>
    </row>
    <row r="698" spans="1:19" x14ac:dyDescent="0.25">
      <c r="A698" s="15">
        <v>34</v>
      </c>
      <c r="B698" s="66"/>
      <c r="C698" s="66">
        <v>2429</v>
      </c>
      <c r="D698" s="66"/>
      <c r="E698" s="66" t="s">
        <v>763</v>
      </c>
      <c r="F698" s="66">
        <v>5</v>
      </c>
      <c r="G698" s="66"/>
      <c r="H698" s="66" t="e">
        <v>#N/A</v>
      </c>
      <c r="I698" s="66"/>
      <c r="J698" s="66" t="s">
        <v>870</v>
      </c>
      <c r="K698" s="66"/>
      <c r="L698" s="66"/>
      <c r="M698" s="66"/>
      <c r="N698" s="66"/>
      <c r="O698" s="66" t="s">
        <v>914</v>
      </c>
      <c r="P698" s="66"/>
      <c r="Q698" s="66">
        <v>1</v>
      </c>
      <c r="R698" s="66">
        <v>1403</v>
      </c>
      <c r="S698" s="66"/>
    </row>
    <row r="699" spans="1:19" x14ac:dyDescent="0.25">
      <c r="A699" s="15">
        <v>34</v>
      </c>
      <c r="B699" s="66"/>
      <c r="C699" s="66">
        <v>2429</v>
      </c>
      <c r="D699" s="66"/>
      <c r="E699" s="66" t="s">
        <v>763</v>
      </c>
      <c r="F699" s="66">
        <v>5</v>
      </c>
      <c r="G699" s="66"/>
      <c r="H699" s="66" t="e">
        <v>#N/A</v>
      </c>
      <c r="I699" s="66"/>
      <c r="J699" s="66" t="s">
        <v>870</v>
      </c>
      <c r="K699" s="66"/>
      <c r="L699" s="66"/>
      <c r="M699" s="66"/>
      <c r="N699" s="66"/>
      <c r="O699" s="66" t="s">
        <v>915</v>
      </c>
      <c r="P699" s="66"/>
      <c r="Q699" s="66">
        <v>1</v>
      </c>
      <c r="R699" s="66">
        <v>1404</v>
      </c>
      <c r="S699" s="66"/>
    </row>
    <row r="700" spans="1:19" x14ac:dyDescent="0.25">
      <c r="A700" s="15">
        <v>34</v>
      </c>
      <c r="B700" s="66"/>
      <c r="C700" s="66">
        <v>2429</v>
      </c>
      <c r="D700" s="66"/>
      <c r="E700" s="66" t="s">
        <v>763</v>
      </c>
      <c r="F700" s="66">
        <v>5</v>
      </c>
      <c r="G700" s="66"/>
      <c r="H700" s="66" t="e">
        <v>#N/A</v>
      </c>
      <c r="I700" s="66"/>
      <c r="J700" s="66" t="s">
        <v>870</v>
      </c>
      <c r="K700" s="66"/>
      <c r="L700" s="66"/>
      <c r="M700" s="66"/>
      <c r="N700" s="66"/>
      <c r="O700" s="66" t="s">
        <v>916</v>
      </c>
      <c r="P700" s="66"/>
      <c r="Q700" s="66">
        <v>1</v>
      </c>
      <c r="R700" s="66">
        <v>1405</v>
      </c>
      <c r="S700" s="66"/>
    </row>
    <row r="701" spans="1:19" x14ac:dyDescent="0.25">
      <c r="A701" s="15">
        <v>34</v>
      </c>
      <c r="B701" s="66"/>
      <c r="C701" s="66">
        <v>2429</v>
      </c>
      <c r="D701" s="66"/>
      <c r="E701" s="66" t="s">
        <v>763</v>
      </c>
      <c r="F701" s="66">
        <v>5</v>
      </c>
      <c r="G701" s="66"/>
      <c r="H701" s="66" t="e">
        <v>#N/A</v>
      </c>
      <c r="I701" s="66"/>
      <c r="J701" s="66" t="s">
        <v>870</v>
      </c>
      <c r="K701" s="66"/>
      <c r="L701" s="66"/>
      <c r="M701" s="66"/>
      <c r="N701" s="66"/>
      <c r="O701" s="66" t="s">
        <v>917</v>
      </c>
      <c r="P701" s="66"/>
      <c r="Q701" s="66">
        <v>1</v>
      </c>
      <c r="R701" s="66">
        <v>1406</v>
      </c>
      <c r="S701" s="66"/>
    </row>
    <row r="702" spans="1:19" x14ac:dyDescent="0.25">
      <c r="A702" s="15">
        <v>34</v>
      </c>
      <c r="B702" s="66"/>
      <c r="C702" s="66">
        <v>2429</v>
      </c>
      <c r="D702" s="66"/>
      <c r="E702" s="66" t="s">
        <v>763</v>
      </c>
      <c r="F702" s="66">
        <v>5</v>
      </c>
      <c r="G702" s="66"/>
      <c r="H702" s="66" t="e">
        <v>#N/A</v>
      </c>
      <c r="I702" s="66"/>
      <c r="J702" s="66" t="s">
        <v>870</v>
      </c>
      <c r="K702" s="66"/>
      <c r="L702" s="66"/>
      <c r="M702" s="66"/>
      <c r="N702" s="66"/>
      <c r="O702" s="66" t="s">
        <v>918</v>
      </c>
      <c r="P702" s="66"/>
      <c r="Q702" s="66">
        <v>1</v>
      </c>
      <c r="R702" s="66">
        <v>1407</v>
      </c>
      <c r="S702" s="66"/>
    </row>
    <row r="703" spans="1:19" x14ac:dyDescent="0.25">
      <c r="A703" s="15">
        <v>34</v>
      </c>
      <c r="B703" s="66"/>
      <c r="C703" s="66">
        <v>2429</v>
      </c>
      <c r="D703" s="66"/>
      <c r="E703" s="66" t="s">
        <v>763</v>
      </c>
      <c r="F703" s="66">
        <v>5</v>
      </c>
      <c r="G703" s="66"/>
      <c r="H703" s="66" t="e">
        <v>#N/A</v>
      </c>
      <c r="I703" s="66"/>
      <c r="J703" s="66" t="s">
        <v>870</v>
      </c>
      <c r="K703" s="66"/>
      <c r="L703" s="66"/>
      <c r="M703" s="66"/>
      <c r="N703" s="66"/>
      <c r="O703" s="66" t="s">
        <v>919</v>
      </c>
      <c r="P703" s="66"/>
      <c r="Q703" s="66">
        <v>1</v>
      </c>
      <c r="R703" s="66">
        <v>1408</v>
      </c>
      <c r="S703" s="66"/>
    </row>
    <row r="704" spans="1:19" x14ac:dyDescent="0.25">
      <c r="A704" s="15">
        <v>35</v>
      </c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</row>
    <row r="705" spans="1:19" x14ac:dyDescent="0.25">
      <c r="A705" s="15">
        <v>35</v>
      </c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 t="s">
        <v>792</v>
      </c>
      <c r="P705" s="66"/>
      <c r="Q705" s="66"/>
      <c r="R705" s="66"/>
      <c r="S705" s="66"/>
    </row>
    <row r="706" spans="1:19" x14ac:dyDescent="0.25">
      <c r="A706" s="15">
        <v>35</v>
      </c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 t="s">
        <v>835</v>
      </c>
      <c r="P706" s="66"/>
      <c r="Q706" s="66"/>
      <c r="R706" s="66"/>
      <c r="S706" s="66"/>
    </row>
    <row r="707" spans="1:19" x14ac:dyDescent="0.25">
      <c r="A707" s="15">
        <v>35</v>
      </c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 t="s">
        <v>843</v>
      </c>
      <c r="P707" s="66"/>
      <c r="Q707" s="66"/>
      <c r="R707" s="66"/>
      <c r="S707" s="66"/>
    </row>
    <row r="708" spans="1:19" x14ac:dyDescent="0.25">
      <c r="A708" s="15">
        <v>35</v>
      </c>
      <c r="B708" s="66"/>
      <c r="C708" s="66" t="s">
        <v>77</v>
      </c>
      <c r="D708" s="66"/>
      <c r="E708" s="66" t="s">
        <v>763</v>
      </c>
      <c r="F708" s="66">
        <v>6</v>
      </c>
      <c r="G708" s="66"/>
      <c r="H708" s="66">
        <v>7</v>
      </c>
      <c r="I708" s="66">
        <v>10.5</v>
      </c>
      <c r="J708" s="66" t="s">
        <v>850</v>
      </c>
      <c r="K708" s="66"/>
      <c r="L708" s="66"/>
      <c r="M708" s="66"/>
      <c r="N708" s="66"/>
      <c r="O708" s="66" t="s">
        <v>849</v>
      </c>
      <c r="P708" s="66"/>
      <c r="Q708" s="66">
        <v>1</v>
      </c>
      <c r="R708" s="66">
        <v>297</v>
      </c>
      <c r="S708" s="66"/>
    </row>
    <row r="709" spans="1:19" x14ac:dyDescent="0.25">
      <c r="A709" s="15">
        <v>35</v>
      </c>
      <c r="B709" s="66"/>
      <c r="C709" s="66">
        <v>2429</v>
      </c>
      <c r="D709" s="66"/>
      <c r="E709" s="66" t="s">
        <v>763</v>
      </c>
      <c r="F709" s="66">
        <v>6</v>
      </c>
      <c r="G709" s="66"/>
      <c r="H709" s="66"/>
      <c r="I709" s="66">
        <v>21.583333333333332</v>
      </c>
      <c r="J709" s="66" t="s">
        <v>850</v>
      </c>
      <c r="K709" s="66"/>
      <c r="L709" s="66"/>
      <c r="M709" s="66"/>
      <c r="N709" s="66"/>
      <c r="O709" s="66" t="s">
        <v>852</v>
      </c>
      <c r="P709" s="66"/>
      <c r="Q709" s="66">
        <v>1</v>
      </c>
      <c r="R709" s="66">
        <v>429</v>
      </c>
      <c r="S709" s="66"/>
    </row>
    <row r="710" spans="1:19" x14ac:dyDescent="0.25">
      <c r="A710" s="15">
        <v>35</v>
      </c>
      <c r="B710" s="66"/>
      <c r="C710" s="66">
        <v>2429</v>
      </c>
      <c r="D710" s="66"/>
      <c r="E710" s="66" t="s">
        <v>763</v>
      </c>
      <c r="F710" s="66">
        <v>1</v>
      </c>
      <c r="G710" s="66"/>
      <c r="H710" s="66" t="e">
        <v>#N/A</v>
      </c>
      <c r="I710" s="66"/>
      <c r="J710" s="66" t="s">
        <v>870</v>
      </c>
      <c r="K710" s="66" t="s">
        <v>757</v>
      </c>
      <c r="L710" s="66" t="s">
        <v>757</v>
      </c>
      <c r="M710" s="66" t="s">
        <v>757</v>
      </c>
      <c r="N710" s="66" t="s">
        <v>757</v>
      </c>
      <c r="O710" s="66" t="s">
        <v>869</v>
      </c>
      <c r="P710" s="66"/>
      <c r="Q710" s="66">
        <v>1</v>
      </c>
      <c r="R710" s="66">
        <v>661</v>
      </c>
      <c r="S710" s="66"/>
    </row>
    <row r="711" spans="1:19" x14ac:dyDescent="0.25">
      <c r="A711" s="15">
        <v>35</v>
      </c>
      <c r="B711" s="66"/>
      <c r="C711" s="66">
        <v>2429</v>
      </c>
      <c r="D711" s="66"/>
      <c r="E711" s="66" t="s">
        <v>763</v>
      </c>
      <c r="F711" s="66">
        <v>0</v>
      </c>
      <c r="G711" s="66"/>
      <c r="H711" s="66">
        <v>3</v>
      </c>
      <c r="I711" s="66" t="e">
        <v>#N/A</v>
      </c>
      <c r="J711" s="66" t="s">
        <v>870</v>
      </c>
      <c r="K711" s="66"/>
      <c r="L711" s="66"/>
      <c r="M711" s="66"/>
      <c r="N711" s="66"/>
      <c r="O711" s="66" t="s">
        <v>882</v>
      </c>
      <c r="P711" s="66"/>
      <c r="Q711" s="66">
        <v>1</v>
      </c>
      <c r="R711" s="66">
        <v>888</v>
      </c>
      <c r="S711" s="66"/>
    </row>
    <row r="712" spans="1:19" x14ac:dyDescent="0.25">
      <c r="A712" s="15">
        <v>35</v>
      </c>
      <c r="B712" s="66"/>
      <c r="C712" s="66">
        <v>2429</v>
      </c>
      <c r="D712" s="66"/>
      <c r="E712" s="66" t="s">
        <v>763</v>
      </c>
      <c r="F712" s="66">
        <v>3</v>
      </c>
      <c r="G712" s="66"/>
      <c r="H712" s="66">
        <v>3</v>
      </c>
      <c r="I712" s="66" t="e">
        <v>#N/A</v>
      </c>
      <c r="J712" s="66" t="s">
        <v>870</v>
      </c>
      <c r="K712" s="66"/>
      <c r="L712" s="66"/>
      <c r="M712" s="66"/>
      <c r="N712" s="66"/>
      <c r="O712" s="66" t="s">
        <v>894</v>
      </c>
      <c r="P712" s="66"/>
      <c r="Q712" s="66">
        <v>1</v>
      </c>
      <c r="R712" s="66">
        <v>1115</v>
      </c>
      <c r="S712" s="66"/>
    </row>
    <row r="713" spans="1:19" x14ac:dyDescent="0.25">
      <c r="A713" s="15">
        <v>35</v>
      </c>
      <c r="B713" s="66"/>
      <c r="C713" s="66">
        <v>2429</v>
      </c>
      <c r="D713" s="66"/>
      <c r="E713" s="66" t="s">
        <v>763</v>
      </c>
      <c r="F713" s="66">
        <v>3</v>
      </c>
      <c r="G713" s="66"/>
      <c r="H713" s="66" t="e">
        <v>#N/A</v>
      </c>
      <c r="I713" s="66"/>
      <c r="J713" s="66" t="s">
        <v>870</v>
      </c>
      <c r="K713" s="66"/>
      <c r="L713" s="66"/>
      <c r="M713" s="66"/>
      <c r="N713" s="66"/>
      <c r="O713" s="66" t="s">
        <v>906</v>
      </c>
      <c r="P713" s="66"/>
      <c r="Q713" s="66">
        <v>1</v>
      </c>
      <c r="R713" s="66">
        <v>1277</v>
      </c>
      <c r="S713" s="66"/>
    </row>
    <row r="714" spans="1:19" x14ac:dyDescent="0.25">
      <c r="A714" s="15">
        <v>35</v>
      </c>
      <c r="B714" s="66"/>
      <c r="C714" s="66">
        <v>2429</v>
      </c>
      <c r="D714" s="66"/>
      <c r="E714" s="66" t="s">
        <v>763</v>
      </c>
      <c r="F714" s="66">
        <v>5</v>
      </c>
      <c r="G714" s="66"/>
      <c r="H714" s="66" t="e">
        <v>#N/A</v>
      </c>
      <c r="I714" s="66"/>
      <c r="J714" s="66" t="s">
        <v>870</v>
      </c>
      <c r="K714" s="66"/>
      <c r="L714" s="66"/>
      <c r="M714" s="66"/>
      <c r="N714" s="66"/>
      <c r="O714" s="66" t="s">
        <v>908</v>
      </c>
      <c r="P714" s="66"/>
      <c r="Q714" s="66">
        <v>1</v>
      </c>
      <c r="R714" s="66">
        <v>1409</v>
      </c>
      <c r="S714" s="66"/>
    </row>
    <row r="715" spans="1:19" x14ac:dyDescent="0.25">
      <c r="A715" s="15">
        <v>36</v>
      </c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</row>
    <row r="716" spans="1:19" x14ac:dyDescent="0.25">
      <c r="A716" s="15">
        <v>36</v>
      </c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 t="s">
        <v>793</v>
      </c>
      <c r="P716" s="66"/>
      <c r="Q716" s="66"/>
      <c r="R716" s="66"/>
      <c r="S716" s="66"/>
    </row>
    <row r="717" spans="1:19" x14ac:dyDescent="0.25">
      <c r="A717" s="15">
        <v>36</v>
      </c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 t="s">
        <v>836</v>
      </c>
      <c r="P717" s="66"/>
      <c r="Q717" s="66"/>
      <c r="R717" s="66"/>
      <c r="S717" s="66"/>
    </row>
    <row r="718" spans="1:19" x14ac:dyDescent="0.25">
      <c r="A718" s="15">
        <v>36</v>
      </c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 t="s">
        <v>842</v>
      </c>
      <c r="P718" s="66"/>
      <c r="Q718" s="66"/>
      <c r="R718" s="66"/>
      <c r="S718" s="66"/>
    </row>
    <row r="719" spans="1:19" x14ac:dyDescent="0.25">
      <c r="A719" s="15">
        <v>36</v>
      </c>
      <c r="B719" s="66"/>
      <c r="C719" s="66" t="s">
        <v>77</v>
      </c>
      <c r="D719" s="66"/>
      <c r="E719" s="66" t="s">
        <v>763</v>
      </c>
      <c r="F719" s="66">
        <v>8</v>
      </c>
      <c r="G719" s="66"/>
      <c r="H719" s="66">
        <v>7</v>
      </c>
      <c r="I719" s="66">
        <v>7.666666666666667</v>
      </c>
      <c r="J719" s="66" t="s">
        <v>850</v>
      </c>
      <c r="K719" s="66"/>
      <c r="L719" s="66"/>
      <c r="M719" s="66"/>
      <c r="N719" s="66"/>
      <c r="O719" s="66" t="s">
        <v>849</v>
      </c>
      <c r="P719" s="66"/>
      <c r="Q719" s="66">
        <v>1</v>
      </c>
      <c r="R719" s="66">
        <v>298</v>
      </c>
      <c r="S719" s="66"/>
    </row>
    <row r="720" spans="1:19" x14ac:dyDescent="0.25">
      <c r="A720" s="15">
        <v>36</v>
      </c>
      <c r="B720" s="66"/>
      <c r="C720" s="66">
        <v>2429</v>
      </c>
      <c r="D720" s="66"/>
      <c r="E720" s="66" t="s">
        <v>763</v>
      </c>
      <c r="F720" s="66">
        <v>8</v>
      </c>
      <c r="G720" s="66"/>
      <c r="H720" s="66"/>
      <c r="I720" s="66">
        <v>19.583333333333332</v>
      </c>
      <c r="J720" s="66" t="s">
        <v>850</v>
      </c>
      <c r="K720" s="66"/>
      <c r="L720" s="66"/>
      <c r="M720" s="66"/>
      <c r="N720" s="66"/>
      <c r="O720" s="66" t="s">
        <v>852</v>
      </c>
      <c r="P720" s="66"/>
      <c r="Q720" s="66">
        <v>1</v>
      </c>
      <c r="R720" s="66">
        <v>430</v>
      </c>
      <c r="S720" s="66"/>
    </row>
    <row r="721" spans="1:19" x14ac:dyDescent="0.25">
      <c r="A721" s="15">
        <v>36</v>
      </c>
      <c r="B721" s="66"/>
      <c r="C721" s="66">
        <v>2429</v>
      </c>
      <c r="D721" s="66"/>
      <c r="E721" s="66" t="s">
        <v>763</v>
      </c>
      <c r="F721" s="66">
        <v>1</v>
      </c>
      <c r="G721" s="66"/>
      <c r="H721" s="66" t="e">
        <v>#N/A</v>
      </c>
      <c r="I721" s="66"/>
      <c r="J721" s="66" t="s">
        <v>870</v>
      </c>
      <c r="K721" s="66" t="s">
        <v>757</v>
      </c>
      <c r="L721" s="66" t="s">
        <v>757</v>
      </c>
      <c r="M721" s="66" t="s">
        <v>757</v>
      </c>
      <c r="N721" s="66" t="s">
        <v>757</v>
      </c>
      <c r="O721" s="66" t="s">
        <v>869</v>
      </c>
      <c r="P721" s="66"/>
      <c r="Q721" s="66">
        <v>1</v>
      </c>
      <c r="R721" s="66">
        <v>662</v>
      </c>
      <c r="S721" s="66"/>
    </row>
    <row r="722" spans="1:19" x14ac:dyDescent="0.25">
      <c r="A722" s="15">
        <v>36</v>
      </c>
      <c r="B722" s="66"/>
      <c r="C722" s="66">
        <v>2429</v>
      </c>
      <c r="D722" s="66"/>
      <c r="E722" s="66" t="s">
        <v>763</v>
      </c>
      <c r="F722" s="66">
        <v>0</v>
      </c>
      <c r="G722" s="66"/>
      <c r="H722" s="66">
        <v>3</v>
      </c>
      <c r="I722" s="66" t="e">
        <v>#N/A</v>
      </c>
      <c r="J722" s="66" t="s">
        <v>870</v>
      </c>
      <c r="K722" s="66"/>
      <c r="L722" s="66"/>
      <c r="M722" s="66"/>
      <c r="N722" s="66"/>
      <c r="O722" s="66" t="s">
        <v>882</v>
      </c>
      <c r="P722" s="66"/>
      <c r="Q722" s="66">
        <v>1</v>
      </c>
      <c r="R722" s="66">
        <v>889</v>
      </c>
      <c r="S722" s="66"/>
    </row>
    <row r="723" spans="1:19" x14ac:dyDescent="0.25">
      <c r="A723" s="15">
        <v>36</v>
      </c>
      <c r="B723" s="66"/>
      <c r="C723" s="66">
        <v>2429</v>
      </c>
      <c r="D723" s="66"/>
      <c r="E723" s="66" t="s">
        <v>763</v>
      </c>
      <c r="F723" s="66">
        <v>3</v>
      </c>
      <c r="G723" s="66"/>
      <c r="H723" s="66">
        <v>3</v>
      </c>
      <c r="I723" s="66" t="e">
        <v>#N/A</v>
      </c>
      <c r="J723" s="66" t="s">
        <v>870</v>
      </c>
      <c r="K723" s="66"/>
      <c r="L723" s="66"/>
      <c r="M723" s="66"/>
      <c r="N723" s="66"/>
      <c r="O723" s="66" t="s">
        <v>894</v>
      </c>
      <c r="P723" s="66"/>
      <c r="Q723" s="66">
        <v>1</v>
      </c>
      <c r="R723" s="66">
        <v>1116</v>
      </c>
      <c r="S723" s="66"/>
    </row>
    <row r="724" spans="1:19" x14ac:dyDescent="0.25">
      <c r="A724" s="15">
        <v>36</v>
      </c>
      <c r="B724" s="66"/>
      <c r="C724" s="66">
        <v>2429</v>
      </c>
      <c r="D724" s="66"/>
      <c r="E724" s="66" t="s">
        <v>763</v>
      </c>
      <c r="F724" s="66">
        <v>3</v>
      </c>
      <c r="G724" s="66"/>
      <c r="H724" s="66" t="e">
        <v>#N/A</v>
      </c>
      <c r="I724" s="66"/>
      <c r="J724" s="66" t="s">
        <v>870</v>
      </c>
      <c r="K724" s="66"/>
      <c r="L724" s="66"/>
      <c r="M724" s="66"/>
      <c r="N724" s="66"/>
      <c r="O724" s="66" t="s">
        <v>906</v>
      </c>
      <c r="P724" s="66"/>
      <c r="Q724" s="66">
        <v>1</v>
      </c>
      <c r="R724" s="66">
        <v>1278</v>
      </c>
      <c r="S724" s="66"/>
    </row>
    <row r="725" spans="1:19" x14ac:dyDescent="0.25">
      <c r="A725" s="15">
        <v>36</v>
      </c>
      <c r="B725" s="66"/>
      <c r="C725" s="66">
        <v>2429</v>
      </c>
      <c r="D725" s="66"/>
      <c r="E725" s="66" t="s">
        <v>763</v>
      </c>
      <c r="F725" s="66">
        <v>5</v>
      </c>
      <c r="G725" s="66"/>
      <c r="H725" s="66" t="e">
        <v>#N/A</v>
      </c>
      <c r="I725" s="66"/>
      <c r="J725" s="66" t="s">
        <v>870</v>
      </c>
      <c r="K725" s="66"/>
      <c r="L725" s="66"/>
      <c r="M725" s="66"/>
      <c r="N725" s="66"/>
      <c r="O725" s="66" t="s">
        <v>908</v>
      </c>
      <c r="P725" s="66"/>
      <c r="Q725" s="66">
        <v>1</v>
      </c>
      <c r="R725" s="66">
        <v>1410</v>
      </c>
      <c r="S725" s="66"/>
    </row>
    <row r="726" spans="1:19" x14ac:dyDescent="0.25">
      <c r="A726" s="15">
        <v>37</v>
      </c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</row>
    <row r="727" spans="1:19" x14ac:dyDescent="0.25">
      <c r="A727" s="15">
        <v>37</v>
      </c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 t="s">
        <v>794</v>
      </c>
      <c r="P727" s="66"/>
      <c r="Q727" s="66"/>
      <c r="R727" s="66"/>
      <c r="S727" s="66"/>
    </row>
    <row r="728" spans="1:19" x14ac:dyDescent="0.25">
      <c r="A728" s="15">
        <v>37</v>
      </c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 t="s">
        <v>837</v>
      </c>
      <c r="P728" s="66"/>
      <c r="Q728" s="66"/>
      <c r="R728" s="66"/>
      <c r="S728" s="66"/>
    </row>
    <row r="729" spans="1:19" x14ac:dyDescent="0.25">
      <c r="A729" s="15">
        <v>37</v>
      </c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 t="s">
        <v>847</v>
      </c>
      <c r="P729" s="66"/>
      <c r="Q729" s="66"/>
      <c r="R729" s="66"/>
      <c r="S729" s="66"/>
    </row>
    <row r="730" spans="1:19" x14ac:dyDescent="0.25">
      <c r="A730" s="15">
        <v>37</v>
      </c>
      <c r="B730" s="66"/>
      <c r="C730" s="66" t="s">
        <v>77</v>
      </c>
      <c r="D730" s="66"/>
      <c r="E730" s="66" t="s">
        <v>763</v>
      </c>
      <c r="F730" s="66">
        <v>8</v>
      </c>
      <c r="G730" s="66"/>
      <c r="H730" s="66">
        <v>10</v>
      </c>
      <c r="I730" s="66">
        <v>12.583333333333332</v>
      </c>
      <c r="J730" s="66" t="s">
        <v>850</v>
      </c>
      <c r="K730" s="66"/>
      <c r="L730" s="66"/>
      <c r="M730" s="66"/>
      <c r="N730" s="66"/>
      <c r="O730" s="66" t="s">
        <v>849</v>
      </c>
      <c r="P730" s="66"/>
      <c r="Q730" s="66">
        <v>1</v>
      </c>
      <c r="R730" s="66">
        <v>299</v>
      </c>
      <c r="S730" s="66"/>
    </row>
    <row r="731" spans="1:19" x14ac:dyDescent="0.25">
      <c r="A731" s="15">
        <v>37</v>
      </c>
      <c r="B731" s="66"/>
      <c r="C731" s="66">
        <v>2429</v>
      </c>
      <c r="D731" s="66"/>
      <c r="E731" s="66" t="s">
        <v>763</v>
      </c>
      <c r="F731" s="66">
        <v>8</v>
      </c>
      <c r="G731" s="66"/>
      <c r="H731" s="66"/>
      <c r="I731" s="66">
        <v>24.666666666666668</v>
      </c>
      <c r="J731" s="66" t="s">
        <v>850</v>
      </c>
      <c r="K731" s="66"/>
      <c r="L731" s="66"/>
      <c r="M731" s="66"/>
      <c r="N731" s="66"/>
      <c r="O731" s="66" t="s">
        <v>852</v>
      </c>
      <c r="P731" s="66"/>
      <c r="Q731" s="66">
        <v>1</v>
      </c>
      <c r="R731" s="66">
        <v>431</v>
      </c>
      <c r="S731" s="66"/>
    </row>
    <row r="732" spans="1:19" x14ac:dyDescent="0.25">
      <c r="A732" s="15">
        <v>37</v>
      </c>
      <c r="B732" s="66"/>
      <c r="C732" s="66">
        <v>2429</v>
      </c>
      <c r="D732" s="66"/>
      <c r="E732" s="66" t="s">
        <v>763</v>
      </c>
      <c r="F732" s="66">
        <v>10</v>
      </c>
      <c r="G732" s="66"/>
      <c r="H732" s="66"/>
      <c r="I732" s="66">
        <v>15.666666666666666</v>
      </c>
      <c r="J732" s="66" t="s">
        <v>850</v>
      </c>
      <c r="K732" s="66"/>
      <c r="L732" s="66"/>
      <c r="M732" s="66"/>
      <c r="N732" s="66"/>
      <c r="O732" s="66" t="s">
        <v>853</v>
      </c>
      <c r="P732" s="66"/>
      <c r="Q732" s="66">
        <v>1</v>
      </c>
      <c r="R732" s="66">
        <v>432</v>
      </c>
      <c r="S732" s="66"/>
    </row>
    <row r="733" spans="1:19" x14ac:dyDescent="0.25">
      <c r="A733" s="15">
        <v>37</v>
      </c>
      <c r="B733" s="66"/>
      <c r="C733" s="66">
        <v>2429</v>
      </c>
      <c r="D733" s="66"/>
      <c r="E733" s="66" t="s">
        <v>763</v>
      </c>
      <c r="F733" s="66">
        <v>6</v>
      </c>
      <c r="G733" s="66"/>
      <c r="H733" s="66"/>
      <c r="I733" s="66">
        <v>15.666666666666666</v>
      </c>
      <c r="J733" s="66" t="s">
        <v>850</v>
      </c>
      <c r="K733" s="66"/>
      <c r="L733" s="66"/>
      <c r="M733" s="66"/>
      <c r="N733" s="66"/>
      <c r="O733" s="66" t="s">
        <v>854</v>
      </c>
      <c r="P733" s="66"/>
      <c r="Q733" s="66">
        <v>1</v>
      </c>
      <c r="R733" s="66">
        <v>433</v>
      </c>
      <c r="S733" s="66"/>
    </row>
    <row r="734" spans="1:19" x14ac:dyDescent="0.25">
      <c r="A734" s="15">
        <v>37</v>
      </c>
      <c r="B734" s="66"/>
      <c r="C734" s="66">
        <v>2429</v>
      </c>
      <c r="D734" s="66"/>
      <c r="E734" s="66" t="s">
        <v>763</v>
      </c>
      <c r="F734" s="66">
        <v>6</v>
      </c>
      <c r="G734" s="66"/>
      <c r="H734" s="66"/>
      <c r="I734" s="66">
        <v>15.666666666666666</v>
      </c>
      <c r="J734" s="66" t="s">
        <v>850</v>
      </c>
      <c r="K734" s="66"/>
      <c r="L734" s="66"/>
      <c r="M734" s="66"/>
      <c r="N734" s="66"/>
      <c r="O734" s="66" t="s">
        <v>855</v>
      </c>
      <c r="P734" s="66"/>
      <c r="Q734" s="66">
        <v>1</v>
      </c>
      <c r="R734" s="66">
        <v>434</v>
      </c>
      <c r="S734" s="66"/>
    </row>
    <row r="735" spans="1:19" x14ac:dyDescent="0.25">
      <c r="A735" s="15">
        <v>37</v>
      </c>
      <c r="B735" s="66"/>
      <c r="C735" s="66">
        <v>2429</v>
      </c>
      <c r="D735" s="66"/>
      <c r="E735" s="66" t="s">
        <v>763</v>
      </c>
      <c r="F735" s="66">
        <v>6</v>
      </c>
      <c r="G735" s="66"/>
      <c r="H735" s="66"/>
      <c r="I735" s="66">
        <v>15.666666666666666</v>
      </c>
      <c r="J735" s="66" t="s">
        <v>850</v>
      </c>
      <c r="K735" s="66"/>
      <c r="L735" s="66"/>
      <c r="M735" s="66"/>
      <c r="N735" s="66"/>
      <c r="O735" s="66" t="s">
        <v>856</v>
      </c>
      <c r="P735" s="66"/>
      <c r="Q735" s="66">
        <v>1</v>
      </c>
      <c r="R735" s="66">
        <v>435</v>
      </c>
      <c r="S735" s="66"/>
    </row>
    <row r="736" spans="1:19" x14ac:dyDescent="0.25">
      <c r="A736" s="15">
        <v>37</v>
      </c>
      <c r="B736" s="66"/>
      <c r="C736" s="66">
        <v>2429</v>
      </c>
      <c r="D736" s="66"/>
      <c r="E736" s="66" t="s">
        <v>763</v>
      </c>
      <c r="F736" s="66">
        <v>6</v>
      </c>
      <c r="G736" s="66"/>
      <c r="H736" s="66"/>
      <c r="I736" s="66">
        <v>15.666666666666666</v>
      </c>
      <c r="J736" s="66" t="s">
        <v>850</v>
      </c>
      <c r="K736" s="66"/>
      <c r="L736" s="66"/>
      <c r="M736" s="66"/>
      <c r="N736" s="66"/>
      <c r="O736" s="66" t="s">
        <v>857</v>
      </c>
      <c r="P736" s="66"/>
      <c r="Q736" s="66">
        <v>1</v>
      </c>
      <c r="R736" s="66">
        <v>436</v>
      </c>
      <c r="S736" s="66"/>
    </row>
    <row r="737" spans="1:19" x14ac:dyDescent="0.25">
      <c r="A737" s="15">
        <v>37</v>
      </c>
      <c r="B737" s="66"/>
      <c r="C737" s="66">
        <v>2429</v>
      </c>
      <c r="D737" s="66"/>
      <c r="E737" s="66" t="s">
        <v>763</v>
      </c>
      <c r="F737" s="66">
        <v>6</v>
      </c>
      <c r="G737" s="66"/>
      <c r="H737" s="66"/>
      <c r="I737" s="66">
        <v>15.666666666666666</v>
      </c>
      <c r="J737" s="66" t="s">
        <v>850</v>
      </c>
      <c r="K737" s="66"/>
      <c r="L737" s="66"/>
      <c r="M737" s="66"/>
      <c r="N737" s="66"/>
      <c r="O737" s="66" t="s">
        <v>858</v>
      </c>
      <c r="P737" s="66"/>
      <c r="Q737" s="66">
        <v>1</v>
      </c>
      <c r="R737" s="66">
        <v>437</v>
      </c>
      <c r="S737" s="66"/>
    </row>
    <row r="738" spans="1:19" x14ac:dyDescent="0.25">
      <c r="A738" s="15">
        <v>37</v>
      </c>
      <c r="B738" s="66"/>
      <c r="C738" s="66">
        <v>2429</v>
      </c>
      <c r="D738" s="66"/>
      <c r="E738" s="66" t="s">
        <v>763</v>
      </c>
      <c r="F738" s="66">
        <v>6</v>
      </c>
      <c r="G738" s="66"/>
      <c r="H738" s="66"/>
      <c r="I738" s="66">
        <v>15.666666666666666</v>
      </c>
      <c r="J738" s="66" t="s">
        <v>850</v>
      </c>
      <c r="K738" s="66"/>
      <c r="L738" s="66"/>
      <c r="M738" s="66"/>
      <c r="N738" s="66"/>
      <c r="O738" s="66" t="s">
        <v>859</v>
      </c>
      <c r="P738" s="66"/>
      <c r="Q738" s="66">
        <v>1</v>
      </c>
      <c r="R738" s="66">
        <v>438</v>
      </c>
      <c r="S738" s="66"/>
    </row>
    <row r="739" spans="1:19" x14ac:dyDescent="0.25">
      <c r="A739" s="15">
        <v>37</v>
      </c>
      <c r="B739" s="66"/>
      <c r="C739" s="66">
        <v>2429</v>
      </c>
      <c r="D739" s="66"/>
      <c r="E739" s="66" t="s">
        <v>763</v>
      </c>
      <c r="F739" s="66">
        <v>6</v>
      </c>
      <c r="G739" s="66"/>
      <c r="H739" s="66"/>
      <c r="I739" s="66">
        <v>15.666666666666666</v>
      </c>
      <c r="J739" s="66" t="s">
        <v>850</v>
      </c>
      <c r="K739" s="66"/>
      <c r="L739" s="66"/>
      <c r="M739" s="66"/>
      <c r="N739" s="66"/>
      <c r="O739" s="66" t="s">
        <v>860</v>
      </c>
      <c r="P739" s="66"/>
      <c r="Q739" s="66">
        <v>1</v>
      </c>
      <c r="R739" s="66">
        <v>439</v>
      </c>
      <c r="S739" s="66"/>
    </row>
    <row r="740" spans="1:19" x14ac:dyDescent="0.25">
      <c r="A740" s="15">
        <v>37</v>
      </c>
      <c r="B740" s="66"/>
      <c r="C740" s="66">
        <v>2429</v>
      </c>
      <c r="D740" s="66"/>
      <c r="E740" s="66" t="s">
        <v>763</v>
      </c>
      <c r="F740" s="66">
        <v>6</v>
      </c>
      <c r="G740" s="66"/>
      <c r="H740" s="66"/>
      <c r="I740" s="66">
        <v>15.666666666666666</v>
      </c>
      <c r="J740" s="66" t="s">
        <v>850</v>
      </c>
      <c r="K740" s="66"/>
      <c r="L740" s="66"/>
      <c r="M740" s="66"/>
      <c r="N740" s="66"/>
      <c r="O740" s="66" t="s">
        <v>861</v>
      </c>
      <c r="P740" s="66"/>
      <c r="Q740" s="66">
        <v>1</v>
      </c>
      <c r="R740" s="66">
        <v>440</v>
      </c>
      <c r="S740" s="66"/>
    </row>
    <row r="741" spans="1:19" x14ac:dyDescent="0.25">
      <c r="A741" s="15">
        <v>37</v>
      </c>
      <c r="B741" s="66"/>
      <c r="C741" s="66">
        <v>2429</v>
      </c>
      <c r="D741" s="66"/>
      <c r="E741" s="66" t="s">
        <v>763</v>
      </c>
      <c r="F741" s="66">
        <v>6</v>
      </c>
      <c r="G741" s="66"/>
      <c r="H741" s="66"/>
      <c r="I741" s="66">
        <v>15.666666666666666</v>
      </c>
      <c r="J741" s="66" t="s">
        <v>850</v>
      </c>
      <c r="K741" s="66"/>
      <c r="L741" s="66"/>
      <c r="M741" s="66"/>
      <c r="N741" s="66"/>
      <c r="O741" s="66" t="s">
        <v>862</v>
      </c>
      <c r="P741" s="66"/>
      <c r="Q741" s="66">
        <v>1</v>
      </c>
      <c r="R741" s="66">
        <v>441</v>
      </c>
      <c r="S741" s="66"/>
    </row>
    <row r="742" spans="1:19" x14ac:dyDescent="0.25">
      <c r="A742" s="15">
        <v>37</v>
      </c>
      <c r="B742" s="66"/>
      <c r="C742" s="66">
        <v>2429</v>
      </c>
      <c r="D742" s="66"/>
      <c r="E742" s="66" t="s">
        <v>763</v>
      </c>
      <c r="F742" s="66">
        <v>10</v>
      </c>
      <c r="G742" s="66"/>
      <c r="H742" s="66"/>
      <c r="I742" s="66">
        <v>10.583333333333334</v>
      </c>
      <c r="J742" s="66" t="s">
        <v>850</v>
      </c>
      <c r="K742" s="66"/>
      <c r="L742" s="66"/>
      <c r="M742" s="66"/>
      <c r="N742" s="66"/>
      <c r="O742" s="66" t="s">
        <v>863</v>
      </c>
      <c r="P742" s="66"/>
      <c r="Q742" s="66">
        <v>1</v>
      </c>
      <c r="R742" s="66">
        <v>442</v>
      </c>
      <c r="S742" s="66"/>
    </row>
    <row r="743" spans="1:19" x14ac:dyDescent="0.25">
      <c r="A743" s="15">
        <v>37</v>
      </c>
      <c r="B743" s="66"/>
      <c r="C743" s="66">
        <v>2429</v>
      </c>
      <c r="D743" s="66"/>
      <c r="E743" s="66" t="s">
        <v>763</v>
      </c>
      <c r="F743" s="66" t="s">
        <v>864</v>
      </c>
      <c r="G743" s="66"/>
      <c r="H743" s="66">
        <v>0</v>
      </c>
      <c r="I743" s="66">
        <v>10.833333333333332</v>
      </c>
      <c r="J743" s="66" t="s">
        <v>866</v>
      </c>
      <c r="K743" s="66"/>
      <c r="L743" s="66"/>
      <c r="M743" s="66"/>
      <c r="N743" s="66"/>
      <c r="O743" s="66" t="s">
        <v>865</v>
      </c>
      <c r="P743" s="66"/>
      <c r="Q743" s="66">
        <v>1</v>
      </c>
      <c r="R743" s="66">
        <v>566</v>
      </c>
      <c r="S743" s="66"/>
    </row>
    <row r="744" spans="1:19" x14ac:dyDescent="0.25">
      <c r="A744" s="15">
        <v>37</v>
      </c>
      <c r="B744" s="66"/>
      <c r="C744" s="66">
        <v>2429</v>
      </c>
      <c r="D744" s="66"/>
      <c r="E744" s="66" t="s">
        <v>763</v>
      </c>
      <c r="F744" s="66">
        <v>1</v>
      </c>
      <c r="G744" s="66"/>
      <c r="H744" s="66" t="e">
        <v>#N/A</v>
      </c>
      <c r="I744" s="66"/>
      <c r="J744" s="66" t="s">
        <v>870</v>
      </c>
      <c r="K744" s="66" t="s">
        <v>757</v>
      </c>
      <c r="L744" s="66" t="s">
        <v>757</v>
      </c>
      <c r="M744" s="66" t="s">
        <v>757</v>
      </c>
      <c r="N744" s="66" t="s">
        <v>757</v>
      </c>
      <c r="O744" s="66" t="s">
        <v>869</v>
      </c>
      <c r="P744" s="66"/>
      <c r="Q744" s="66">
        <v>1</v>
      </c>
      <c r="R744" s="66">
        <v>663</v>
      </c>
      <c r="S744" s="66"/>
    </row>
    <row r="745" spans="1:19" x14ac:dyDescent="0.25">
      <c r="A745" s="15">
        <v>37</v>
      </c>
      <c r="B745" s="66"/>
      <c r="C745" s="66">
        <v>2429</v>
      </c>
      <c r="D745" s="66"/>
      <c r="E745" s="66" t="s">
        <v>763</v>
      </c>
      <c r="F745" s="66">
        <v>1</v>
      </c>
      <c r="G745" s="66"/>
      <c r="H745" s="66" t="e">
        <v>#N/A</v>
      </c>
      <c r="I745" s="66"/>
      <c r="J745" s="66" t="s">
        <v>870</v>
      </c>
      <c r="K745" s="66" t="s">
        <v>757</v>
      </c>
      <c r="L745" s="66" t="s">
        <v>757</v>
      </c>
      <c r="M745" s="66" t="s">
        <v>757</v>
      </c>
      <c r="N745" s="66" t="s">
        <v>757</v>
      </c>
      <c r="O745" s="66" t="s">
        <v>871</v>
      </c>
      <c r="P745" s="66"/>
      <c r="Q745" s="66">
        <v>1</v>
      </c>
      <c r="R745" s="66">
        <v>664</v>
      </c>
      <c r="S745" s="66"/>
    </row>
    <row r="746" spans="1:19" x14ac:dyDescent="0.25">
      <c r="A746" s="15">
        <v>37</v>
      </c>
      <c r="B746" s="66"/>
      <c r="C746" s="66">
        <v>2429</v>
      </c>
      <c r="D746" s="66"/>
      <c r="E746" s="66" t="s">
        <v>763</v>
      </c>
      <c r="F746" s="66">
        <v>1</v>
      </c>
      <c r="G746" s="66"/>
      <c r="H746" s="66" t="e">
        <v>#N/A</v>
      </c>
      <c r="I746" s="66"/>
      <c r="J746" s="66" t="s">
        <v>870</v>
      </c>
      <c r="K746" s="66" t="s">
        <v>757</v>
      </c>
      <c r="L746" s="66" t="s">
        <v>757</v>
      </c>
      <c r="M746" s="66" t="s">
        <v>757</v>
      </c>
      <c r="N746" s="66" t="s">
        <v>757</v>
      </c>
      <c r="O746" s="66" t="s">
        <v>872</v>
      </c>
      <c r="P746" s="66"/>
      <c r="Q746" s="66">
        <v>1</v>
      </c>
      <c r="R746" s="66">
        <v>665</v>
      </c>
      <c r="S746" s="66"/>
    </row>
    <row r="747" spans="1:19" x14ac:dyDescent="0.25">
      <c r="A747" s="15">
        <v>37</v>
      </c>
      <c r="B747" s="66"/>
      <c r="C747" s="66">
        <v>2429</v>
      </c>
      <c r="D747" s="66"/>
      <c r="E747" s="66" t="s">
        <v>763</v>
      </c>
      <c r="F747" s="66">
        <v>1</v>
      </c>
      <c r="G747" s="66"/>
      <c r="H747" s="66" t="e">
        <v>#N/A</v>
      </c>
      <c r="I747" s="66"/>
      <c r="J747" s="66" t="s">
        <v>870</v>
      </c>
      <c r="K747" s="66" t="s">
        <v>757</v>
      </c>
      <c r="L747" s="66" t="s">
        <v>757</v>
      </c>
      <c r="M747" s="66" t="s">
        <v>757</v>
      </c>
      <c r="N747" s="66" t="s">
        <v>757</v>
      </c>
      <c r="O747" s="66" t="s">
        <v>873</v>
      </c>
      <c r="P747" s="66"/>
      <c r="Q747" s="66">
        <v>1</v>
      </c>
      <c r="R747" s="66">
        <v>666</v>
      </c>
      <c r="S747" s="66"/>
    </row>
    <row r="748" spans="1:19" x14ac:dyDescent="0.25">
      <c r="A748" s="15">
        <v>37</v>
      </c>
      <c r="B748" s="66"/>
      <c r="C748" s="66">
        <v>2429</v>
      </c>
      <c r="D748" s="66"/>
      <c r="E748" s="66" t="s">
        <v>763</v>
      </c>
      <c r="F748" s="66">
        <v>1</v>
      </c>
      <c r="G748" s="66"/>
      <c r="H748" s="66" t="e">
        <v>#N/A</v>
      </c>
      <c r="I748" s="66"/>
      <c r="J748" s="66" t="s">
        <v>870</v>
      </c>
      <c r="K748" s="66" t="s">
        <v>757</v>
      </c>
      <c r="L748" s="66" t="s">
        <v>757</v>
      </c>
      <c r="M748" s="66" t="s">
        <v>757</v>
      </c>
      <c r="N748" s="66" t="s">
        <v>757</v>
      </c>
      <c r="O748" s="66" t="s">
        <v>874</v>
      </c>
      <c r="P748" s="66"/>
      <c r="Q748" s="66">
        <v>1</v>
      </c>
      <c r="R748" s="66">
        <v>667</v>
      </c>
      <c r="S748" s="66"/>
    </row>
    <row r="749" spans="1:19" x14ac:dyDescent="0.25">
      <c r="A749" s="15">
        <v>37</v>
      </c>
      <c r="B749" s="66"/>
      <c r="C749" s="66">
        <v>2429</v>
      </c>
      <c r="D749" s="66"/>
      <c r="E749" s="66" t="s">
        <v>763</v>
      </c>
      <c r="F749" s="66">
        <v>1</v>
      </c>
      <c r="G749" s="66"/>
      <c r="H749" s="66" t="e">
        <v>#N/A</v>
      </c>
      <c r="I749" s="66"/>
      <c r="J749" s="66" t="s">
        <v>870</v>
      </c>
      <c r="K749" s="66" t="s">
        <v>757</v>
      </c>
      <c r="L749" s="66" t="s">
        <v>757</v>
      </c>
      <c r="M749" s="66" t="s">
        <v>757</v>
      </c>
      <c r="N749" s="66" t="s">
        <v>757</v>
      </c>
      <c r="O749" s="66" t="s">
        <v>875</v>
      </c>
      <c r="P749" s="66"/>
      <c r="Q749" s="66">
        <v>1</v>
      </c>
      <c r="R749" s="66">
        <v>668</v>
      </c>
      <c r="S749" s="66"/>
    </row>
    <row r="750" spans="1:19" x14ac:dyDescent="0.25">
      <c r="A750" s="15">
        <v>37</v>
      </c>
      <c r="B750" s="66"/>
      <c r="C750" s="66">
        <v>2429</v>
      </c>
      <c r="D750" s="66"/>
      <c r="E750" s="66" t="s">
        <v>763</v>
      </c>
      <c r="F750" s="66">
        <v>1</v>
      </c>
      <c r="G750" s="66"/>
      <c r="H750" s="66" t="e">
        <v>#N/A</v>
      </c>
      <c r="I750" s="66"/>
      <c r="J750" s="66" t="s">
        <v>870</v>
      </c>
      <c r="K750" s="66" t="s">
        <v>757</v>
      </c>
      <c r="L750" s="66" t="s">
        <v>757</v>
      </c>
      <c r="M750" s="66" t="s">
        <v>757</v>
      </c>
      <c r="N750" s="66" t="s">
        <v>757</v>
      </c>
      <c r="O750" s="66" t="s">
        <v>876</v>
      </c>
      <c r="P750" s="66"/>
      <c r="Q750" s="66">
        <v>1</v>
      </c>
      <c r="R750" s="66">
        <v>669</v>
      </c>
      <c r="S750" s="66"/>
    </row>
    <row r="751" spans="1:19" x14ac:dyDescent="0.25">
      <c r="A751" s="15">
        <v>37</v>
      </c>
      <c r="B751" s="66"/>
      <c r="C751" s="66">
        <v>2429</v>
      </c>
      <c r="D751" s="66"/>
      <c r="E751" s="66" t="s">
        <v>763</v>
      </c>
      <c r="F751" s="66">
        <v>1</v>
      </c>
      <c r="G751" s="66"/>
      <c r="H751" s="66" t="e">
        <v>#N/A</v>
      </c>
      <c r="I751" s="66"/>
      <c r="J751" s="66" t="s">
        <v>870</v>
      </c>
      <c r="K751" s="66" t="s">
        <v>757</v>
      </c>
      <c r="L751" s="66" t="s">
        <v>757</v>
      </c>
      <c r="M751" s="66" t="s">
        <v>757</v>
      </c>
      <c r="N751" s="66" t="s">
        <v>757</v>
      </c>
      <c r="O751" s="66" t="s">
        <v>877</v>
      </c>
      <c r="P751" s="66"/>
      <c r="Q751" s="66">
        <v>1</v>
      </c>
      <c r="R751" s="66">
        <v>670</v>
      </c>
      <c r="S751" s="66"/>
    </row>
    <row r="752" spans="1:19" x14ac:dyDescent="0.25">
      <c r="A752" s="15">
        <v>37</v>
      </c>
      <c r="B752" s="66"/>
      <c r="C752" s="66">
        <v>2429</v>
      </c>
      <c r="D752" s="66"/>
      <c r="E752" s="66" t="s">
        <v>763</v>
      </c>
      <c r="F752" s="66">
        <v>1</v>
      </c>
      <c r="G752" s="66"/>
      <c r="H752" s="66" t="e">
        <v>#N/A</v>
      </c>
      <c r="I752" s="66"/>
      <c r="J752" s="66" t="s">
        <v>870</v>
      </c>
      <c r="K752" s="66" t="s">
        <v>757</v>
      </c>
      <c r="L752" s="66" t="s">
        <v>757</v>
      </c>
      <c r="M752" s="66" t="s">
        <v>757</v>
      </c>
      <c r="N752" s="66" t="s">
        <v>757</v>
      </c>
      <c r="O752" s="66" t="s">
        <v>878</v>
      </c>
      <c r="P752" s="66"/>
      <c r="Q752" s="66">
        <v>1</v>
      </c>
      <c r="R752" s="66">
        <v>671</v>
      </c>
      <c r="S752" s="66"/>
    </row>
    <row r="753" spans="1:19" x14ac:dyDescent="0.25">
      <c r="A753" s="15">
        <v>37</v>
      </c>
      <c r="B753" s="66"/>
      <c r="C753" s="66">
        <v>2429</v>
      </c>
      <c r="D753" s="66"/>
      <c r="E753" s="66" t="s">
        <v>763</v>
      </c>
      <c r="F753" s="66">
        <v>1</v>
      </c>
      <c r="G753" s="66"/>
      <c r="H753" s="66" t="e">
        <v>#N/A</v>
      </c>
      <c r="I753" s="66"/>
      <c r="J753" s="66" t="s">
        <v>870</v>
      </c>
      <c r="K753" s="66" t="s">
        <v>757</v>
      </c>
      <c r="L753" s="66" t="s">
        <v>757</v>
      </c>
      <c r="M753" s="66" t="s">
        <v>757</v>
      </c>
      <c r="N753" s="66" t="s">
        <v>757</v>
      </c>
      <c r="O753" s="66" t="s">
        <v>879</v>
      </c>
      <c r="P753" s="66"/>
      <c r="Q753" s="66">
        <v>1</v>
      </c>
      <c r="R753" s="66">
        <v>672</v>
      </c>
      <c r="S753" s="66"/>
    </row>
    <row r="754" spans="1:19" x14ac:dyDescent="0.25">
      <c r="A754" s="15">
        <v>37</v>
      </c>
      <c r="B754" s="66"/>
      <c r="C754" s="66">
        <v>2429</v>
      </c>
      <c r="D754" s="66"/>
      <c r="E754" s="66" t="s">
        <v>763</v>
      </c>
      <c r="F754" s="66">
        <v>1</v>
      </c>
      <c r="G754" s="66"/>
      <c r="H754" s="66" t="e">
        <v>#N/A</v>
      </c>
      <c r="I754" s="66"/>
      <c r="J754" s="66" t="s">
        <v>870</v>
      </c>
      <c r="K754" s="66" t="s">
        <v>757</v>
      </c>
      <c r="L754" s="66" t="s">
        <v>757</v>
      </c>
      <c r="M754" s="66" t="s">
        <v>757</v>
      </c>
      <c r="N754" s="66" t="s">
        <v>757</v>
      </c>
      <c r="O754" s="66" t="s">
        <v>880</v>
      </c>
      <c r="P754" s="66"/>
      <c r="Q754" s="66">
        <v>1</v>
      </c>
      <c r="R754" s="66">
        <v>673</v>
      </c>
      <c r="S754" s="66"/>
    </row>
    <row r="755" spans="1:19" x14ac:dyDescent="0.25">
      <c r="A755" s="15">
        <v>37</v>
      </c>
      <c r="B755" s="66"/>
      <c r="C755" s="66">
        <v>2429</v>
      </c>
      <c r="D755" s="66"/>
      <c r="E755" s="66" t="s">
        <v>763</v>
      </c>
      <c r="F755" s="66">
        <v>1</v>
      </c>
      <c r="G755" s="66"/>
      <c r="H755" s="66" t="e">
        <v>#N/A</v>
      </c>
      <c r="I755" s="66"/>
      <c r="J755" s="66" t="s">
        <v>870</v>
      </c>
      <c r="K755" s="66" t="s">
        <v>757</v>
      </c>
      <c r="L755" s="66" t="s">
        <v>757</v>
      </c>
      <c r="M755" s="66" t="s">
        <v>757</v>
      </c>
      <c r="N755" s="66" t="s">
        <v>757</v>
      </c>
      <c r="O755" s="66" t="s">
        <v>881</v>
      </c>
      <c r="P755" s="66"/>
      <c r="Q755" s="66">
        <v>1</v>
      </c>
      <c r="R755" s="66">
        <v>674</v>
      </c>
      <c r="S755" s="66"/>
    </row>
    <row r="756" spans="1:19" x14ac:dyDescent="0.25">
      <c r="A756" s="15">
        <v>37</v>
      </c>
      <c r="B756" s="66"/>
      <c r="C756" s="66">
        <v>2429</v>
      </c>
      <c r="D756" s="66"/>
      <c r="E756" s="66" t="s">
        <v>763</v>
      </c>
      <c r="F756" s="66">
        <v>0</v>
      </c>
      <c r="G756" s="66"/>
      <c r="H756" s="66">
        <v>3</v>
      </c>
      <c r="I756" s="66" t="e">
        <v>#N/A</v>
      </c>
      <c r="J756" s="66" t="s">
        <v>870</v>
      </c>
      <c r="K756" s="66"/>
      <c r="L756" s="66"/>
      <c r="M756" s="66"/>
      <c r="N756" s="66"/>
      <c r="O756" s="66" t="s">
        <v>882</v>
      </c>
      <c r="P756" s="66"/>
      <c r="Q756" s="66">
        <v>1</v>
      </c>
      <c r="R756" s="66">
        <v>890</v>
      </c>
      <c r="S756" s="66"/>
    </row>
    <row r="757" spans="1:19" x14ac:dyDescent="0.25">
      <c r="A757" s="15">
        <v>37</v>
      </c>
      <c r="B757" s="66"/>
      <c r="C757" s="66">
        <v>2429</v>
      </c>
      <c r="D757" s="66"/>
      <c r="E757" s="66" t="s">
        <v>763</v>
      </c>
      <c r="F757" s="66">
        <v>0</v>
      </c>
      <c r="G757" s="66"/>
      <c r="H757" s="66">
        <v>3</v>
      </c>
      <c r="I757" s="66" t="e">
        <v>#N/A</v>
      </c>
      <c r="J757" s="66" t="s">
        <v>870</v>
      </c>
      <c r="K757" s="66"/>
      <c r="L757" s="66"/>
      <c r="M757" s="66"/>
      <c r="N757" s="66"/>
      <c r="O757" s="66" t="s">
        <v>883</v>
      </c>
      <c r="P757" s="66"/>
      <c r="Q757" s="66">
        <v>1</v>
      </c>
      <c r="R757" s="66">
        <v>891</v>
      </c>
      <c r="S757" s="66"/>
    </row>
    <row r="758" spans="1:19" x14ac:dyDescent="0.25">
      <c r="A758" s="15">
        <v>37</v>
      </c>
      <c r="B758" s="66"/>
      <c r="C758" s="66">
        <v>2429</v>
      </c>
      <c r="D758" s="66"/>
      <c r="E758" s="66" t="s">
        <v>763</v>
      </c>
      <c r="F758" s="66">
        <v>0</v>
      </c>
      <c r="G758" s="66"/>
      <c r="H758" s="66">
        <v>3</v>
      </c>
      <c r="I758" s="66" t="e">
        <v>#N/A</v>
      </c>
      <c r="J758" s="66" t="s">
        <v>870</v>
      </c>
      <c r="K758" s="66"/>
      <c r="L758" s="66"/>
      <c r="M758" s="66"/>
      <c r="N758" s="66"/>
      <c r="O758" s="66" t="s">
        <v>884</v>
      </c>
      <c r="P758" s="66"/>
      <c r="Q758" s="66">
        <v>1</v>
      </c>
      <c r="R758" s="66">
        <v>892</v>
      </c>
      <c r="S758" s="66"/>
    </row>
    <row r="759" spans="1:19" x14ac:dyDescent="0.25">
      <c r="A759" s="15">
        <v>37</v>
      </c>
      <c r="B759" s="66"/>
      <c r="C759" s="66">
        <v>2429</v>
      </c>
      <c r="D759" s="66"/>
      <c r="E759" s="66" t="s">
        <v>763</v>
      </c>
      <c r="F759" s="66">
        <v>0</v>
      </c>
      <c r="G759" s="66"/>
      <c r="H759" s="66">
        <v>3</v>
      </c>
      <c r="I759" s="66" t="e">
        <v>#N/A</v>
      </c>
      <c r="J759" s="66" t="s">
        <v>870</v>
      </c>
      <c r="K759" s="66"/>
      <c r="L759" s="66"/>
      <c r="M759" s="66"/>
      <c r="N759" s="66"/>
      <c r="O759" s="66" t="s">
        <v>885</v>
      </c>
      <c r="P759" s="66"/>
      <c r="Q759" s="66">
        <v>1</v>
      </c>
      <c r="R759" s="66">
        <v>893</v>
      </c>
      <c r="S759" s="66"/>
    </row>
    <row r="760" spans="1:19" x14ac:dyDescent="0.25">
      <c r="A760" s="15">
        <v>37</v>
      </c>
      <c r="B760" s="66"/>
      <c r="C760" s="66">
        <v>2429</v>
      </c>
      <c r="D760" s="66"/>
      <c r="E760" s="66" t="s">
        <v>763</v>
      </c>
      <c r="F760" s="66">
        <v>0</v>
      </c>
      <c r="G760" s="66"/>
      <c r="H760" s="66">
        <v>3</v>
      </c>
      <c r="I760" s="66" t="e">
        <v>#N/A</v>
      </c>
      <c r="J760" s="66" t="s">
        <v>870</v>
      </c>
      <c r="K760" s="66"/>
      <c r="L760" s="66"/>
      <c r="M760" s="66"/>
      <c r="N760" s="66"/>
      <c r="O760" s="66" t="s">
        <v>886</v>
      </c>
      <c r="P760" s="66"/>
      <c r="Q760" s="66">
        <v>1</v>
      </c>
      <c r="R760" s="66">
        <v>894</v>
      </c>
      <c r="S760" s="66"/>
    </row>
    <row r="761" spans="1:19" x14ac:dyDescent="0.25">
      <c r="A761" s="15">
        <v>37</v>
      </c>
      <c r="B761" s="66"/>
      <c r="C761" s="66">
        <v>2429</v>
      </c>
      <c r="D761" s="66"/>
      <c r="E761" s="66" t="s">
        <v>763</v>
      </c>
      <c r="F761" s="66">
        <v>0</v>
      </c>
      <c r="G761" s="66"/>
      <c r="H761" s="66">
        <v>3</v>
      </c>
      <c r="I761" s="66" t="e">
        <v>#N/A</v>
      </c>
      <c r="J761" s="66" t="s">
        <v>870</v>
      </c>
      <c r="K761" s="66"/>
      <c r="L761" s="66"/>
      <c r="M761" s="66"/>
      <c r="N761" s="66"/>
      <c r="O761" s="66" t="s">
        <v>887</v>
      </c>
      <c r="P761" s="66"/>
      <c r="Q761" s="66">
        <v>1</v>
      </c>
      <c r="R761" s="66">
        <v>895</v>
      </c>
      <c r="S761" s="66"/>
    </row>
    <row r="762" spans="1:19" x14ac:dyDescent="0.25">
      <c r="A762" s="15">
        <v>37</v>
      </c>
      <c r="B762" s="66"/>
      <c r="C762" s="66">
        <v>2429</v>
      </c>
      <c r="D762" s="66"/>
      <c r="E762" s="66" t="s">
        <v>763</v>
      </c>
      <c r="F762" s="66">
        <v>0</v>
      </c>
      <c r="G762" s="66"/>
      <c r="H762" s="66">
        <v>3</v>
      </c>
      <c r="I762" s="66" t="e">
        <v>#N/A</v>
      </c>
      <c r="J762" s="66" t="s">
        <v>870</v>
      </c>
      <c r="K762" s="66"/>
      <c r="L762" s="66"/>
      <c r="M762" s="66"/>
      <c r="N762" s="66"/>
      <c r="O762" s="66" t="s">
        <v>888</v>
      </c>
      <c r="P762" s="66"/>
      <c r="Q762" s="66">
        <v>1</v>
      </c>
      <c r="R762" s="66">
        <v>896</v>
      </c>
      <c r="S762" s="66"/>
    </row>
    <row r="763" spans="1:19" x14ac:dyDescent="0.25">
      <c r="A763" s="15">
        <v>37</v>
      </c>
      <c r="B763" s="66"/>
      <c r="C763" s="66">
        <v>2429</v>
      </c>
      <c r="D763" s="66"/>
      <c r="E763" s="66" t="s">
        <v>763</v>
      </c>
      <c r="F763" s="66">
        <v>0</v>
      </c>
      <c r="G763" s="66"/>
      <c r="H763" s="66">
        <v>3</v>
      </c>
      <c r="I763" s="66" t="e">
        <v>#N/A</v>
      </c>
      <c r="J763" s="66" t="s">
        <v>870</v>
      </c>
      <c r="K763" s="66"/>
      <c r="L763" s="66"/>
      <c r="M763" s="66"/>
      <c r="N763" s="66"/>
      <c r="O763" s="66" t="s">
        <v>889</v>
      </c>
      <c r="P763" s="66"/>
      <c r="Q763" s="66">
        <v>1</v>
      </c>
      <c r="R763" s="66">
        <v>897</v>
      </c>
      <c r="S763" s="66"/>
    </row>
    <row r="764" spans="1:19" x14ac:dyDescent="0.25">
      <c r="A764" s="15">
        <v>37</v>
      </c>
      <c r="B764" s="66"/>
      <c r="C764" s="66">
        <v>2429</v>
      </c>
      <c r="D764" s="66"/>
      <c r="E764" s="66" t="s">
        <v>763</v>
      </c>
      <c r="F764" s="66">
        <v>0</v>
      </c>
      <c r="G764" s="66"/>
      <c r="H764" s="66">
        <v>3</v>
      </c>
      <c r="I764" s="66" t="e">
        <v>#N/A</v>
      </c>
      <c r="J764" s="66" t="s">
        <v>870</v>
      </c>
      <c r="K764" s="66"/>
      <c r="L764" s="66"/>
      <c r="M764" s="66"/>
      <c r="N764" s="66"/>
      <c r="O764" s="66" t="s">
        <v>890</v>
      </c>
      <c r="P764" s="66"/>
      <c r="Q764" s="66">
        <v>1</v>
      </c>
      <c r="R764" s="66">
        <v>898</v>
      </c>
      <c r="S764" s="66"/>
    </row>
    <row r="765" spans="1:19" x14ac:dyDescent="0.25">
      <c r="A765" s="15">
        <v>37</v>
      </c>
      <c r="B765" s="66"/>
      <c r="C765" s="66">
        <v>2429</v>
      </c>
      <c r="D765" s="66"/>
      <c r="E765" s="66" t="s">
        <v>763</v>
      </c>
      <c r="F765" s="66">
        <v>0</v>
      </c>
      <c r="G765" s="66"/>
      <c r="H765" s="66">
        <v>3</v>
      </c>
      <c r="I765" s="66" t="e">
        <v>#N/A</v>
      </c>
      <c r="J765" s="66" t="s">
        <v>870</v>
      </c>
      <c r="K765" s="66"/>
      <c r="L765" s="66"/>
      <c r="M765" s="66"/>
      <c r="N765" s="66"/>
      <c r="O765" s="66" t="s">
        <v>891</v>
      </c>
      <c r="P765" s="66"/>
      <c r="Q765" s="66">
        <v>1</v>
      </c>
      <c r="R765" s="66">
        <v>899</v>
      </c>
      <c r="S765" s="66"/>
    </row>
    <row r="766" spans="1:19" x14ac:dyDescent="0.25">
      <c r="A766" s="15">
        <v>37</v>
      </c>
      <c r="B766" s="66"/>
      <c r="C766" s="66">
        <v>2429</v>
      </c>
      <c r="D766" s="66"/>
      <c r="E766" s="66" t="s">
        <v>763</v>
      </c>
      <c r="F766" s="66">
        <v>0</v>
      </c>
      <c r="G766" s="66"/>
      <c r="H766" s="66">
        <v>3</v>
      </c>
      <c r="I766" s="66" t="e">
        <v>#N/A</v>
      </c>
      <c r="J766" s="66" t="s">
        <v>870</v>
      </c>
      <c r="K766" s="66"/>
      <c r="L766" s="66"/>
      <c r="M766" s="66"/>
      <c r="N766" s="66"/>
      <c r="O766" s="66" t="s">
        <v>892</v>
      </c>
      <c r="P766" s="66"/>
      <c r="Q766" s="66">
        <v>1</v>
      </c>
      <c r="R766" s="66">
        <v>900</v>
      </c>
      <c r="S766" s="66"/>
    </row>
    <row r="767" spans="1:19" x14ac:dyDescent="0.25">
      <c r="A767" s="15">
        <v>37</v>
      </c>
      <c r="B767" s="66"/>
      <c r="C767" s="66">
        <v>2429</v>
      </c>
      <c r="D767" s="66"/>
      <c r="E767" s="66" t="s">
        <v>763</v>
      </c>
      <c r="F767" s="66">
        <v>0</v>
      </c>
      <c r="G767" s="66"/>
      <c r="H767" s="66">
        <v>3</v>
      </c>
      <c r="I767" s="66" t="e">
        <v>#N/A</v>
      </c>
      <c r="J767" s="66" t="s">
        <v>870</v>
      </c>
      <c r="K767" s="66"/>
      <c r="L767" s="66"/>
      <c r="M767" s="66"/>
      <c r="N767" s="66"/>
      <c r="O767" s="66" t="s">
        <v>893</v>
      </c>
      <c r="P767" s="66"/>
      <c r="Q767" s="66">
        <v>1</v>
      </c>
      <c r="R767" s="66">
        <v>901</v>
      </c>
      <c r="S767" s="66"/>
    </row>
    <row r="768" spans="1:19" x14ac:dyDescent="0.25">
      <c r="A768" s="15">
        <v>37</v>
      </c>
      <c r="B768" s="66"/>
      <c r="C768" s="66">
        <v>2429</v>
      </c>
      <c r="D768" s="66"/>
      <c r="E768" s="66" t="s">
        <v>763</v>
      </c>
      <c r="F768" s="66">
        <v>3</v>
      </c>
      <c r="G768" s="66"/>
      <c r="H768" s="66">
        <v>3</v>
      </c>
      <c r="I768" s="66" t="e">
        <v>#N/A</v>
      </c>
      <c r="J768" s="66" t="s">
        <v>870</v>
      </c>
      <c r="K768" s="66"/>
      <c r="L768" s="66"/>
      <c r="M768" s="66"/>
      <c r="N768" s="66"/>
      <c r="O768" s="66" t="s">
        <v>894</v>
      </c>
      <c r="P768" s="66"/>
      <c r="Q768" s="66">
        <v>1</v>
      </c>
      <c r="R768" s="66">
        <v>1117</v>
      </c>
      <c r="S768" s="66"/>
    </row>
    <row r="769" spans="1:19" x14ac:dyDescent="0.25">
      <c r="A769" s="15">
        <v>37</v>
      </c>
      <c r="B769" s="66"/>
      <c r="C769" s="66">
        <v>2429</v>
      </c>
      <c r="D769" s="66"/>
      <c r="E769" s="66" t="s">
        <v>763</v>
      </c>
      <c r="F769" s="66">
        <v>3</v>
      </c>
      <c r="G769" s="66"/>
      <c r="H769" s="66">
        <v>3</v>
      </c>
      <c r="I769" s="66" t="e">
        <v>#N/A</v>
      </c>
      <c r="J769" s="66" t="s">
        <v>870</v>
      </c>
      <c r="K769" s="66"/>
      <c r="L769" s="66"/>
      <c r="M769" s="66"/>
      <c r="N769" s="66"/>
      <c r="O769" s="66" t="s">
        <v>895</v>
      </c>
      <c r="P769" s="66"/>
      <c r="Q769" s="66">
        <v>1</v>
      </c>
      <c r="R769" s="66">
        <v>1118</v>
      </c>
      <c r="S769" s="66"/>
    </row>
    <row r="770" spans="1:19" x14ac:dyDescent="0.25">
      <c r="A770" s="15">
        <v>37</v>
      </c>
      <c r="B770" s="66"/>
      <c r="C770" s="66">
        <v>2429</v>
      </c>
      <c r="D770" s="66"/>
      <c r="E770" s="66" t="s">
        <v>763</v>
      </c>
      <c r="F770" s="66">
        <v>3</v>
      </c>
      <c r="G770" s="66"/>
      <c r="H770" s="66">
        <v>3</v>
      </c>
      <c r="I770" s="66" t="e">
        <v>#N/A</v>
      </c>
      <c r="J770" s="66" t="s">
        <v>870</v>
      </c>
      <c r="K770" s="66"/>
      <c r="L770" s="66"/>
      <c r="M770" s="66"/>
      <c r="N770" s="66"/>
      <c r="O770" s="66" t="s">
        <v>896</v>
      </c>
      <c r="P770" s="66"/>
      <c r="Q770" s="66">
        <v>1</v>
      </c>
      <c r="R770" s="66">
        <v>1119</v>
      </c>
      <c r="S770" s="66"/>
    </row>
    <row r="771" spans="1:19" x14ac:dyDescent="0.25">
      <c r="A771" s="15">
        <v>37</v>
      </c>
      <c r="B771" s="66"/>
      <c r="C771" s="66">
        <v>2429</v>
      </c>
      <c r="D771" s="66"/>
      <c r="E771" s="66" t="s">
        <v>763</v>
      </c>
      <c r="F771" s="66">
        <v>3</v>
      </c>
      <c r="G771" s="66"/>
      <c r="H771" s="66">
        <v>3</v>
      </c>
      <c r="I771" s="66" t="e">
        <v>#N/A</v>
      </c>
      <c r="J771" s="66" t="s">
        <v>870</v>
      </c>
      <c r="K771" s="66"/>
      <c r="L771" s="66"/>
      <c r="M771" s="66"/>
      <c r="N771" s="66"/>
      <c r="O771" s="66" t="s">
        <v>897</v>
      </c>
      <c r="P771" s="66"/>
      <c r="Q771" s="66">
        <v>1</v>
      </c>
      <c r="R771" s="66">
        <v>1120</v>
      </c>
      <c r="S771" s="66"/>
    </row>
    <row r="772" spans="1:19" x14ac:dyDescent="0.25">
      <c r="A772" s="15">
        <v>37</v>
      </c>
      <c r="B772" s="66"/>
      <c r="C772" s="66">
        <v>2429</v>
      </c>
      <c r="D772" s="66"/>
      <c r="E772" s="66" t="s">
        <v>763</v>
      </c>
      <c r="F772" s="66">
        <v>3</v>
      </c>
      <c r="G772" s="66"/>
      <c r="H772" s="66">
        <v>3</v>
      </c>
      <c r="I772" s="66" t="e">
        <v>#N/A</v>
      </c>
      <c r="J772" s="66" t="s">
        <v>870</v>
      </c>
      <c r="K772" s="66"/>
      <c r="L772" s="66"/>
      <c r="M772" s="66"/>
      <c r="N772" s="66"/>
      <c r="O772" s="66" t="s">
        <v>898</v>
      </c>
      <c r="P772" s="66"/>
      <c r="Q772" s="66">
        <v>1</v>
      </c>
      <c r="R772" s="66">
        <v>1121</v>
      </c>
      <c r="S772" s="66"/>
    </row>
    <row r="773" spans="1:19" x14ac:dyDescent="0.25">
      <c r="A773" s="15">
        <v>37</v>
      </c>
      <c r="B773" s="66"/>
      <c r="C773" s="66">
        <v>2429</v>
      </c>
      <c r="D773" s="66"/>
      <c r="E773" s="66" t="s">
        <v>763</v>
      </c>
      <c r="F773" s="66">
        <v>3</v>
      </c>
      <c r="G773" s="66"/>
      <c r="H773" s="66">
        <v>3</v>
      </c>
      <c r="I773" s="66" t="e">
        <v>#N/A</v>
      </c>
      <c r="J773" s="66" t="s">
        <v>870</v>
      </c>
      <c r="K773" s="66"/>
      <c r="L773" s="66"/>
      <c r="M773" s="66"/>
      <c r="N773" s="66"/>
      <c r="O773" s="66" t="s">
        <v>899</v>
      </c>
      <c r="P773" s="66"/>
      <c r="Q773" s="66">
        <v>1</v>
      </c>
      <c r="R773" s="66">
        <v>1122</v>
      </c>
      <c r="S773" s="66"/>
    </row>
    <row r="774" spans="1:19" x14ac:dyDescent="0.25">
      <c r="A774" s="15">
        <v>37</v>
      </c>
      <c r="B774" s="66"/>
      <c r="C774" s="66">
        <v>2429</v>
      </c>
      <c r="D774" s="66"/>
      <c r="E774" s="66" t="s">
        <v>763</v>
      </c>
      <c r="F774" s="66">
        <v>3</v>
      </c>
      <c r="G774" s="66"/>
      <c r="H774" s="66">
        <v>3</v>
      </c>
      <c r="I774" s="66" t="e">
        <v>#N/A</v>
      </c>
      <c r="J774" s="66" t="s">
        <v>870</v>
      </c>
      <c r="K774" s="66"/>
      <c r="L774" s="66"/>
      <c r="M774" s="66"/>
      <c r="N774" s="66"/>
      <c r="O774" s="66" t="s">
        <v>900</v>
      </c>
      <c r="P774" s="66"/>
      <c r="Q774" s="66">
        <v>1</v>
      </c>
      <c r="R774" s="66">
        <v>1123</v>
      </c>
      <c r="S774" s="66"/>
    </row>
    <row r="775" spans="1:19" x14ac:dyDescent="0.25">
      <c r="A775" s="15">
        <v>37</v>
      </c>
      <c r="B775" s="66"/>
      <c r="C775" s="66">
        <v>2429</v>
      </c>
      <c r="D775" s="66"/>
      <c r="E775" s="66" t="s">
        <v>763</v>
      </c>
      <c r="F775" s="66">
        <v>3</v>
      </c>
      <c r="G775" s="66"/>
      <c r="H775" s="66">
        <v>3</v>
      </c>
      <c r="I775" s="66" t="e">
        <v>#N/A</v>
      </c>
      <c r="J775" s="66" t="s">
        <v>870</v>
      </c>
      <c r="K775" s="66"/>
      <c r="L775" s="66"/>
      <c r="M775" s="66"/>
      <c r="N775" s="66"/>
      <c r="O775" s="66" t="s">
        <v>901</v>
      </c>
      <c r="P775" s="66"/>
      <c r="Q775" s="66">
        <v>1</v>
      </c>
      <c r="R775" s="66">
        <v>1124</v>
      </c>
      <c r="S775" s="66"/>
    </row>
    <row r="776" spans="1:19" x14ac:dyDescent="0.25">
      <c r="A776" s="15">
        <v>37</v>
      </c>
      <c r="B776" s="66"/>
      <c r="C776" s="66">
        <v>2429</v>
      </c>
      <c r="D776" s="66"/>
      <c r="E776" s="66" t="s">
        <v>763</v>
      </c>
      <c r="F776" s="66">
        <v>3</v>
      </c>
      <c r="G776" s="66"/>
      <c r="H776" s="66">
        <v>3</v>
      </c>
      <c r="I776" s="66" t="e">
        <v>#N/A</v>
      </c>
      <c r="J776" s="66" t="s">
        <v>870</v>
      </c>
      <c r="K776" s="66"/>
      <c r="L776" s="66"/>
      <c r="M776" s="66"/>
      <c r="N776" s="66"/>
      <c r="O776" s="66" t="s">
        <v>902</v>
      </c>
      <c r="P776" s="66"/>
      <c r="Q776" s="66">
        <v>1</v>
      </c>
      <c r="R776" s="66">
        <v>1125</v>
      </c>
      <c r="S776" s="66"/>
    </row>
    <row r="777" spans="1:19" x14ac:dyDescent="0.25">
      <c r="A777" s="15">
        <v>37</v>
      </c>
      <c r="B777" s="66"/>
      <c r="C777" s="66">
        <v>2429</v>
      </c>
      <c r="D777" s="66"/>
      <c r="E777" s="66" t="s">
        <v>763</v>
      </c>
      <c r="F777" s="66">
        <v>3</v>
      </c>
      <c r="G777" s="66"/>
      <c r="H777" s="66">
        <v>3</v>
      </c>
      <c r="I777" s="66" t="e">
        <v>#N/A</v>
      </c>
      <c r="J777" s="66" t="s">
        <v>870</v>
      </c>
      <c r="K777" s="66"/>
      <c r="L777" s="66"/>
      <c r="M777" s="66"/>
      <c r="N777" s="66"/>
      <c r="O777" s="66" t="s">
        <v>903</v>
      </c>
      <c r="P777" s="66"/>
      <c r="Q777" s="66">
        <v>1</v>
      </c>
      <c r="R777" s="66">
        <v>1126</v>
      </c>
      <c r="S777" s="66"/>
    </row>
    <row r="778" spans="1:19" x14ac:dyDescent="0.25">
      <c r="A778" s="15">
        <v>37</v>
      </c>
      <c r="B778" s="66"/>
      <c r="C778" s="66">
        <v>2429</v>
      </c>
      <c r="D778" s="66"/>
      <c r="E778" s="66" t="s">
        <v>763</v>
      </c>
      <c r="F778" s="66">
        <v>3</v>
      </c>
      <c r="G778" s="66"/>
      <c r="H778" s="66">
        <v>3</v>
      </c>
      <c r="I778" s="66" t="e">
        <v>#N/A</v>
      </c>
      <c r="J778" s="66" t="s">
        <v>870</v>
      </c>
      <c r="K778" s="66"/>
      <c r="L778" s="66"/>
      <c r="M778" s="66"/>
      <c r="N778" s="66"/>
      <c r="O778" s="66" t="s">
        <v>904</v>
      </c>
      <c r="P778" s="66"/>
      <c r="Q778" s="66">
        <v>1</v>
      </c>
      <c r="R778" s="66">
        <v>1127</v>
      </c>
      <c r="S778" s="66"/>
    </row>
    <row r="779" spans="1:19" x14ac:dyDescent="0.25">
      <c r="A779" s="15">
        <v>37</v>
      </c>
      <c r="B779" s="66"/>
      <c r="C779" s="66">
        <v>2429</v>
      </c>
      <c r="D779" s="66"/>
      <c r="E779" s="66" t="s">
        <v>763</v>
      </c>
      <c r="F779" s="66">
        <v>3</v>
      </c>
      <c r="G779" s="66"/>
      <c r="H779" s="66">
        <v>3</v>
      </c>
      <c r="I779" s="66" t="e">
        <v>#N/A</v>
      </c>
      <c r="J779" s="66" t="s">
        <v>870</v>
      </c>
      <c r="K779" s="66"/>
      <c r="L779" s="66"/>
      <c r="M779" s="66"/>
      <c r="N779" s="66"/>
      <c r="O779" s="66" t="s">
        <v>905</v>
      </c>
      <c r="P779" s="66"/>
      <c r="Q779" s="66">
        <v>1</v>
      </c>
      <c r="R779" s="66">
        <v>1128</v>
      </c>
      <c r="S779" s="66"/>
    </row>
    <row r="780" spans="1:19" x14ac:dyDescent="0.25">
      <c r="A780" s="15">
        <v>37</v>
      </c>
      <c r="B780" s="66"/>
      <c r="C780" s="66">
        <v>2429</v>
      </c>
      <c r="D780" s="66"/>
      <c r="E780" s="66" t="s">
        <v>763</v>
      </c>
      <c r="F780" s="66">
        <v>3</v>
      </c>
      <c r="G780" s="66"/>
      <c r="H780" s="66" t="e">
        <v>#N/A</v>
      </c>
      <c r="I780" s="66"/>
      <c r="J780" s="66" t="s">
        <v>870</v>
      </c>
      <c r="K780" s="66"/>
      <c r="L780" s="66"/>
      <c r="M780" s="66"/>
      <c r="N780" s="66"/>
      <c r="O780" s="66" t="s">
        <v>906</v>
      </c>
      <c r="P780" s="66"/>
      <c r="Q780" s="66">
        <v>1</v>
      </c>
      <c r="R780" s="66">
        <v>1279</v>
      </c>
      <c r="S780" s="66"/>
    </row>
    <row r="781" spans="1:19" x14ac:dyDescent="0.25">
      <c r="A781" s="15">
        <v>37</v>
      </c>
      <c r="B781" s="66"/>
      <c r="C781" s="66">
        <v>2429</v>
      </c>
      <c r="D781" s="66"/>
      <c r="E781" s="66" t="s">
        <v>763</v>
      </c>
      <c r="F781" s="66">
        <v>5</v>
      </c>
      <c r="G781" s="66"/>
      <c r="H781" s="66" t="e">
        <v>#N/A</v>
      </c>
      <c r="I781" s="66"/>
      <c r="J781" s="66" t="s">
        <v>870</v>
      </c>
      <c r="K781" s="66"/>
      <c r="L781" s="66"/>
      <c r="M781" s="66"/>
      <c r="N781" s="66"/>
      <c r="O781" s="66" t="s">
        <v>908</v>
      </c>
      <c r="P781" s="66"/>
      <c r="Q781" s="66">
        <v>1</v>
      </c>
      <c r="R781" s="66">
        <v>1411</v>
      </c>
      <c r="S781" s="66"/>
    </row>
    <row r="782" spans="1:19" x14ac:dyDescent="0.25">
      <c r="A782" s="15">
        <v>37</v>
      </c>
      <c r="B782" s="66"/>
      <c r="C782" s="66">
        <v>2429</v>
      </c>
      <c r="D782" s="66"/>
      <c r="E782" s="66" t="s">
        <v>763</v>
      </c>
      <c r="F782" s="66">
        <v>5</v>
      </c>
      <c r="G782" s="66"/>
      <c r="H782" s="66" t="e">
        <v>#N/A</v>
      </c>
      <c r="I782" s="66"/>
      <c r="J782" s="66" t="s">
        <v>870</v>
      </c>
      <c r="K782" s="66"/>
      <c r="L782" s="66"/>
      <c r="M782" s="66"/>
      <c r="N782" s="66"/>
      <c r="O782" s="66" t="s">
        <v>909</v>
      </c>
      <c r="P782" s="66"/>
      <c r="Q782" s="66">
        <v>1</v>
      </c>
      <c r="R782" s="66">
        <v>1412</v>
      </c>
      <c r="S782" s="66"/>
    </row>
    <row r="783" spans="1:19" x14ac:dyDescent="0.25">
      <c r="A783" s="15">
        <v>37</v>
      </c>
      <c r="B783" s="66"/>
      <c r="C783" s="66">
        <v>2429</v>
      </c>
      <c r="D783" s="66"/>
      <c r="E783" s="66" t="s">
        <v>763</v>
      </c>
      <c r="F783" s="66">
        <v>5</v>
      </c>
      <c r="G783" s="66"/>
      <c r="H783" s="66" t="e">
        <v>#N/A</v>
      </c>
      <c r="I783" s="66"/>
      <c r="J783" s="66" t="s">
        <v>870</v>
      </c>
      <c r="K783" s="66"/>
      <c r="L783" s="66"/>
      <c r="M783" s="66"/>
      <c r="N783" s="66"/>
      <c r="O783" s="66" t="s">
        <v>910</v>
      </c>
      <c r="P783" s="66"/>
      <c r="Q783" s="66">
        <v>1</v>
      </c>
      <c r="R783" s="66">
        <v>1413</v>
      </c>
      <c r="S783" s="66"/>
    </row>
    <row r="784" spans="1:19" x14ac:dyDescent="0.25">
      <c r="A784" s="15">
        <v>37</v>
      </c>
      <c r="B784" s="66"/>
      <c r="C784" s="66">
        <v>2429</v>
      </c>
      <c r="D784" s="66"/>
      <c r="E784" s="66" t="s">
        <v>763</v>
      </c>
      <c r="F784" s="66">
        <v>5</v>
      </c>
      <c r="G784" s="66"/>
      <c r="H784" s="66" t="e">
        <v>#N/A</v>
      </c>
      <c r="I784" s="66"/>
      <c r="J784" s="66" t="s">
        <v>870</v>
      </c>
      <c r="K784" s="66"/>
      <c r="L784" s="66"/>
      <c r="M784" s="66"/>
      <c r="N784" s="66"/>
      <c r="O784" s="66" t="s">
        <v>911</v>
      </c>
      <c r="P784" s="66"/>
      <c r="Q784" s="66">
        <v>1</v>
      </c>
      <c r="R784" s="66">
        <v>1414</v>
      </c>
      <c r="S784" s="66"/>
    </row>
    <row r="785" spans="1:19" x14ac:dyDescent="0.25">
      <c r="A785" s="15">
        <v>37</v>
      </c>
      <c r="B785" s="66"/>
      <c r="C785" s="66">
        <v>2429</v>
      </c>
      <c r="D785" s="66"/>
      <c r="E785" s="66" t="s">
        <v>763</v>
      </c>
      <c r="F785" s="66">
        <v>5</v>
      </c>
      <c r="G785" s="66"/>
      <c r="H785" s="66" t="e">
        <v>#N/A</v>
      </c>
      <c r="I785" s="66"/>
      <c r="J785" s="66" t="s">
        <v>870</v>
      </c>
      <c r="K785" s="66"/>
      <c r="L785" s="66"/>
      <c r="M785" s="66"/>
      <c r="N785" s="66"/>
      <c r="O785" s="66" t="s">
        <v>912</v>
      </c>
      <c r="P785" s="66"/>
      <c r="Q785" s="66">
        <v>1</v>
      </c>
      <c r="R785" s="66">
        <v>1415</v>
      </c>
      <c r="S785" s="66"/>
    </row>
    <row r="786" spans="1:19" x14ac:dyDescent="0.25">
      <c r="A786" s="15">
        <v>37</v>
      </c>
      <c r="B786" s="66"/>
      <c r="C786" s="66">
        <v>2429</v>
      </c>
      <c r="D786" s="66"/>
      <c r="E786" s="66" t="s">
        <v>763</v>
      </c>
      <c r="F786" s="66">
        <v>5</v>
      </c>
      <c r="G786" s="66"/>
      <c r="H786" s="66" t="e">
        <v>#N/A</v>
      </c>
      <c r="I786" s="66"/>
      <c r="J786" s="66" t="s">
        <v>870</v>
      </c>
      <c r="K786" s="66"/>
      <c r="L786" s="66"/>
      <c r="M786" s="66"/>
      <c r="N786" s="66"/>
      <c r="O786" s="66" t="s">
        <v>913</v>
      </c>
      <c r="P786" s="66"/>
      <c r="Q786" s="66">
        <v>1</v>
      </c>
      <c r="R786" s="66">
        <v>1416</v>
      </c>
      <c r="S786" s="66"/>
    </row>
    <row r="787" spans="1:19" x14ac:dyDescent="0.25">
      <c r="A787" s="15">
        <v>37</v>
      </c>
      <c r="B787" s="66"/>
      <c r="C787" s="66">
        <v>2429</v>
      </c>
      <c r="D787" s="66"/>
      <c r="E787" s="66" t="s">
        <v>763</v>
      </c>
      <c r="F787" s="66">
        <v>5</v>
      </c>
      <c r="G787" s="66"/>
      <c r="H787" s="66" t="e">
        <v>#N/A</v>
      </c>
      <c r="I787" s="66"/>
      <c r="J787" s="66" t="s">
        <v>870</v>
      </c>
      <c r="K787" s="66"/>
      <c r="L787" s="66"/>
      <c r="M787" s="66"/>
      <c r="N787" s="66"/>
      <c r="O787" s="66" t="s">
        <v>914</v>
      </c>
      <c r="P787" s="66"/>
      <c r="Q787" s="66">
        <v>1</v>
      </c>
      <c r="R787" s="66">
        <v>1417</v>
      </c>
      <c r="S787" s="66"/>
    </row>
    <row r="788" spans="1:19" x14ac:dyDescent="0.25">
      <c r="A788" s="15">
        <v>37</v>
      </c>
      <c r="B788" s="66"/>
      <c r="C788" s="66">
        <v>2429</v>
      </c>
      <c r="D788" s="66"/>
      <c r="E788" s="66" t="s">
        <v>763</v>
      </c>
      <c r="F788" s="66">
        <v>5</v>
      </c>
      <c r="G788" s="66"/>
      <c r="H788" s="66" t="e">
        <v>#N/A</v>
      </c>
      <c r="I788" s="66"/>
      <c r="J788" s="66" t="s">
        <v>870</v>
      </c>
      <c r="K788" s="66"/>
      <c r="L788" s="66"/>
      <c r="M788" s="66"/>
      <c r="N788" s="66"/>
      <c r="O788" s="66" t="s">
        <v>915</v>
      </c>
      <c r="P788" s="66"/>
      <c r="Q788" s="66">
        <v>1</v>
      </c>
      <c r="R788" s="66">
        <v>1418</v>
      </c>
      <c r="S788" s="66"/>
    </row>
    <row r="789" spans="1:19" x14ac:dyDescent="0.25">
      <c r="A789" s="15">
        <v>37</v>
      </c>
      <c r="B789" s="66"/>
      <c r="C789" s="66">
        <v>2429</v>
      </c>
      <c r="D789" s="66"/>
      <c r="E789" s="66" t="s">
        <v>763</v>
      </c>
      <c r="F789" s="66">
        <v>5</v>
      </c>
      <c r="G789" s="66"/>
      <c r="H789" s="66" t="e">
        <v>#N/A</v>
      </c>
      <c r="I789" s="66"/>
      <c r="J789" s="66" t="s">
        <v>870</v>
      </c>
      <c r="K789" s="66"/>
      <c r="L789" s="66"/>
      <c r="M789" s="66"/>
      <c r="N789" s="66"/>
      <c r="O789" s="66" t="s">
        <v>916</v>
      </c>
      <c r="P789" s="66"/>
      <c r="Q789" s="66">
        <v>1</v>
      </c>
      <c r="R789" s="66">
        <v>1419</v>
      </c>
      <c r="S789" s="66"/>
    </row>
    <row r="790" spans="1:19" x14ac:dyDescent="0.25">
      <c r="A790" s="15">
        <v>37</v>
      </c>
      <c r="B790" s="66"/>
      <c r="C790" s="66">
        <v>2429</v>
      </c>
      <c r="D790" s="66"/>
      <c r="E790" s="66" t="s">
        <v>763</v>
      </c>
      <c r="F790" s="66">
        <v>5</v>
      </c>
      <c r="G790" s="66"/>
      <c r="H790" s="66" t="e">
        <v>#N/A</v>
      </c>
      <c r="I790" s="66"/>
      <c r="J790" s="66" t="s">
        <v>870</v>
      </c>
      <c r="K790" s="66"/>
      <c r="L790" s="66"/>
      <c r="M790" s="66"/>
      <c r="N790" s="66"/>
      <c r="O790" s="66" t="s">
        <v>917</v>
      </c>
      <c r="P790" s="66"/>
      <c r="Q790" s="66">
        <v>1</v>
      </c>
      <c r="R790" s="66">
        <v>1420</v>
      </c>
      <c r="S790" s="66"/>
    </row>
    <row r="791" spans="1:19" x14ac:dyDescent="0.25">
      <c r="A791" s="15">
        <v>37</v>
      </c>
      <c r="B791" s="66"/>
      <c r="C791" s="66">
        <v>2429</v>
      </c>
      <c r="D791" s="66"/>
      <c r="E791" s="66" t="s">
        <v>763</v>
      </c>
      <c r="F791" s="66">
        <v>5</v>
      </c>
      <c r="G791" s="66"/>
      <c r="H791" s="66" t="e">
        <v>#N/A</v>
      </c>
      <c r="I791" s="66"/>
      <c r="J791" s="66" t="s">
        <v>870</v>
      </c>
      <c r="K791" s="66"/>
      <c r="L791" s="66"/>
      <c r="M791" s="66"/>
      <c r="N791" s="66"/>
      <c r="O791" s="66" t="s">
        <v>918</v>
      </c>
      <c r="P791" s="66"/>
      <c r="Q791" s="66">
        <v>1</v>
      </c>
      <c r="R791" s="66">
        <v>1421</v>
      </c>
      <c r="S791" s="66"/>
    </row>
    <row r="792" spans="1:19" x14ac:dyDescent="0.25">
      <c r="A792" s="15">
        <v>37</v>
      </c>
      <c r="B792" s="66"/>
      <c r="C792" s="66">
        <v>2429</v>
      </c>
      <c r="D792" s="66"/>
      <c r="E792" s="66" t="s">
        <v>763</v>
      </c>
      <c r="F792" s="66">
        <v>5</v>
      </c>
      <c r="G792" s="66"/>
      <c r="H792" s="66" t="e">
        <v>#N/A</v>
      </c>
      <c r="I792" s="66"/>
      <c r="J792" s="66" t="s">
        <v>870</v>
      </c>
      <c r="K792" s="66"/>
      <c r="L792" s="66"/>
      <c r="M792" s="66"/>
      <c r="N792" s="66"/>
      <c r="O792" s="66" t="s">
        <v>919</v>
      </c>
      <c r="P792" s="66"/>
      <c r="Q792" s="66">
        <v>1</v>
      </c>
      <c r="R792" s="66">
        <v>1422</v>
      </c>
      <c r="S792" s="66"/>
    </row>
    <row r="793" spans="1:19" x14ac:dyDescent="0.25">
      <c r="A793" s="15">
        <v>38</v>
      </c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</row>
    <row r="794" spans="1:19" x14ac:dyDescent="0.25">
      <c r="A794" s="15">
        <v>38</v>
      </c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 t="s">
        <v>795</v>
      </c>
      <c r="P794" s="66"/>
      <c r="Q794" s="66"/>
      <c r="R794" s="66"/>
      <c r="S794" s="66"/>
    </row>
    <row r="795" spans="1:19" x14ac:dyDescent="0.25">
      <c r="A795" s="15">
        <v>38</v>
      </c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 t="s">
        <v>835</v>
      </c>
      <c r="P795" s="66"/>
      <c r="Q795" s="66"/>
      <c r="R795" s="66"/>
      <c r="S795" s="66"/>
    </row>
    <row r="796" spans="1:19" x14ac:dyDescent="0.25">
      <c r="A796" s="15">
        <v>38</v>
      </c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 t="s">
        <v>842</v>
      </c>
      <c r="P796" s="66"/>
      <c r="Q796" s="66"/>
      <c r="R796" s="66"/>
      <c r="S796" s="66"/>
    </row>
    <row r="797" spans="1:19" x14ac:dyDescent="0.25">
      <c r="A797" s="15">
        <v>38</v>
      </c>
      <c r="B797" s="66"/>
      <c r="C797" s="66" t="s">
        <v>77</v>
      </c>
      <c r="D797" s="66"/>
      <c r="E797" s="66" t="s">
        <v>763</v>
      </c>
      <c r="F797" s="66">
        <v>6</v>
      </c>
      <c r="G797" s="66"/>
      <c r="H797" s="66">
        <v>7</v>
      </c>
      <c r="I797" s="66">
        <v>8.6666666666666679</v>
      </c>
      <c r="J797" s="66" t="s">
        <v>850</v>
      </c>
      <c r="K797" s="66"/>
      <c r="L797" s="66"/>
      <c r="M797" s="66"/>
      <c r="N797" s="66"/>
      <c r="O797" s="66" t="s">
        <v>849</v>
      </c>
      <c r="P797" s="66"/>
      <c r="Q797" s="66">
        <v>1</v>
      </c>
      <c r="R797" s="66">
        <v>300</v>
      </c>
      <c r="S797" s="66"/>
    </row>
    <row r="798" spans="1:19" x14ac:dyDescent="0.25">
      <c r="A798" s="15">
        <v>38</v>
      </c>
      <c r="B798" s="66"/>
      <c r="C798" s="66">
        <v>2429</v>
      </c>
      <c r="D798" s="66"/>
      <c r="E798" s="66" t="s">
        <v>763</v>
      </c>
      <c r="F798" s="66">
        <v>6</v>
      </c>
      <c r="G798" s="66"/>
      <c r="H798" s="66"/>
      <c r="I798" s="66">
        <v>19.583333333333332</v>
      </c>
      <c r="J798" s="66" t="s">
        <v>850</v>
      </c>
      <c r="K798" s="66"/>
      <c r="L798" s="66"/>
      <c r="M798" s="66"/>
      <c r="N798" s="66"/>
      <c r="O798" s="66" t="s">
        <v>852</v>
      </c>
      <c r="P798" s="66"/>
      <c r="Q798" s="66">
        <v>1</v>
      </c>
      <c r="R798" s="66">
        <v>443</v>
      </c>
      <c r="S798" s="66"/>
    </row>
    <row r="799" spans="1:19" x14ac:dyDescent="0.25">
      <c r="A799" s="15">
        <v>38</v>
      </c>
      <c r="B799" s="66"/>
      <c r="C799" s="66">
        <v>2429</v>
      </c>
      <c r="D799" s="66"/>
      <c r="E799" s="66" t="s">
        <v>763</v>
      </c>
      <c r="F799" s="66">
        <v>1</v>
      </c>
      <c r="G799" s="66"/>
      <c r="H799" s="66" t="e">
        <v>#N/A</v>
      </c>
      <c r="I799" s="66"/>
      <c r="J799" s="66" t="s">
        <v>870</v>
      </c>
      <c r="K799" s="66" t="s">
        <v>757</v>
      </c>
      <c r="L799" s="66" t="s">
        <v>757</v>
      </c>
      <c r="M799" s="66" t="s">
        <v>757</v>
      </c>
      <c r="N799" s="66" t="s">
        <v>757</v>
      </c>
      <c r="O799" s="66" t="s">
        <v>869</v>
      </c>
      <c r="P799" s="66"/>
      <c r="Q799" s="66">
        <v>1</v>
      </c>
      <c r="R799" s="66">
        <v>675</v>
      </c>
      <c r="S799" s="66"/>
    </row>
    <row r="800" spans="1:19" x14ac:dyDescent="0.25">
      <c r="A800" s="15">
        <v>38</v>
      </c>
      <c r="B800" s="66"/>
      <c r="C800" s="66">
        <v>2429</v>
      </c>
      <c r="D800" s="66"/>
      <c r="E800" s="66" t="s">
        <v>763</v>
      </c>
      <c r="F800" s="66">
        <v>0</v>
      </c>
      <c r="G800" s="66"/>
      <c r="H800" s="66">
        <v>3</v>
      </c>
      <c r="I800" s="66" t="e">
        <v>#N/A</v>
      </c>
      <c r="J800" s="66" t="s">
        <v>870</v>
      </c>
      <c r="K800" s="66"/>
      <c r="L800" s="66"/>
      <c r="M800" s="66"/>
      <c r="N800" s="66"/>
      <c r="O800" s="66" t="s">
        <v>882</v>
      </c>
      <c r="P800" s="66"/>
      <c r="Q800" s="66">
        <v>1</v>
      </c>
      <c r="R800" s="66">
        <v>902</v>
      </c>
      <c r="S800" s="66"/>
    </row>
    <row r="801" spans="1:19" x14ac:dyDescent="0.25">
      <c r="A801" s="15">
        <v>38</v>
      </c>
      <c r="B801" s="66"/>
      <c r="C801" s="66">
        <v>2429</v>
      </c>
      <c r="D801" s="66"/>
      <c r="E801" s="66" t="s">
        <v>763</v>
      </c>
      <c r="F801" s="66">
        <v>3</v>
      </c>
      <c r="G801" s="66"/>
      <c r="H801" s="66">
        <v>3</v>
      </c>
      <c r="I801" s="66" t="e">
        <v>#N/A</v>
      </c>
      <c r="J801" s="66" t="s">
        <v>870</v>
      </c>
      <c r="K801" s="66"/>
      <c r="L801" s="66"/>
      <c r="M801" s="66"/>
      <c r="N801" s="66"/>
      <c r="O801" s="66" t="s">
        <v>894</v>
      </c>
      <c r="P801" s="66"/>
      <c r="Q801" s="66">
        <v>1</v>
      </c>
      <c r="R801" s="66">
        <v>1129</v>
      </c>
      <c r="S801" s="66"/>
    </row>
    <row r="802" spans="1:19" x14ac:dyDescent="0.25">
      <c r="A802" s="15">
        <v>38</v>
      </c>
      <c r="B802" s="66"/>
      <c r="C802" s="66">
        <v>2429</v>
      </c>
      <c r="D802" s="66"/>
      <c r="E802" s="66" t="s">
        <v>763</v>
      </c>
      <c r="F802" s="66">
        <v>3</v>
      </c>
      <c r="G802" s="66"/>
      <c r="H802" s="66" t="e">
        <v>#N/A</v>
      </c>
      <c r="I802" s="66"/>
      <c r="J802" s="66" t="s">
        <v>870</v>
      </c>
      <c r="K802" s="66"/>
      <c r="L802" s="66"/>
      <c r="M802" s="66"/>
      <c r="N802" s="66"/>
      <c r="O802" s="66" t="s">
        <v>906</v>
      </c>
      <c r="P802" s="66"/>
      <c r="Q802" s="66">
        <v>1</v>
      </c>
      <c r="R802" s="66">
        <v>1280</v>
      </c>
      <c r="S802" s="66"/>
    </row>
    <row r="803" spans="1:19" x14ac:dyDescent="0.25">
      <c r="A803" s="15">
        <v>38</v>
      </c>
      <c r="B803" s="66"/>
      <c r="C803" s="66">
        <v>2429</v>
      </c>
      <c r="D803" s="66"/>
      <c r="E803" s="66" t="s">
        <v>763</v>
      </c>
      <c r="F803" s="66">
        <v>5</v>
      </c>
      <c r="G803" s="66"/>
      <c r="H803" s="66" t="e">
        <v>#N/A</v>
      </c>
      <c r="I803" s="66"/>
      <c r="J803" s="66" t="s">
        <v>870</v>
      </c>
      <c r="K803" s="66"/>
      <c r="L803" s="66"/>
      <c r="M803" s="66"/>
      <c r="N803" s="66"/>
      <c r="O803" s="66" t="s">
        <v>908</v>
      </c>
      <c r="P803" s="66"/>
      <c r="Q803" s="66">
        <v>1</v>
      </c>
      <c r="R803" s="66">
        <v>1423</v>
      </c>
      <c r="S803" s="66"/>
    </row>
    <row r="804" spans="1:19" x14ac:dyDescent="0.25">
      <c r="A804" s="15">
        <v>39</v>
      </c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</row>
    <row r="805" spans="1:19" x14ac:dyDescent="0.25">
      <c r="A805" s="15">
        <v>39</v>
      </c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 t="s">
        <v>796</v>
      </c>
      <c r="P805" s="66"/>
      <c r="Q805" s="66"/>
      <c r="R805" s="66"/>
      <c r="S805" s="66"/>
    </row>
    <row r="806" spans="1:19" x14ac:dyDescent="0.25">
      <c r="A806" s="15">
        <v>39</v>
      </c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 t="s">
        <v>835</v>
      </c>
      <c r="P806" s="66"/>
      <c r="Q806" s="66"/>
      <c r="R806" s="66"/>
      <c r="S806" s="66"/>
    </row>
    <row r="807" spans="1:19" x14ac:dyDescent="0.25">
      <c r="A807" s="15">
        <v>39</v>
      </c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 t="s">
        <v>844</v>
      </c>
      <c r="P807" s="66"/>
      <c r="Q807" s="66"/>
      <c r="R807" s="66"/>
      <c r="S807" s="66"/>
    </row>
    <row r="808" spans="1:19" x14ac:dyDescent="0.25">
      <c r="A808" s="15">
        <v>39</v>
      </c>
      <c r="B808" s="66"/>
      <c r="C808" s="66" t="s">
        <v>77</v>
      </c>
      <c r="D808" s="66"/>
      <c r="E808" s="66" t="s">
        <v>763</v>
      </c>
      <c r="F808" s="66">
        <v>6</v>
      </c>
      <c r="G808" s="66"/>
      <c r="H808" s="66">
        <v>7</v>
      </c>
      <c r="I808" s="66">
        <v>8.1666666666666679</v>
      </c>
      <c r="J808" s="66" t="s">
        <v>850</v>
      </c>
      <c r="K808" s="66"/>
      <c r="L808" s="66"/>
      <c r="M808" s="66"/>
      <c r="N808" s="66"/>
      <c r="O808" s="66" t="s">
        <v>849</v>
      </c>
      <c r="P808" s="66"/>
      <c r="Q808" s="66">
        <v>1</v>
      </c>
      <c r="R808" s="66">
        <v>301</v>
      </c>
      <c r="S808" s="66"/>
    </row>
    <row r="809" spans="1:19" x14ac:dyDescent="0.25">
      <c r="A809" s="15">
        <v>39</v>
      </c>
      <c r="B809" s="66"/>
      <c r="C809" s="66">
        <v>2429</v>
      </c>
      <c r="D809" s="66"/>
      <c r="E809" s="66" t="s">
        <v>763</v>
      </c>
      <c r="F809" s="66">
        <v>6</v>
      </c>
      <c r="G809" s="66"/>
      <c r="H809" s="66"/>
      <c r="I809" s="66">
        <v>12.25</v>
      </c>
      <c r="J809" s="66" t="s">
        <v>850</v>
      </c>
      <c r="K809" s="66"/>
      <c r="L809" s="66"/>
      <c r="M809" s="66"/>
      <c r="N809" s="66"/>
      <c r="O809" s="66" t="s">
        <v>852</v>
      </c>
      <c r="P809" s="66"/>
      <c r="Q809" s="66">
        <v>1</v>
      </c>
      <c r="R809" s="66">
        <v>444</v>
      </c>
      <c r="S809" s="66"/>
    </row>
    <row r="810" spans="1:19" x14ac:dyDescent="0.25">
      <c r="A810" s="15">
        <v>39</v>
      </c>
      <c r="B810" s="66"/>
      <c r="C810" s="66">
        <v>2429</v>
      </c>
      <c r="D810" s="66"/>
      <c r="E810" s="66" t="s">
        <v>763</v>
      </c>
      <c r="F810" s="66">
        <v>1</v>
      </c>
      <c r="G810" s="66"/>
      <c r="H810" s="66" t="e">
        <v>#N/A</v>
      </c>
      <c r="I810" s="66"/>
      <c r="J810" s="66" t="s">
        <v>870</v>
      </c>
      <c r="K810" s="66" t="s">
        <v>757</v>
      </c>
      <c r="L810" s="66" t="s">
        <v>757</v>
      </c>
      <c r="M810" s="66" t="s">
        <v>757</v>
      </c>
      <c r="N810" s="66" t="s">
        <v>757</v>
      </c>
      <c r="O810" s="66" t="s">
        <v>869</v>
      </c>
      <c r="P810" s="66"/>
      <c r="Q810" s="66">
        <v>1</v>
      </c>
      <c r="R810" s="66">
        <v>676</v>
      </c>
      <c r="S810" s="66"/>
    </row>
    <row r="811" spans="1:19" x14ac:dyDescent="0.25">
      <c r="A811" s="15">
        <v>39</v>
      </c>
      <c r="B811" s="66"/>
      <c r="C811" s="66">
        <v>2429</v>
      </c>
      <c r="D811" s="66"/>
      <c r="E811" s="66" t="s">
        <v>763</v>
      </c>
      <c r="F811" s="66">
        <v>0</v>
      </c>
      <c r="G811" s="66"/>
      <c r="H811" s="66">
        <v>3</v>
      </c>
      <c r="I811" s="66" t="e">
        <v>#N/A</v>
      </c>
      <c r="J811" s="66" t="s">
        <v>870</v>
      </c>
      <c r="K811" s="66"/>
      <c r="L811" s="66"/>
      <c r="M811" s="66"/>
      <c r="N811" s="66"/>
      <c r="O811" s="66" t="s">
        <v>882</v>
      </c>
      <c r="P811" s="66"/>
      <c r="Q811" s="66">
        <v>1</v>
      </c>
      <c r="R811" s="66">
        <v>903</v>
      </c>
      <c r="S811" s="66"/>
    </row>
    <row r="812" spans="1:19" x14ac:dyDescent="0.25">
      <c r="A812" s="15">
        <v>39</v>
      </c>
      <c r="B812" s="66"/>
      <c r="C812" s="66">
        <v>2429</v>
      </c>
      <c r="D812" s="66"/>
      <c r="E812" s="66" t="s">
        <v>763</v>
      </c>
      <c r="F812" s="66">
        <v>3</v>
      </c>
      <c r="G812" s="66"/>
      <c r="H812" s="66">
        <v>3</v>
      </c>
      <c r="I812" s="66" t="e">
        <v>#N/A</v>
      </c>
      <c r="J812" s="66" t="s">
        <v>870</v>
      </c>
      <c r="K812" s="66"/>
      <c r="L812" s="66"/>
      <c r="M812" s="66"/>
      <c r="N812" s="66"/>
      <c r="O812" s="66" t="s">
        <v>894</v>
      </c>
      <c r="P812" s="66"/>
      <c r="Q812" s="66">
        <v>1</v>
      </c>
      <c r="R812" s="66">
        <v>1130</v>
      </c>
      <c r="S812" s="66"/>
    </row>
    <row r="813" spans="1:19" x14ac:dyDescent="0.25">
      <c r="A813" s="15">
        <v>39</v>
      </c>
      <c r="B813" s="66"/>
      <c r="C813" s="66">
        <v>2429</v>
      </c>
      <c r="D813" s="66"/>
      <c r="E813" s="66" t="s">
        <v>763</v>
      </c>
      <c r="F813" s="66">
        <v>3</v>
      </c>
      <c r="G813" s="66"/>
      <c r="H813" s="66" t="e">
        <v>#N/A</v>
      </c>
      <c r="I813" s="66"/>
      <c r="J813" s="66" t="s">
        <v>870</v>
      </c>
      <c r="K813" s="66"/>
      <c r="L813" s="66"/>
      <c r="M813" s="66"/>
      <c r="N813" s="66"/>
      <c r="O813" s="66" t="s">
        <v>906</v>
      </c>
      <c r="P813" s="66"/>
      <c r="Q813" s="66">
        <v>1</v>
      </c>
      <c r="R813" s="66">
        <v>1281</v>
      </c>
      <c r="S813" s="66"/>
    </row>
    <row r="814" spans="1:19" x14ac:dyDescent="0.25">
      <c r="A814" s="15">
        <v>39</v>
      </c>
      <c r="B814" s="66"/>
      <c r="C814" s="66">
        <v>2429</v>
      </c>
      <c r="D814" s="66"/>
      <c r="E814" s="66" t="s">
        <v>763</v>
      </c>
      <c r="F814" s="66">
        <v>5</v>
      </c>
      <c r="G814" s="66"/>
      <c r="H814" s="66" t="e">
        <v>#N/A</v>
      </c>
      <c r="I814" s="66"/>
      <c r="J814" s="66" t="s">
        <v>870</v>
      </c>
      <c r="K814" s="66"/>
      <c r="L814" s="66"/>
      <c r="M814" s="66"/>
      <c r="N814" s="66"/>
      <c r="O814" s="66" t="s">
        <v>908</v>
      </c>
      <c r="P814" s="66"/>
      <c r="Q814" s="66">
        <v>1</v>
      </c>
      <c r="R814" s="66">
        <v>1424</v>
      </c>
      <c r="S814" s="66"/>
    </row>
    <row r="815" spans="1:19" x14ac:dyDescent="0.25">
      <c r="A815" s="15">
        <v>40</v>
      </c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</row>
    <row r="816" spans="1:19" x14ac:dyDescent="0.25">
      <c r="A816" s="15">
        <v>40</v>
      </c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 t="s">
        <v>798</v>
      </c>
      <c r="P816" s="66"/>
      <c r="Q816" s="66"/>
      <c r="R816" s="66"/>
      <c r="S816" s="66"/>
    </row>
    <row r="817" spans="1:19" x14ac:dyDescent="0.25">
      <c r="A817" s="15">
        <v>40</v>
      </c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 t="s">
        <v>835</v>
      </c>
      <c r="P817" s="66"/>
      <c r="Q817" s="66"/>
      <c r="R817" s="66"/>
      <c r="S817" s="66"/>
    </row>
    <row r="818" spans="1:19" x14ac:dyDescent="0.25">
      <c r="A818" s="15">
        <v>40</v>
      </c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 t="s">
        <v>842</v>
      </c>
      <c r="P818" s="66"/>
      <c r="Q818" s="66"/>
      <c r="R818" s="66"/>
      <c r="S818" s="66"/>
    </row>
    <row r="819" spans="1:19" x14ac:dyDescent="0.25">
      <c r="A819" s="15">
        <v>40</v>
      </c>
      <c r="B819" s="66"/>
      <c r="C819" s="66" t="s">
        <v>77</v>
      </c>
      <c r="D819" s="66"/>
      <c r="E819" s="66" t="s">
        <v>763</v>
      </c>
      <c r="F819" s="66">
        <v>12</v>
      </c>
      <c r="G819" s="66"/>
      <c r="H819" s="66">
        <v>9</v>
      </c>
      <c r="I819" s="66">
        <v>9.0833333333333339</v>
      </c>
      <c r="J819" s="66" t="s">
        <v>850</v>
      </c>
      <c r="K819" s="66"/>
      <c r="L819" s="66"/>
      <c r="M819" s="66"/>
      <c r="N819" s="66"/>
      <c r="O819" s="66" t="s">
        <v>849</v>
      </c>
      <c r="P819" s="66"/>
      <c r="Q819" s="66">
        <v>1</v>
      </c>
      <c r="R819" s="66">
        <v>303</v>
      </c>
      <c r="S819" s="66"/>
    </row>
    <row r="820" spans="1:19" x14ac:dyDescent="0.25">
      <c r="A820" s="15">
        <v>40</v>
      </c>
      <c r="B820" s="66"/>
      <c r="C820" s="66">
        <v>2429</v>
      </c>
      <c r="D820" s="66"/>
      <c r="E820" s="66" t="s">
        <v>763</v>
      </c>
      <c r="F820" s="66">
        <v>12</v>
      </c>
      <c r="G820" s="66"/>
      <c r="H820" s="66"/>
      <c r="I820" s="66">
        <v>19.583333333333332</v>
      </c>
      <c r="J820" s="66" t="s">
        <v>850</v>
      </c>
      <c r="K820" s="66"/>
      <c r="L820" s="66"/>
      <c r="M820" s="66"/>
      <c r="N820" s="66"/>
      <c r="O820" s="66" t="s">
        <v>852</v>
      </c>
      <c r="P820" s="66"/>
      <c r="Q820" s="66">
        <v>1</v>
      </c>
      <c r="R820" s="66">
        <v>446</v>
      </c>
      <c r="S820" s="66"/>
    </row>
    <row r="821" spans="1:19" x14ac:dyDescent="0.25">
      <c r="A821" s="15">
        <v>40</v>
      </c>
      <c r="B821" s="66"/>
      <c r="C821" s="66">
        <v>2429</v>
      </c>
      <c r="D821" s="66"/>
      <c r="E821" s="66" t="s">
        <v>763</v>
      </c>
      <c r="F821" s="66">
        <v>1</v>
      </c>
      <c r="G821" s="66"/>
      <c r="H821" s="66" t="e">
        <v>#N/A</v>
      </c>
      <c r="I821" s="66"/>
      <c r="J821" s="66" t="s">
        <v>870</v>
      </c>
      <c r="K821" s="66" t="s">
        <v>757</v>
      </c>
      <c r="L821" s="66" t="s">
        <v>757</v>
      </c>
      <c r="M821" s="66" t="s">
        <v>757</v>
      </c>
      <c r="N821" s="66" t="s">
        <v>757</v>
      </c>
      <c r="O821" s="66" t="s">
        <v>869</v>
      </c>
      <c r="P821" s="66"/>
      <c r="Q821" s="66">
        <v>1</v>
      </c>
      <c r="R821" s="66">
        <v>678</v>
      </c>
      <c r="S821" s="66"/>
    </row>
    <row r="822" spans="1:19" x14ac:dyDescent="0.25">
      <c r="A822" s="15">
        <v>40</v>
      </c>
      <c r="B822" s="66"/>
      <c r="C822" s="66">
        <v>2429</v>
      </c>
      <c r="D822" s="66"/>
      <c r="E822" s="66" t="s">
        <v>763</v>
      </c>
      <c r="F822" s="66">
        <v>0</v>
      </c>
      <c r="G822" s="66"/>
      <c r="H822" s="66">
        <v>3</v>
      </c>
      <c r="I822" s="66" t="e">
        <v>#N/A</v>
      </c>
      <c r="J822" s="66" t="s">
        <v>870</v>
      </c>
      <c r="K822" s="66"/>
      <c r="L822" s="66"/>
      <c r="M822" s="66"/>
      <c r="N822" s="66"/>
      <c r="O822" s="66" t="s">
        <v>882</v>
      </c>
      <c r="P822" s="66"/>
      <c r="Q822" s="66">
        <v>1</v>
      </c>
      <c r="R822" s="66">
        <v>905</v>
      </c>
      <c r="S822" s="66"/>
    </row>
    <row r="823" spans="1:19" x14ac:dyDescent="0.25">
      <c r="A823" s="15">
        <v>40</v>
      </c>
      <c r="B823" s="66"/>
      <c r="C823" s="66">
        <v>2429</v>
      </c>
      <c r="D823" s="66"/>
      <c r="E823" s="66" t="s">
        <v>763</v>
      </c>
      <c r="F823" s="66">
        <v>3</v>
      </c>
      <c r="G823" s="66"/>
      <c r="H823" s="66">
        <v>3</v>
      </c>
      <c r="I823" s="66" t="e">
        <v>#N/A</v>
      </c>
      <c r="J823" s="66" t="s">
        <v>870</v>
      </c>
      <c r="K823" s="66"/>
      <c r="L823" s="66"/>
      <c r="M823" s="66"/>
      <c r="N823" s="66"/>
      <c r="O823" s="66" t="s">
        <v>894</v>
      </c>
      <c r="P823" s="66"/>
      <c r="Q823" s="66">
        <v>1</v>
      </c>
      <c r="R823" s="66">
        <v>1132</v>
      </c>
      <c r="S823" s="66"/>
    </row>
    <row r="824" spans="1:19" x14ac:dyDescent="0.25">
      <c r="A824" s="15">
        <v>40</v>
      </c>
      <c r="B824" s="66"/>
      <c r="C824" s="66">
        <v>2429</v>
      </c>
      <c r="D824" s="66"/>
      <c r="E824" s="66" t="s">
        <v>763</v>
      </c>
      <c r="F824" s="66">
        <v>3</v>
      </c>
      <c r="G824" s="66"/>
      <c r="H824" s="66" t="e">
        <v>#N/A</v>
      </c>
      <c r="I824" s="66"/>
      <c r="J824" s="66" t="s">
        <v>870</v>
      </c>
      <c r="K824" s="66"/>
      <c r="L824" s="66"/>
      <c r="M824" s="66"/>
      <c r="N824" s="66"/>
      <c r="O824" s="66" t="s">
        <v>906</v>
      </c>
      <c r="P824" s="66"/>
      <c r="Q824" s="66">
        <v>1</v>
      </c>
      <c r="R824" s="66">
        <v>1283</v>
      </c>
      <c r="S824" s="66"/>
    </row>
    <row r="825" spans="1:19" x14ac:dyDescent="0.25">
      <c r="A825" s="15">
        <v>40</v>
      </c>
      <c r="B825" s="66"/>
      <c r="C825" s="66">
        <v>2429</v>
      </c>
      <c r="D825" s="66"/>
      <c r="E825" s="66" t="s">
        <v>763</v>
      </c>
      <c r="F825" s="66">
        <v>5</v>
      </c>
      <c r="G825" s="66"/>
      <c r="H825" s="66" t="e">
        <v>#N/A</v>
      </c>
      <c r="I825" s="66"/>
      <c r="J825" s="66" t="s">
        <v>870</v>
      </c>
      <c r="K825" s="66"/>
      <c r="L825" s="66"/>
      <c r="M825" s="66"/>
      <c r="N825" s="66"/>
      <c r="O825" s="66" t="s">
        <v>908</v>
      </c>
      <c r="P825" s="66"/>
      <c r="Q825" s="66">
        <v>1</v>
      </c>
      <c r="R825" s="66">
        <v>1426</v>
      </c>
      <c r="S825" s="66"/>
    </row>
    <row r="826" spans="1:19" x14ac:dyDescent="0.25">
      <c r="A826" s="15">
        <v>41</v>
      </c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</row>
    <row r="827" spans="1:19" x14ac:dyDescent="0.25">
      <c r="A827" s="15">
        <v>41</v>
      </c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 t="s">
        <v>799</v>
      </c>
      <c r="P827" s="66"/>
      <c r="Q827" s="66"/>
      <c r="R827" s="66"/>
      <c r="S827" s="66"/>
    </row>
    <row r="828" spans="1:19" x14ac:dyDescent="0.25">
      <c r="A828" s="15">
        <v>41</v>
      </c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 t="s">
        <v>838</v>
      </c>
      <c r="P828" s="66"/>
      <c r="Q828" s="66"/>
      <c r="R828" s="66"/>
      <c r="S828" s="66"/>
    </row>
    <row r="829" spans="1:19" x14ac:dyDescent="0.25">
      <c r="A829" s="15">
        <v>41</v>
      </c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 t="s">
        <v>843</v>
      </c>
      <c r="P829" s="66"/>
      <c r="Q829" s="66"/>
      <c r="R829" s="66"/>
      <c r="S829" s="66"/>
    </row>
    <row r="830" spans="1:19" x14ac:dyDescent="0.25">
      <c r="A830" s="15">
        <v>41</v>
      </c>
      <c r="B830" s="66"/>
      <c r="C830" s="66" t="s">
        <v>77</v>
      </c>
      <c r="D830" s="66"/>
      <c r="E830" s="66" t="s">
        <v>763</v>
      </c>
      <c r="F830" s="66">
        <v>8</v>
      </c>
      <c r="G830" s="66"/>
      <c r="H830" s="66">
        <v>9</v>
      </c>
      <c r="I830" s="66">
        <v>11.916666666666668</v>
      </c>
      <c r="J830" s="66" t="s">
        <v>850</v>
      </c>
      <c r="K830" s="66"/>
      <c r="L830" s="66"/>
      <c r="M830" s="66"/>
      <c r="N830" s="66"/>
      <c r="O830" s="66" t="s">
        <v>849</v>
      </c>
      <c r="P830" s="66"/>
      <c r="Q830" s="66">
        <v>1</v>
      </c>
      <c r="R830" s="66">
        <v>304</v>
      </c>
      <c r="S830" s="66"/>
    </row>
    <row r="831" spans="1:19" x14ac:dyDescent="0.25">
      <c r="A831" s="15">
        <v>41</v>
      </c>
      <c r="B831" s="66"/>
      <c r="C831" s="66">
        <v>2429</v>
      </c>
      <c r="D831" s="66"/>
      <c r="E831" s="66" t="s">
        <v>763</v>
      </c>
      <c r="F831" s="66">
        <v>8</v>
      </c>
      <c r="G831" s="66"/>
      <c r="H831" s="66"/>
      <c r="I831" s="66">
        <v>21.583333333333332</v>
      </c>
      <c r="J831" s="66" t="s">
        <v>850</v>
      </c>
      <c r="K831" s="66"/>
      <c r="L831" s="66"/>
      <c r="M831" s="66"/>
      <c r="N831" s="66"/>
      <c r="O831" s="66" t="s">
        <v>852</v>
      </c>
      <c r="P831" s="66"/>
      <c r="Q831" s="66">
        <v>1</v>
      </c>
      <c r="R831" s="66">
        <v>447</v>
      </c>
      <c r="S831" s="66"/>
    </row>
    <row r="832" spans="1:19" x14ac:dyDescent="0.25">
      <c r="A832" s="15">
        <v>41</v>
      </c>
      <c r="B832" s="66"/>
      <c r="C832" s="66">
        <v>2429</v>
      </c>
      <c r="D832" s="66"/>
      <c r="E832" s="66" t="s">
        <v>763</v>
      </c>
      <c r="F832" s="66">
        <v>1</v>
      </c>
      <c r="G832" s="66"/>
      <c r="H832" s="66" t="e">
        <v>#N/A</v>
      </c>
      <c r="I832" s="66"/>
      <c r="J832" s="66" t="s">
        <v>870</v>
      </c>
      <c r="K832" s="66" t="s">
        <v>757</v>
      </c>
      <c r="L832" s="66" t="s">
        <v>757</v>
      </c>
      <c r="M832" s="66" t="s">
        <v>757</v>
      </c>
      <c r="N832" s="66" t="s">
        <v>757</v>
      </c>
      <c r="O832" s="66" t="s">
        <v>869</v>
      </c>
      <c r="P832" s="66"/>
      <c r="Q832" s="66">
        <v>1</v>
      </c>
      <c r="R832" s="66">
        <v>679</v>
      </c>
      <c r="S832" s="66"/>
    </row>
    <row r="833" spans="1:19" x14ac:dyDescent="0.25">
      <c r="A833" s="15">
        <v>41</v>
      </c>
      <c r="B833" s="66"/>
      <c r="C833" s="66">
        <v>2429</v>
      </c>
      <c r="D833" s="66"/>
      <c r="E833" s="66" t="s">
        <v>763</v>
      </c>
      <c r="F833" s="66">
        <v>0</v>
      </c>
      <c r="G833" s="66"/>
      <c r="H833" s="66">
        <v>3</v>
      </c>
      <c r="I833" s="66" t="e">
        <v>#N/A</v>
      </c>
      <c r="J833" s="66" t="s">
        <v>870</v>
      </c>
      <c r="K833" s="66"/>
      <c r="L833" s="66"/>
      <c r="M833" s="66"/>
      <c r="N833" s="66"/>
      <c r="O833" s="66" t="s">
        <v>882</v>
      </c>
      <c r="P833" s="66"/>
      <c r="Q833" s="66">
        <v>1</v>
      </c>
      <c r="R833" s="66">
        <v>906</v>
      </c>
      <c r="S833" s="66"/>
    </row>
    <row r="834" spans="1:19" x14ac:dyDescent="0.25">
      <c r="A834" s="15">
        <v>41</v>
      </c>
      <c r="B834" s="66"/>
      <c r="C834" s="66">
        <v>2429</v>
      </c>
      <c r="D834" s="66"/>
      <c r="E834" s="66" t="s">
        <v>763</v>
      </c>
      <c r="F834" s="66">
        <v>3</v>
      </c>
      <c r="G834" s="66"/>
      <c r="H834" s="66">
        <v>3</v>
      </c>
      <c r="I834" s="66" t="e">
        <v>#N/A</v>
      </c>
      <c r="J834" s="66" t="s">
        <v>870</v>
      </c>
      <c r="K834" s="66"/>
      <c r="L834" s="66"/>
      <c r="M834" s="66"/>
      <c r="N834" s="66"/>
      <c r="O834" s="66" t="s">
        <v>894</v>
      </c>
      <c r="P834" s="66"/>
      <c r="Q834" s="66">
        <v>1</v>
      </c>
      <c r="R834" s="66">
        <v>1133</v>
      </c>
      <c r="S834" s="66"/>
    </row>
    <row r="835" spans="1:19" x14ac:dyDescent="0.25">
      <c r="A835" s="15">
        <v>41</v>
      </c>
      <c r="B835" s="66"/>
      <c r="C835" s="66">
        <v>2429</v>
      </c>
      <c r="D835" s="66"/>
      <c r="E835" s="66" t="s">
        <v>763</v>
      </c>
      <c r="F835" s="66">
        <v>3</v>
      </c>
      <c r="G835" s="66"/>
      <c r="H835" s="66" t="e">
        <v>#N/A</v>
      </c>
      <c r="I835" s="66"/>
      <c r="J835" s="66" t="s">
        <v>870</v>
      </c>
      <c r="K835" s="66"/>
      <c r="L835" s="66"/>
      <c r="M835" s="66"/>
      <c r="N835" s="66"/>
      <c r="O835" s="66" t="s">
        <v>906</v>
      </c>
      <c r="P835" s="66"/>
      <c r="Q835" s="66">
        <v>1</v>
      </c>
      <c r="R835" s="66">
        <v>1284</v>
      </c>
      <c r="S835" s="66"/>
    </row>
    <row r="836" spans="1:19" x14ac:dyDescent="0.25">
      <c r="A836" s="15">
        <v>41</v>
      </c>
      <c r="B836" s="66"/>
      <c r="C836" s="66">
        <v>2429</v>
      </c>
      <c r="D836" s="66"/>
      <c r="E836" s="66" t="s">
        <v>763</v>
      </c>
      <c r="F836" s="66">
        <v>5</v>
      </c>
      <c r="G836" s="66"/>
      <c r="H836" s="66" t="e">
        <v>#N/A</v>
      </c>
      <c r="I836" s="66"/>
      <c r="J836" s="66" t="s">
        <v>870</v>
      </c>
      <c r="K836" s="66"/>
      <c r="L836" s="66"/>
      <c r="M836" s="66"/>
      <c r="N836" s="66"/>
      <c r="O836" s="66" t="s">
        <v>908</v>
      </c>
      <c r="P836" s="66"/>
      <c r="Q836" s="66">
        <v>1</v>
      </c>
      <c r="R836" s="66">
        <v>1427</v>
      </c>
      <c r="S836" s="66"/>
    </row>
    <row r="837" spans="1:19" x14ac:dyDescent="0.25">
      <c r="A837" s="15">
        <v>42</v>
      </c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</row>
    <row r="838" spans="1:19" x14ac:dyDescent="0.25">
      <c r="A838" s="15">
        <v>42</v>
      </c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 t="s">
        <v>800</v>
      </c>
      <c r="P838" s="66"/>
      <c r="Q838" s="66"/>
      <c r="R838" s="66"/>
      <c r="S838" s="66"/>
    </row>
    <row r="839" spans="1:19" x14ac:dyDescent="0.25">
      <c r="A839" s="15">
        <v>42</v>
      </c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 t="s">
        <v>836</v>
      </c>
      <c r="P839" s="66"/>
      <c r="Q839" s="66"/>
      <c r="R839" s="66"/>
      <c r="S839" s="66"/>
    </row>
    <row r="840" spans="1:19" x14ac:dyDescent="0.25">
      <c r="A840" s="15">
        <v>42</v>
      </c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 t="s">
        <v>843</v>
      </c>
      <c r="P840" s="66"/>
      <c r="Q840" s="66"/>
      <c r="R840" s="66"/>
      <c r="S840" s="66"/>
    </row>
    <row r="841" spans="1:19" x14ac:dyDescent="0.25">
      <c r="A841" s="15">
        <v>42</v>
      </c>
      <c r="B841" s="66"/>
      <c r="C841" s="66" t="s">
        <v>77</v>
      </c>
      <c r="D841" s="66"/>
      <c r="E841" s="66" t="s">
        <v>763</v>
      </c>
      <c r="F841" s="66">
        <v>8</v>
      </c>
      <c r="G841" s="66"/>
      <c r="H841" s="66">
        <v>7</v>
      </c>
      <c r="I841" s="66">
        <v>7.666666666666667</v>
      </c>
      <c r="J841" s="66" t="s">
        <v>850</v>
      </c>
      <c r="K841" s="66"/>
      <c r="L841" s="66"/>
      <c r="M841" s="66"/>
      <c r="N841" s="66"/>
      <c r="O841" s="66" t="s">
        <v>849</v>
      </c>
      <c r="P841" s="66"/>
      <c r="Q841" s="66">
        <v>1</v>
      </c>
      <c r="R841" s="66">
        <v>305</v>
      </c>
      <c r="S841" s="66"/>
    </row>
    <row r="842" spans="1:19" x14ac:dyDescent="0.25">
      <c r="A842" s="15">
        <v>42</v>
      </c>
      <c r="B842" s="66"/>
      <c r="C842" s="66">
        <v>2429</v>
      </c>
      <c r="D842" s="66"/>
      <c r="E842" s="66" t="s">
        <v>763</v>
      </c>
      <c r="F842" s="66">
        <v>8</v>
      </c>
      <c r="G842" s="66"/>
      <c r="H842" s="66"/>
      <c r="I842" s="66">
        <v>21.583333333333332</v>
      </c>
      <c r="J842" s="66" t="s">
        <v>850</v>
      </c>
      <c r="K842" s="66"/>
      <c r="L842" s="66"/>
      <c r="M842" s="66"/>
      <c r="N842" s="66"/>
      <c r="O842" s="66" t="s">
        <v>852</v>
      </c>
      <c r="P842" s="66"/>
      <c r="Q842" s="66">
        <v>1</v>
      </c>
      <c r="R842" s="66">
        <v>448</v>
      </c>
      <c r="S842" s="66"/>
    </row>
    <row r="843" spans="1:19" x14ac:dyDescent="0.25">
      <c r="A843" s="15">
        <v>42</v>
      </c>
      <c r="B843" s="66"/>
      <c r="C843" s="66">
        <v>2429</v>
      </c>
      <c r="D843" s="66"/>
      <c r="E843" s="66" t="s">
        <v>763</v>
      </c>
      <c r="F843" s="66">
        <v>1</v>
      </c>
      <c r="G843" s="66"/>
      <c r="H843" s="66" t="e">
        <v>#N/A</v>
      </c>
      <c r="I843" s="66"/>
      <c r="J843" s="66" t="s">
        <v>870</v>
      </c>
      <c r="K843" s="66" t="s">
        <v>757</v>
      </c>
      <c r="L843" s="66" t="s">
        <v>757</v>
      </c>
      <c r="M843" s="66" t="s">
        <v>757</v>
      </c>
      <c r="N843" s="66" t="s">
        <v>757</v>
      </c>
      <c r="O843" s="66" t="s">
        <v>869</v>
      </c>
      <c r="P843" s="66"/>
      <c r="Q843" s="66">
        <v>1</v>
      </c>
      <c r="R843" s="66">
        <v>680</v>
      </c>
      <c r="S843" s="66"/>
    </row>
    <row r="844" spans="1:19" x14ac:dyDescent="0.25">
      <c r="A844" s="15">
        <v>42</v>
      </c>
      <c r="B844" s="66"/>
      <c r="C844" s="66">
        <v>2429</v>
      </c>
      <c r="D844" s="66"/>
      <c r="E844" s="66" t="s">
        <v>763</v>
      </c>
      <c r="F844" s="66">
        <v>0</v>
      </c>
      <c r="G844" s="66"/>
      <c r="H844" s="66">
        <v>3</v>
      </c>
      <c r="I844" s="66" t="e">
        <v>#N/A</v>
      </c>
      <c r="J844" s="66" t="s">
        <v>870</v>
      </c>
      <c r="K844" s="66"/>
      <c r="L844" s="66"/>
      <c r="M844" s="66"/>
      <c r="N844" s="66"/>
      <c r="O844" s="66" t="s">
        <v>882</v>
      </c>
      <c r="P844" s="66"/>
      <c r="Q844" s="66">
        <v>1</v>
      </c>
      <c r="R844" s="66">
        <v>907</v>
      </c>
      <c r="S844" s="66"/>
    </row>
    <row r="845" spans="1:19" x14ac:dyDescent="0.25">
      <c r="A845" s="15">
        <v>42</v>
      </c>
      <c r="B845" s="66"/>
      <c r="C845" s="66">
        <v>2429</v>
      </c>
      <c r="D845" s="66"/>
      <c r="E845" s="66" t="s">
        <v>763</v>
      </c>
      <c r="F845" s="66">
        <v>3</v>
      </c>
      <c r="G845" s="66"/>
      <c r="H845" s="66">
        <v>3</v>
      </c>
      <c r="I845" s="66" t="e">
        <v>#N/A</v>
      </c>
      <c r="J845" s="66" t="s">
        <v>870</v>
      </c>
      <c r="K845" s="66"/>
      <c r="L845" s="66"/>
      <c r="M845" s="66"/>
      <c r="N845" s="66"/>
      <c r="O845" s="66" t="s">
        <v>894</v>
      </c>
      <c r="P845" s="66"/>
      <c r="Q845" s="66">
        <v>1</v>
      </c>
      <c r="R845" s="66">
        <v>1134</v>
      </c>
      <c r="S845" s="66"/>
    </row>
    <row r="846" spans="1:19" x14ac:dyDescent="0.25">
      <c r="A846" s="15">
        <v>42</v>
      </c>
      <c r="B846" s="66"/>
      <c r="C846" s="66">
        <v>2429</v>
      </c>
      <c r="D846" s="66"/>
      <c r="E846" s="66" t="s">
        <v>763</v>
      </c>
      <c r="F846" s="66">
        <v>3</v>
      </c>
      <c r="G846" s="66"/>
      <c r="H846" s="66" t="e">
        <v>#N/A</v>
      </c>
      <c r="I846" s="66"/>
      <c r="J846" s="66" t="s">
        <v>870</v>
      </c>
      <c r="K846" s="66"/>
      <c r="L846" s="66"/>
      <c r="M846" s="66"/>
      <c r="N846" s="66"/>
      <c r="O846" s="66" t="s">
        <v>906</v>
      </c>
      <c r="P846" s="66"/>
      <c r="Q846" s="66">
        <v>1</v>
      </c>
      <c r="R846" s="66">
        <v>1285</v>
      </c>
      <c r="S846" s="66"/>
    </row>
    <row r="847" spans="1:19" x14ac:dyDescent="0.25">
      <c r="A847" s="15">
        <v>42</v>
      </c>
      <c r="B847" s="66"/>
      <c r="C847" s="66">
        <v>2429</v>
      </c>
      <c r="D847" s="66"/>
      <c r="E847" s="66" t="s">
        <v>763</v>
      </c>
      <c r="F847" s="66">
        <v>5</v>
      </c>
      <c r="G847" s="66"/>
      <c r="H847" s="66" t="e">
        <v>#N/A</v>
      </c>
      <c r="I847" s="66"/>
      <c r="J847" s="66" t="s">
        <v>870</v>
      </c>
      <c r="K847" s="66"/>
      <c r="L847" s="66"/>
      <c r="M847" s="66"/>
      <c r="N847" s="66"/>
      <c r="O847" s="66" t="s">
        <v>908</v>
      </c>
      <c r="P847" s="66"/>
      <c r="Q847" s="66">
        <v>1</v>
      </c>
      <c r="R847" s="66">
        <v>1428</v>
      </c>
      <c r="S847" s="66"/>
    </row>
    <row r="848" spans="1:19" x14ac:dyDescent="0.25">
      <c r="A848" s="15">
        <v>43</v>
      </c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</row>
    <row r="849" spans="1:19" x14ac:dyDescent="0.25">
      <c r="A849" s="15">
        <v>43</v>
      </c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 t="s">
        <v>801</v>
      </c>
      <c r="P849" s="66"/>
      <c r="Q849" s="66"/>
      <c r="R849" s="66"/>
      <c r="S849" s="66"/>
    </row>
    <row r="850" spans="1:19" x14ac:dyDescent="0.25">
      <c r="A850" s="15">
        <v>43</v>
      </c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 t="s">
        <v>836</v>
      </c>
      <c r="P850" s="66"/>
      <c r="Q850" s="66"/>
      <c r="R850" s="66"/>
      <c r="S850" s="66"/>
    </row>
    <row r="851" spans="1:19" x14ac:dyDescent="0.25">
      <c r="A851" s="15">
        <v>43</v>
      </c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 t="s">
        <v>842</v>
      </c>
      <c r="P851" s="66"/>
      <c r="Q851" s="66"/>
      <c r="R851" s="66"/>
      <c r="S851" s="66"/>
    </row>
    <row r="852" spans="1:19" x14ac:dyDescent="0.25">
      <c r="A852" s="15">
        <v>43</v>
      </c>
      <c r="B852" s="66"/>
      <c r="C852" s="66" t="s">
        <v>77</v>
      </c>
      <c r="D852" s="66"/>
      <c r="E852" s="66" t="s">
        <v>763</v>
      </c>
      <c r="F852" s="66">
        <v>8</v>
      </c>
      <c r="G852" s="66"/>
      <c r="H852" s="66">
        <v>7</v>
      </c>
      <c r="I852" s="66">
        <v>6.666666666666667</v>
      </c>
      <c r="J852" s="66" t="s">
        <v>850</v>
      </c>
      <c r="K852" s="66"/>
      <c r="L852" s="66"/>
      <c r="M852" s="66"/>
      <c r="N852" s="66"/>
      <c r="O852" s="66" t="s">
        <v>849</v>
      </c>
      <c r="P852" s="66"/>
      <c r="Q852" s="66">
        <v>1</v>
      </c>
      <c r="R852" s="66">
        <v>306</v>
      </c>
      <c r="S852" s="66"/>
    </row>
    <row r="853" spans="1:19" x14ac:dyDescent="0.25">
      <c r="A853" s="15">
        <v>43</v>
      </c>
      <c r="B853" s="66"/>
      <c r="C853" s="66">
        <v>2429</v>
      </c>
      <c r="D853" s="66"/>
      <c r="E853" s="66" t="s">
        <v>763</v>
      </c>
      <c r="F853" s="66">
        <v>8</v>
      </c>
      <c r="G853" s="66"/>
      <c r="H853" s="66"/>
      <c r="I853" s="66">
        <v>19.583333333333332</v>
      </c>
      <c r="J853" s="66" t="s">
        <v>850</v>
      </c>
      <c r="K853" s="66"/>
      <c r="L853" s="66"/>
      <c r="M853" s="66"/>
      <c r="N853" s="66"/>
      <c r="O853" s="66" t="s">
        <v>852</v>
      </c>
      <c r="P853" s="66"/>
      <c r="Q853" s="66">
        <v>1</v>
      </c>
      <c r="R853" s="66">
        <v>449</v>
      </c>
      <c r="S853" s="66"/>
    </row>
    <row r="854" spans="1:19" x14ac:dyDescent="0.25">
      <c r="A854" s="15">
        <v>43</v>
      </c>
      <c r="B854" s="66"/>
      <c r="C854" s="66">
        <v>2429</v>
      </c>
      <c r="D854" s="66"/>
      <c r="E854" s="66" t="s">
        <v>763</v>
      </c>
      <c r="F854" s="66">
        <v>1</v>
      </c>
      <c r="G854" s="66"/>
      <c r="H854" s="66" t="e">
        <v>#N/A</v>
      </c>
      <c r="I854" s="66"/>
      <c r="J854" s="66" t="s">
        <v>870</v>
      </c>
      <c r="K854" s="66" t="s">
        <v>757</v>
      </c>
      <c r="L854" s="66" t="s">
        <v>757</v>
      </c>
      <c r="M854" s="66" t="s">
        <v>757</v>
      </c>
      <c r="N854" s="66" t="s">
        <v>757</v>
      </c>
      <c r="O854" s="66" t="s">
        <v>869</v>
      </c>
      <c r="P854" s="66"/>
      <c r="Q854" s="66">
        <v>1</v>
      </c>
      <c r="R854" s="66">
        <v>681</v>
      </c>
      <c r="S854" s="66"/>
    </row>
    <row r="855" spans="1:19" x14ac:dyDescent="0.25">
      <c r="A855" s="15">
        <v>43</v>
      </c>
      <c r="B855" s="66"/>
      <c r="C855" s="66">
        <v>2429</v>
      </c>
      <c r="D855" s="66"/>
      <c r="E855" s="66" t="s">
        <v>763</v>
      </c>
      <c r="F855" s="66">
        <v>0</v>
      </c>
      <c r="G855" s="66"/>
      <c r="H855" s="66">
        <v>3</v>
      </c>
      <c r="I855" s="66" t="e">
        <v>#N/A</v>
      </c>
      <c r="J855" s="66" t="s">
        <v>870</v>
      </c>
      <c r="K855" s="66"/>
      <c r="L855" s="66"/>
      <c r="M855" s="66"/>
      <c r="N855" s="66"/>
      <c r="O855" s="66" t="s">
        <v>882</v>
      </c>
      <c r="P855" s="66"/>
      <c r="Q855" s="66">
        <v>1</v>
      </c>
      <c r="R855" s="66">
        <v>908</v>
      </c>
      <c r="S855" s="66"/>
    </row>
    <row r="856" spans="1:19" x14ac:dyDescent="0.25">
      <c r="A856" s="15">
        <v>43</v>
      </c>
      <c r="B856" s="66"/>
      <c r="C856" s="66">
        <v>2429</v>
      </c>
      <c r="D856" s="66"/>
      <c r="E856" s="66" t="s">
        <v>763</v>
      </c>
      <c r="F856" s="66">
        <v>3</v>
      </c>
      <c r="G856" s="66"/>
      <c r="H856" s="66">
        <v>3</v>
      </c>
      <c r="I856" s="66" t="e">
        <v>#N/A</v>
      </c>
      <c r="J856" s="66" t="s">
        <v>870</v>
      </c>
      <c r="K856" s="66"/>
      <c r="L856" s="66"/>
      <c r="M856" s="66"/>
      <c r="N856" s="66"/>
      <c r="O856" s="66" t="s">
        <v>894</v>
      </c>
      <c r="P856" s="66"/>
      <c r="Q856" s="66">
        <v>1</v>
      </c>
      <c r="R856" s="66">
        <v>1135</v>
      </c>
      <c r="S856" s="66"/>
    </row>
    <row r="857" spans="1:19" x14ac:dyDescent="0.25">
      <c r="A857" s="15">
        <v>43</v>
      </c>
      <c r="B857" s="66"/>
      <c r="C857" s="66">
        <v>2429</v>
      </c>
      <c r="D857" s="66"/>
      <c r="E857" s="66" t="s">
        <v>763</v>
      </c>
      <c r="F857" s="66">
        <v>3</v>
      </c>
      <c r="G857" s="66"/>
      <c r="H857" s="66" t="e">
        <v>#N/A</v>
      </c>
      <c r="I857" s="66"/>
      <c r="J857" s="66" t="s">
        <v>870</v>
      </c>
      <c r="K857" s="66"/>
      <c r="L857" s="66"/>
      <c r="M857" s="66"/>
      <c r="N857" s="66"/>
      <c r="O857" s="66" t="s">
        <v>906</v>
      </c>
      <c r="P857" s="66"/>
      <c r="Q857" s="66">
        <v>1</v>
      </c>
      <c r="R857" s="66">
        <v>1286</v>
      </c>
      <c r="S857" s="66"/>
    </row>
    <row r="858" spans="1:19" x14ac:dyDescent="0.25">
      <c r="A858" s="15">
        <v>43</v>
      </c>
      <c r="B858" s="66"/>
      <c r="C858" s="66">
        <v>2429</v>
      </c>
      <c r="D858" s="66"/>
      <c r="E858" s="66" t="s">
        <v>763</v>
      </c>
      <c r="F858" s="66">
        <v>5</v>
      </c>
      <c r="G858" s="66"/>
      <c r="H858" s="66" t="e">
        <v>#N/A</v>
      </c>
      <c r="I858" s="66"/>
      <c r="J858" s="66" t="s">
        <v>870</v>
      </c>
      <c r="K858" s="66"/>
      <c r="L858" s="66"/>
      <c r="M858" s="66"/>
      <c r="N858" s="66"/>
      <c r="O858" s="66" t="s">
        <v>908</v>
      </c>
      <c r="P858" s="66"/>
      <c r="Q858" s="66">
        <v>1</v>
      </c>
      <c r="R858" s="66">
        <v>1429</v>
      </c>
      <c r="S858" s="66"/>
    </row>
    <row r="859" spans="1:19" x14ac:dyDescent="0.25">
      <c r="A859" s="15">
        <v>44</v>
      </c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</row>
    <row r="860" spans="1:19" x14ac:dyDescent="0.25">
      <c r="A860" s="15">
        <v>44</v>
      </c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 t="s">
        <v>802</v>
      </c>
      <c r="P860" s="66"/>
      <c r="Q860" s="66"/>
      <c r="R860" s="66"/>
      <c r="S860" s="66"/>
    </row>
    <row r="861" spans="1:19" x14ac:dyDescent="0.25">
      <c r="A861" s="15">
        <v>44</v>
      </c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 t="s">
        <v>836</v>
      </c>
      <c r="P861" s="66"/>
      <c r="Q861" s="66"/>
      <c r="R861" s="66"/>
      <c r="S861" s="66"/>
    </row>
    <row r="862" spans="1:19" x14ac:dyDescent="0.25">
      <c r="A862" s="15">
        <v>44</v>
      </c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 t="s">
        <v>842</v>
      </c>
      <c r="P862" s="66"/>
      <c r="Q862" s="66"/>
      <c r="R862" s="66"/>
      <c r="S862" s="66"/>
    </row>
    <row r="863" spans="1:19" x14ac:dyDescent="0.25">
      <c r="A863" s="15">
        <v>44</v>
      </c>
      <c r="B863" s="66"/>
      <c r="C863" s="66" t="s">
        <v>77</v>
      </c>
      <c r="D863" s="66"/>
      <c r="E863" s="66" t="s">
        <v>763</v>
      </c>
      <c r="F863" s="66">
        <v>8</v>
      </c>
      <c r="G863" s="66"/>
      <c r="H863" s="66">
        <v>7</v>
      </c>
      <c r="I863" s="66">
        <v>7.666666666666667</v>
      </c>
      <c r="J863" s="66" t="s">
        <v>850</v>
      </c>
      <c r="K863" s="66"/>
      <c r="L863" s="66"/>
      <c r="M863" s="66"/>
      <c r="N863" s="66"/>
      <c r="O863" s="66" t="s">
        <v>849</v>
      </c>
      <c r="P863" s="66"/>
      <c r="Q863" s="66">
        <v>1</v>
      </c>
      <c r="R863" s="66">
        <v>307</v>
      </c>
      <c r="S863" s="66"/>
    </row>
    <row r="864" spans="1:19" x14ac:dyDescent="0.25">
      <c r="A864" s="15">
        <v>44</v>
      </c>
      <c r="B864" s="66"/>
      <c r="C864" s="66">
        <v>2429</v>
      </c>
      <c r="D864" s="66"/>
      <c r="E864" s="66" t="s">
        <v>763</v>
      </c>
      <c r="F864" s="66">
        <v>8</v>
      </c>
      <c r="G864" s="66"/>
      <c r="H864" s="66"/>
      <c r="I864" s="66">
        <v>19.583333333333332</v>
      </c>
      <c r="J864" s="66" t="s">
        <v>850</v>
      </c>
      <c r="K864" s="66"/>
      <c r="L864" s="66"/>
      <c r="M864" s="66"/>
      <c r="N864" s="66"/>
      <c r="O864" s="66" t="s">
        <v>852</v>
      </c>
      <c r="P864" s="66"/>
      <c r="Q864" s="66">
        <v>1</v>
      </c>
      <c r="R864" s="66">
        <v>450</v>
      </c>
      <c r="S864" s="66"/>
    </row>
    <row r="865" spans="1:19" x14ac:dyDescent="0.25">
      <c r="A865" s="15">
        <v>44</v>
      </c>
      <c r="B865" s="66"/>
      <c r="C865" s="66">
        <v>2429</v>
      </c>
      <c r="D865" s="66"/>
      <c r="E865" s="66" t="s">
        <v>763</v>
      </c>
      <c r="F865" s="66">
        <v>1</v>
      </c>
      <c r="G865" s="66"/>
      <c r="H865" s="66" t="e">
        <v>#N/A</v>
      </c>
      <c r="I865" s="66"/>
      <c r="J865" s="66" t="s">
        <v>870</v>
      </c>
      <c r="K865" s="66" t="s">
        <v>757</v>
      </c>
      <c r="L865" s="66" t="s">
        <v>757</v>
      </c>
      <c r="M865" s="66" t="s">
        <v>757</v>
      </c>
      <c r="N865" s="66" t="s">
        <v>757</v>
      </c>
      <c r="O865" s="66" t="s">
        <v>869</v>
      </c>
      <c r="P865" s="66"/>
      <c r="Q865" s="66">
        <v>1</v>
      </c>
      <c r="R865" s="66">
        <v>682</v>
      </c>
      <c r="S865" s="66"/>
    </row>
    <row r="866" spans="1:19" x14ac:dyDescent="0.25">
      <c r="A866" s="15">
        <v>44</v>
      </c>
      <c r="B866" s="66"/>
      <c r="C866" s="66">
        <v>2429</v>
      </c>
      <c r="D866" s="66"/>
      <c r="E866" s="66" t="s">
        <v>763</v>
      </c>
      <c r="F866" s="66">
        <v>0</v>
      </c>
      <c r="G866" s="66"/>
      <c r="H866" s="66">
        <v>3</v>
      </c>
      <c r="I866" s="66" t="e">
        <v>#N/A</v>
      </c>
      <c r="J866" s="66" t="s">
        <v>870</v>
      </c>
      <c r="K866" s="66"/>
      <c r="L866" s="66"/>
      <c r="M866" s="66"/>
      <c r="N866" s="66"/>
      <c r="O866" s="66" t="s">
        <v>882</v>
      </c>
      <c r="P866" s="66"/>
      <c r="Q866" s="66">
        <v>1</v>
      </c>
      <c r="R866" s="66">
        <v>909</v>
      </c>
      <c r="S866" s="66"/>
    </row>
    <row r="867" spans="1:19" x14ac:dyDescent="0.25">
      <c r="A867" s="15">
        <v>44</v>
      </c>
      <c r="B867" s="66"/>
      <c r="C867" s="66">
        <v>2429</v>
      </c>
      <c r="D867" s="66"/>
      <c r="E867" s="66" t="s">
        <v>763</v>
      </c>
      <c r="F867" s="66">
        <v>3</v>
      </c>
      <c r="G867" s="66"/>
      <c r="H867" s="66">
        <v>3</v>
      </c>
      <c r="I867" s="66" t="e">
        <v>#N/A</v>
      </c>
      <c r="J867" s="66" t="s">
        <v>870</v>
      </c>
      <c r="K867" s="66"/>
      <c r="L867" s="66"/>
      <c r="M867" s="66"/>
      <c r="N867" s="66"/>
      <c r="O867" s="66" t="s">
        <v>894</v>
      </c>
      <c r="P867" s="66"/>
      <c r="Q867" s="66">
        <v>1</v>
      </c>
      <c r="R867" s="66">
        <v>1136</v>
      </c>
      <c r="S867" s="66"/>
    </row>
    <row r="868" spans="1:19" x14ac:dyDescent="0.25">
      <c r="A868" s="15">
        <v>44</v>
      </c>
      <c r="B868" s="66"/>
      <c r="C868" s="66">
        <v>2429</v>
      </c>
      <c r="D868" s="66"/>
      <c r="E868" s="66" t="s">
        <v>763</v>
      </c>
      <c r="F868" s="66">
        <v>3</v>
      </c>
      <c r="G868" s="66"/>
      <c r="H868" s="66" t="e">
        <v>#N/A</v>
      </c>
      <c r="I868" s="66"/>
      <c r="J868" s="66" t="s">
        <v>870</v>
      </c>
      <c r="K868" s="66"/>
      <c r="L868" s="66"/>
      <c r="M868" s="66"/>
      <c r="N868" s="66"/>
      <c r="O868" s="66" t="s">
        <v>906</v>
      </c>
      <c r="P868" s="66"/>
      <c r="Q868" s="66">
        <v>1</v>
      </c>
      <c r="R868" s="66">
        <v>1287</v>
      </c>
      <c r="S868" s="66"/>
    </row>
    <row r="869" spans="1:19" x14ac:dyDescent="0.25">
      <c r="A869" s="15">
        <v>44</v>
      </c>
      <c r="B869" s="66"/>
      <c r="C869" s="66">
        <v>2429</v>
      </c>
      <c r="D869" s="66"/>
      <c r="E869" s="66" t="s">
        <v>763</v>
      </c>
      <c r="F869" s="66">
        <v>5</v>
      </c>
      <c r="G869" s="66"/>
      <c r="H869" s="66" t="e">
        <v>#N/A</v>
      </c>
      <c r="I869" s="66"/>
      <c r="J869" s="66" t="s">
        <v>870</v>
      </c>
      <c r="K869" s="66"/>
      <c r="L869" s="66"/>
      <c r="M869" s="66"/>
      <c r="N869" s="66"/>
      <c r="O869" s="66" t="s">
        <v>908</v>
      </c>
      <c r="P869" s="66"/>
      <c r="Q869" s="66">
        <v>1</v>
      </c>
      <c r="R869" s="66">
        <v>1430</v>
      </c>
      <c r="S869" s="66"/>
    </row>
    <row r="870" spans="1:19" x14ac:dyDescent="0.25">
      <c r="A870" s="15">
        <v>45</v>
      </c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</row>
    <row r="871" spans="1:19" x14ac:dyDescent="0.25">
      <c r="A871" s="15">
        <v>45</v>
      </c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 t="s">
        <v>803</v>
      </c>
      <c r="P871" s="66"/>
      <c r="Q871" s="66"/>
      <c r="R871" s="66"/>
      <c r="S871" s="66"/>
    </row>
    <row r="872" spans="1:19" x14ac:dyDescent="0.25">
      <c r="A872" s="15">
        <v>45</v>
      </c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 t="s">
        <v>837</v>
      </c>
      <c r="P872" s="66"/>
      <c r="Q872" s="66"/>
      <c r="R872" s="66"/>
      <c r="S872" s="66"/>
    </row>
    <row r="873" spans="1:19" x14ac:dyDescent="0.25">
      <c r="A873" s="15">
        <v>45</v>
      </c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 t="s">
        <v>845</v>
      </c>
      <c r="P873" s="66"/>
      <c r="Q873" s="66"/>
      <c r="R873" s="66"/>
      <c r="S873" s="66"/>
    </row>
    <row r="874" spans="1:19" x14ac:dyDescent="0.25">
      <c r="A874" s="15">
        <v>45</v>
      </c>
      <c r="B874" s="66"/>
      <c r="C874" s="66" t="s">
        <v>77</v>
      </c>
      <c r="D874" s="66"/>
      <c r="E874" s="66" t="s">
        <v>763</v>
      </c>
      <c r="F874" s="66">
        <v>10</v>
      </c>
      <c r="G874" s="66"/>
      <c r="H874" s="66">
        <v>10</v>
      </c>
      <c r="I874" s="66">
        <v>12.583333333333332</v>
      </c>
      <c r="J874" s="66" t="s">
        <v>850</v>
      </c>
      <c r="K874" s="66"/>
      <c r="L874" s="66"/>
      <c r="M874" s="66"/>
      <c r="N874" s="66"/>
      <c r="O874" s="66" t="s">
        <v>849</v>
      </c>
      <c r="P874" s="66"/>
      <c r="Q874" s="66">
        <v>1</v>
      </c>
      <c r="R874" s="66">
        <v>308</v>
      </c>
      <c r="S874" s="66"/>
    </row>
    <row r="875" spans="1:19" x14ac:dyDescent="0.25">
      <c r="A875" s="15">
        <v>45</v>
      </c>
      <c r="B875" s="66"/>
      <c r="C875" s="66">
        <v>2429</v>
      </c>
      <c r="D875" s="66"/>
      <c r="E875" s="66" t="s">
        <v>763</v>
      </c>
      <c r="F875" s="66">
        <v>10</v>
      </c>
      <c r="G875" s="66"/>
      <c r="H875" s="66"/>
      <c r="I875" s="66">
        <v>26.666666666666668</v>
      </c>
      <c r="J875" s="66" t="s">
        <v>850</v>
      </c>
      <c r="K875" s="66"/>
      <c r="L875" s="66"/>
      <c r="M875" s="66"/>
      <c r="N875" s="66"/>
      <c r="O875" s="66" t="s">
        <v>852</v>
      </c>
      <c r="P875" s="66"/>
      <c r="Q875" s="66">
        <v>1</v>
      </c>
      <c r="R875" s="66">
        <v>451</v>
      </c>
      <c r="S875" s="66"/>
    </row>
    <row r="876" spans="1:19" x14ac:dyDescent="0.25">
      <c r="A876" s="15">
        <v>45</v>
      </c>
      <c r="B876" s="66"/>
      <c r="C876" s="66">
        <v>2429</v>
      </c>
      <c r="D876" s="66"/>
      <c r="E876" s="66" t="s">
        <v>763</v>
      </c>
      <c r="F876" s="66">
        <v>10</v>
      </c>
      <c r="G876" s="66"/>
      <c r="H876" s="66"/>
      <c r="I876" s="66">
        <v>15.666666666666666</v>
      </c>
      <c r="J876" s="66" t="s">
        <v>850</v>
      </c>
      <c r="K876" s="66"/>
      <c r="L876" s="66"/>
      <c r="M876" s="66"/>
      <c r="N876" s="66"/>
      <c r="O876" s="66" t="s">
        <v>853</v>
      </c>
      <c r="P876" s="66"/>
      <c r="Q876" s="66">
        <v>1</v>
      </c>
      <c r="R876" s="66">
        <v>452</v>
      </c>
      <c r="S876" s="66"/>
    </row>
    <row r="877" spans="1:19" x14ac:dyDescent="0.25">
      <c r="A877" s="15">
        <v>45</v>
      </c>
      <c r="B877" s="66"/>
      <c r="C877" s="66">
        <v>2429</v>
      </c>
      <c r="D877" s="66"/>
      <c r="E877" s="66" t="s">
        <v>763</v>
      </c>
      <c r="F877" s="66">
        <v>6</v>
      </c>
      <c r="G877" s="66"/>
      <c r="H877" s="66"/>
      <c r="I877" s="66">
        <v>15.666666666666666</v>
      </c>
      <c r="J877" s="66" t="s">
        <v>850</v>
      </c>
      <c r="K877" s="66"/>
      <c r="L877" s="66"/>
      <c r="M877" s="66"/>
      <c r="N877" s="66"/>
      <c r="O877" s="66" t="s">
        <v>854</v>
      </c>
      <c r="P877" s="66"/>
      <c r="Q877" s="66">
        <v>1</v>
      </c>
      <c r="R877" s="66">
        <v>453</v>
      </c>
      <c r="S877" s="66"/>
    </row>
    <row r="878" spans="1:19" x14ac:dyDescent="0.25">
      <c r="A878" s="15">
        <v>45</v>
      </c>
      <c r="B878" s="66"/>
      <c r="C878" s="66">
        <v>2429</v>
      </c>
      <c r="D878" s="66"/>
      <c r="E878" s="66" t="s">
        <v>763</v>
      </c>
      <c r="F878" s="66">
        <v>6</v>
      </c>
      <c r="G878" s="66"/>
      <c r="H878" s="66"/>
      <c r="I878" s="66">
        <v>15.666666666666666</v>
      </c>
      <c r="J878" s="66" t="s">
        <v>850</v>
      </c>
      <c r="K878" s="66"/>
      <c r="L878" s="66"/>
      <c r="M878" s="66"/>
      <c r="N878" s="66"/>
      <c r="O878" s="66" t="s">
        <v>855</v>
      </c>
      <c r="P878" s="66"/>
      <c r="Q878" s="66">
        <v>1</v>
      </c>
      <c r="R878" s="66">
        <v>454</v>
      </c>
      <c r="S878" s="66"/>
    </row>
    <row r="879" spans="1:19" x14ac:dyDescent="0.25">
      <c r="A879" s="15">
        <v>45</v>
      </c>
      <c r="B879" s="66"/>
      <c r="C879" s="66">
        <v>2429</v>
      </c>
      <c r="D879" s="66"/>
      <c r="E879" s="66" t="s">
        <v>763</v>
      </c>
      <c r="F879" s="66">
        <v>6</v>
      </c>
      <c r="G879" s="66"/>
      <c r="H879" s="66"/>
      <c r="I879" s="66">
        <v>15.666666666666666</v>
      </c>
      <c r="J879" s="66" t="s">
        <v>850</v>
      </c>
      <c r="K879" s="66"/>
      <c r="L879" s="66"/>
      <c r="M879" s="66"/>
      <c r="N879" s="66"/>
      <c r="O879" s="66" t="s">
        <v>856</v>
      </c>
      <c r="P879" s="66"/>
      <c r="Q879" s="66">
        <v>1</v>
      </c>
      <c r="R879" s="66">
        <v>455</v>
      </c>
      <c r="S879" s="66"/>
    </row>
    <row r="880" spans="1:19" x14ac:dyDescent="0.25">
      <c r="A880" s="15">
        <v>45</v>
      </c>
      <c r="B880" s="66"/>
      <c r="C880" s="66">
        <v>2429</v>
      </c>
      <c r="D880" s="66"/>
      <c r="E880" s="66" t="s">
        <v>763</v>
      </c>
      <c r="F880" s="66">
        <v>6</v>
      </c>
      <c r="G880" s="66"/>
      <c r="H880" s="66"/>
      <c r="I880" s="66">
        <v>15.666666666666666</v>
      </c>
      <c r="J880" s="66" t="s">
        <v>850</v>
      </c>
      <c r="K880" s="66"/>
      <c r="L880" s="66"/>
      <c r="M880" s="66"/>
      <c r="N880" s="66"/>
      <c r="O880" s="66" t="s">
        <v>857</v>
      </c>
      <c r="P880" s="66"/>
      <c r="Q880" s="66">
        <v>1</v>
      </c>
      <c r="R880" s="66">
        <v>456</v>
      </c>
      <c r="S880" s="66"/>
    </row>
    <row r="881" spans="1:19" x14ac:dyDescent="0.25">
      <c r="A881" s="15">
        <v>45</v>
      </c>
      <c r="B881" s="66"/>
      <c r="C881" s="66">
        <v>2429</v>
      </c>
      <c r="D881" s="66"/>
      <c r="E881" s="66" t="s">
        <v>763</v>
      </c>
      <c r="F881" s="66">
        <v>6</v>
      </c>
      <c r="G881" s="66"/>
      <c r="H881" s="66"/>
      <c r="I881" s="66">
        <v>15.666666666666666</v>
      </c>
      <c r="J881" s="66" t="s">
        <v>850</v>
      </c>
      <c r="K881" s="66"/>
      <c r="L881" s="66"/>
      <c r="M881" s="66"/>
      <c r="N881" s="66"/>
      <c r="O881" s="66" t="s">
        <v>858</v>
      </c>
      <c r="P881" s="66"/>
      <c r="Q881" s="66">
        <v>1</v>
      </c>
      <c r="R881" s="66">
        <v>457</v>
      </c>
      <c r="S881" s="66"/>
    </row>
    <row r="882" spans="1:19" x14ac:dyDescent="0.25">
      <c r="A882" s="15">
        <v>45</v>
      </c>
      <c r="B882" s="66"/>
      <c r="C882" s="66">
        <v>2429</v>
      </c>
      <c r="D882" s="66"/>
      <c r="E882" s="66" t="s">
        <v>763</v>
      </c>
      <c r="F882" s="66">
        <v>6</v>
      </c>
      <c r="G882" s="66"/>
      <c r="H882" s="66"/>
      <c r="I882" s="66">
        <v>15.666666666666666</v>
      </c>
      <c r="J882" s="66" t="s">
        <v>850</v>
      </c>
      <c r="K882" s="66"/>
      <c r="L882" s="66"/>
      <c r="M882" s="66"/>
      <c r="N882" s="66"/>
      <c r="O882" s="66" t="s">
        <v>859</v>
      </c>
      <c r="P882" s="66"/>
      <c r="Q882" s="66">
        <v>1</v>
      </c>
      <c r="R882" s="66">
        <v>458</v>
      </c>
      <c r="S882" s="66"/>
    </row>
    <row r="883" spans="1:19" x14ac:dyDescent="0.25">
      <c r="A883" s="15">
        <v>45</v>
      </c>
      <c r="B883" s="66"/>
      <c r="C883" s="66">
        <v>2429</v>
      </c>
      <c r="D883" s="66"/>
      <c r="E883" s="66" t="s">
        <v>763</v>
      </c>
      <c r="F883" s="66">
        <v>6</v>
      </c>
      <c r="G883" s="66"/>
      <c r="H883" s="66"/>
      <c r="I883" s="66">
        <v>15.666666666666666</v>
      </c>
      <c r="J883" s="66" t="s">
        <v>850</v>
      </c>
      <c r="K883" s="66"/>
      <c r="L883" s="66"/>
      <c r="M883" s="66"/>
      <c r="N883" s="66"/>
      <c r="O883" s="66" t="s">
        <v>860</v>
      </c>
      <c r="P883" s="66"/>
      <c r="Q883" s="66">
        <v>1</v>
      </c>
      <c r="R883" s="66">
        <v>459</v>
      </c>
      <c r="S883" s="66"/>
    </row>
    <row r="884" spans="1:19" x14ac:dyDescent="0.25">
      <c r="A884" s="15">
        <v>45</v>
      </c>
      <c r="B884" s="66"/>
      <c r="C884" s="66">
        <v>2429</v>
      </c>
      <c r="D884" s="66"/>
      <c r="E884" s="66" t="s">
        <v>763</v>
      </c>
      <c r="F884" s="66">
        <v>6</v>
      </c>
      <c r="G884" s="66"/>
      <c r="H884" s="66"/>
      <c r="I884" s="66">
        <v>15.666666666666666</v>
      </c>
      <c r="J884" s="66" t="s">
        <v>850</v>
      </c>
      <c r="K884" s="66"/>
      <c r="L884" s="66"/>
      <c r="M884" s="66"/>
      <c r="N884" s="66"/>
      <c r="O884" s="66" t="s">
        <v>861</v>
      </c>
      <c r="P884" s="66"/>
      <c r="Q884" s="66">
        <v>1</v>
      </c>
      <c r="R884" s="66">
        <v>460</v>
      </c>
      <c r="S884" s="66"/>
    </row>
    <row r="885" spans="1:19" x14ac:dyDescent="0.25">
      <c r="A885" s="15">
        <v>45</v>
      </c>
      <c r="B885" s="66"/>
      <c r="C885" s="66">
        <v>2429</v>
      </c>
      <c r="D885" s="66"/>
      <c r="E885" s="66" t="s">
        <v>763</v>
      </c>
      <c r="F885" s="66">
        <v>6</v>
      </c>
      <c r="G885" s="66"/>
      <c r="H885" s="66"/>
      <c r="I885" s="66">
        <v>15.666666666666666</v>
      </c>
      <c r="J885" s="66" t="s">
        <v>850</v>
      </c>
      <c r="K885" s="66"/>
      <c r="L885" s="66"/>
      <c r="M885" s="66"/>
      <c r="N885" s="66"/>
      <c r="O885" s="66" t="s">
        <v>862</v>
      </c>
      <c r="P885" s="66"/>
      <c r="Q885" s="66">
        <v>1</v>
      </c>
      <c r="R885" s="66">
        <v>461</v>
      </c>
      <c r="S885" s="66"/>
    </row>
    <row r="886" spans="1:19" x14ac:dyDescent="0.25">
      <c r="A886" s="15">
        <v>45</v>
      </c>
      <c r="B886" s="66"/>
      <c r="C886" s="66">
        <v>2429</v>
      </c>
      <c r="D886" s="66"/>
      <c r="E886" s="66" t="s">
        <v>763</v>
      </c>
      <c r="F886" s="66">
        <v>10</v>
      </c>
      <c r="G886" s="66"/>
      <c r="H886" s="66"/>
      <c r="I886" s="66">
        <v>10.583333333333334</v>
      </c>
      <c r="J886" s="66" t="s">
        <v>850</v>
      </c>
      <c r="K886" s="66"/>
      <c r="L886" s="66"/>
      <c r="M886" s="66"/>
      <c r="N886" s="66"/>
      <c r="O886" s="66" t="s">
        <v>863</v>
      </c>
      <c r="P886" s="66"/>
      <c r="Q886" s="66">
        <v>1</v>
      </c>
      <c r="R886" s="66">
        <v>462</v>
      </c>
      <c r="S886" s="66"/>
    </row>
    <row r="887" spans="1:19" x14ac:dyDescent="0.25">
      <c r="A887" s="15">
        <v>45</v>
      </c>
      <c r="B887" s="66"/>
      <c r="C887" s="66">
        <v>2429</v>
      </c>
      <c r="D887" s="66"/>
      <c r="E887" s="66" t="s">
        <v>763</v>
      </c>
      <c r="F887" s="66">
        <v>1</v>
      </c>
      <c r="G887" s="66"/>
      <c r="H887" s="66" t="e">
        <v>#N/A</v>
      </c>
      <c r="I887" s="66"/>
      <c r="J887" s="66" t="s">
        <v>870</v>
      </c>
      <c r="K887" s="66" t="s">
        <v>757</v>
      </c>
      <c r="L887" s="66" t="s">
        <v>757</v>
      </c>
      <c r="M887" s="66" t="s">
        <v>757</v>
      </c>
      <c r="N887" s="66" t="s">
        <v>757</v>
      </c>
      <c r="O887" s="66" t="s">
        <v>869</v>
      </c>
      <c r="P887" s="66"/>
      <c r="Q887" s="66">
        <v>1</v>
      </c>
      <c r="R887" s="66">
        <v>683</v>
      </c>
      <c r="S887" s="66"/>
    </row>
    <row r="888" spans="1:19" x14ac:dyDescent="0.25">
      <c r="A888" s="15">
        <v>45</v>
      </c>
      <c r="B888" s="66"/>
      <c r="C888" s="66">
        <v>2429</v>
      </c>
      <c r="D888" s="66"/>
      <c r="E888" s="66" t="s">
        <v>763</v>
      </c>
      <c r="F888" s="66">
        <v>1</v>
      </c>
      <c r="G888" s="66"/>
      <c r="H888" s="66" t="e">
        <v>#N/A</v>
      </c>
      <c r="I888" s="66"/>
      <c r="J888" s="66" t="s">
        <v>870</v>
      </c>
      <c r="K888" s="66" t="s">
        <v>757</v>
      </c>
      <c r="L888" s="66" t="s">
        <v>757</v>
      </c>
      <c r="M888" s="66" t="s">
        <v>757</v>
      </c>
      <c r="N888" s="66" t="s">
        <v>757</v>
      </c>
      <c r="O888" s="66" t="s">
        <v>871</v>
      </c>
      <c r="P888" s="66"/>
      <c r="Q888" s="66">
        <v>1</v>
      </c>
      <c r="R888" s="66">
        <v>684</v>
      </c>
      <c r="S888" s="66"/>
    </row>
    <row r="889" spans="1:19" x14ac:dyDescent="0.25">
      <c r="A889" s="15">
        <v>45</v>
      </c>
      <c r="B889" s="66"/>
      <c r="C889" s="66">
        <v>2429</v>
      </c>
      <c r="D889" s="66"/>
      <c r="E889" s="66" t="s">
        <v>763</v>
      </c>
      <c r="F889" s="66">
        <v>1</v>
      </c>
      <c r="G889" s="66"/>
      <c r="H889" s="66" t="e">
        <v>#N/A</v>
      </c>
      <c r="I889" s="66"/>
      <c r="J889" s="66" t="s">
        <v>870</v>
      </c>
      <c r="K889" s="66" t="s">
        <v>757</v>
      </c>
      <c r="L889" s="66" t="s">
        <v>757</v>
      </c>
      <c r="M889" s="66" t="s">
        <v>757</v>
      </c>
      <c r="N889" s="66" t="s">
        <v>757</v>
      </c>
      <c r="O889" s="66" t="s">
        <v>872</v>
      </c>
      <c r="P889" s="66"/>
      <c r="Q889" s="66">
        <v>1</v>
      </c>
      <c r="R889" s="66">
        <v>685</v>
      </c>
      <c r="S889" s="66"/>
    </row>
    <row r="890" spans="1:19" x14ac:dyDescent="0.25">
      <c r="A890" s="15">
        <v>45</v>
      </c>
      <c r="B890" s="66"/>
      <c r="C890" s="66">
        <v>2429</v>
      </c>
      <c r="D890" s="66"/>
      <c r="E890" s="66" t="s">
        <v>763</v>
      </c>
      <c r="F890" s="66">
        <v>1</v>
      </c>
      <c r="G890" s="66"/>
      <c r="H890" s="66" t="e">
        <v>#N/A</v>
      </c>
      <c r="I890" s="66"/>
      <c r="J890" s="66" t="s">
        <v>870</v>
      </c>
      <c r="K890" s="66" t="s">
        <v>757</v>
      </c>
      <c r="L890" s="66" t="s">
        <v>757</v>
      </c>
      <c r="M890" s="66" t="s">
        <v>757</v>
      </c>
      <c r="N890" s="66" t="s">
        <v>757</v>
      </c>
      <c r="O890" s="66" t="s">
        <v>873</v>
      </c>
      <c r="P890" s="66"/>
      <c r="Q890" s="66">
        <v>1</v>
      </c>
      <c r="R890" s="66">
        <v>686</v>
      </c>
      <c r="S890" s="66"/>
    </row>
    <row r="891" spans="1:19" x14ac:dyDescent="0.25">
      <c r="A891" s="15">
        <v>45</v>
      </c>
      <c r="B891" s="66"/>
      <c r="C891" s="66">
        <v>2429</v>
      </c>
      <c r="D891" s="66"/>
      <c r="E891" s="66" t="s">
        <v>763</v>
      </c>
      <c r="F891" s="66">
        <v>1</v>
      </c>
      <c r="G891" s="66"/>
      <c r="H891" s="66" t="e">
        <v>#N/A</v>
      </c>
      <c r="I891" s="66"/>
      <c r="J891" s="66" t="s">
        <v>870</v>
      </c>
      <c r="K891" s="66" t="s">
        <v>757</v>
      </c>
      <c r="L891" s="66" t="s">
        <v>757</v>
      </c>
      <c r="M891" s="66" t="s">
        <v>757</v>
      </c>
      <c r="N891" s="66" t="s">
        <v>757</v>
      </c>
      <c r="O891" s="66" t="s">
        <v>874</v>
      </c>
      <c r="P891" s="66"/>
      <c r="Q891" s="66">
        <v>1</v>
      </c>
      <c r="R891" s="66">
        <v>687</v>
      </c>
      <c r="S891" s="66"/>
    </row>
    <row r="892" spans="1:19" x14ac:dyDescent="0.25">
      <c r="A892" s="15">
        <v>45</v>
      </c>
      <c r="B892" s="66"/>
      <c r="C892" s="66">
        <v>2429</v>
      </c>
      <c r="D892" s="66"/>
      <c r="E892" s="66" t="s">
        <v>763</v>
      </c>
      <c r="F892" s="66">
        <v>1</v>
      </c>
      <c r="G892" s="66"/>
      <c r="H892" s="66" t="e">
        <v>#N/A</v>
      </c>
      <c r="I892" s="66"/>
      <c r="J892" s="66" t="s">
        <v>870</v>
      </c>
      <c r="K892" s="66" t="s">
        <v>757</v>
      </c>
      <c r="L892" s="66" t="s">
        <v>757</v>
      </c>
      <c r="M892" s="66" t="s">
        <v>757</v>
      </c>
      <c r="N892" s="66" t="s">
        <v>757</v>
      </c>
      <c r="O892" s="66" t="s">
        <v>875</v>
      </c>
      <c r="P892" s="66"/>
      <c r="Q892" s="66">
        <v>1</v>
      </c>
      <c r="R892" s="66">
        <v>688</v>
      </c>
      <c r="S892" s="66"/>
    </row>
    <row r="893" spans="1:19" x14ac:dyDescent="0.25">
      <c r="A893" s="15">
        <v>45</v>
      </c>
      <c r="B893" s="66"/>
      <c r="C893" s="66">
        <v>2429</v>
      </c>
      <c r="D893" s="66"/>
      <c r="E893" s="66" t="s">
        <v>763</v>
      </c>
      <c r="F893" s="66">
        <v>1</v>
      </c>
      <c r="G893" s="66"/>
      <c r="H893" s="66" t="e">
        <v>#N/A</v>
      </c>
      <c r="I893" s="66"/>
      <c r="J893" s="66" t="s">
        <v>870</v>
      </c>
      <c r="K893" s="66" t="s">
        <v>757</v>
      </c>
      <c r="L893" s="66" t="s">
        <v>757</v>
      </c>
      <c r="M893" s="66" t="s">
        <v>757</v>
      </c>
      <c r="N893" s="66" t="s">
        <v>757</v>
      </c>
      <c r="O893" s="66" t="s">
        <v>876</v>
      </c>
      <c r="P893" s="66"/>
      <c r="Q893" s="66">
        <v>1</v>
      </c>
      <c r="R893" s="66">
        <v>689</v>
      </c>
      <c r="S893" s="66"/>
    </row>
    <row r="894" spans="1:19" x14ac:dyDescent="0.25">
      <c r="A894" s="15">
        <v>45</v>
      </c>
      <c r="B894" s="66"/>
      <c r="C894" s="66">
        <v>2429</v>
      </c>
      <c r="D894" s="66"/>
      <c r="E894" s="66" t="s">
        <v>763</v>
      </c>
      <c r="F894" s="66">
        <v>1</v>
      </c>
      <c r="G894" s="66"/>
      <c r="H894" s="66" t="e">
        <v>#N/A</v>
      </c>
      <c r="I894" s="66"/>
      <c r="J894" s="66" t="s">
        <v>870</v>
      </c>
      <c r="K894" s="66" t="s">
        <v>757</v>
      </c>
      <c r="L894" s="66" t="s">
        <v>757</v>
      </c>
      <c r="M894" s="66" t="s">
        <v>757</v>
      </c>
      <c r="N894" s="66" t="s">
        <v>757</v>
      </c>
      <c r="O894" s="66" t="s">
        <v>877</v>
      </c>
      <c r="P894" s="66"/>
      <c r="Q894" s="66">
        <v>1</v>
      </c>
      <c r="R894" s="66">
        <v>690</v>
      </c>
      <c r="S894" s="66"/>
    </row>
    <row r="895" spans="1:19" x14ac:dyDescent="0.25">
      <c r="A895" s="15">
        <v>45</v>
      </c>
      <c r="B895" s="66"/>
      <c r="C895" s="66">
        <v>2429</v>
      </c>
      <c r="D895" s="66"/>
      <c r="E895" s="66" t="s">
        <v>763</v>
      </c>
      <c r="F895" s="66">
        <v>1</v>
      </c>
      <c r="G895" s="66"/>
      <c r="H895" s="66" t="e">
        <v>#N/A</v>
      </c>
      <c r="I895" s="66"/>
      <c r="J895" s="66" t="s">
        <v>870</v>
      </c>
      <c r="K895" s="66" t="s">
        <v>757</v>
      </c>
      <c r="L895" s="66" t="s">
        <v>757</v>
      </c>
      <c r="M895" s="66" t="s">
        <v>757</v>
      </c>
      <c r="N895" s="66" t="s">
        <v>757</v>
      </c>
      <c r="O895" s="66" t="s">
        <v>878</v>
      </c>
      <c r="P895" s="66"/>
      <c r="Q895" s="66">
        <v>1</v>
      </c>
      <c r="R895" s="66">
        <v>691</v>
      </c>
      <c r="S895" s="66"/>
    </row>
    <row r="896" spans="1:19" x14ac:dyDescent="0.25">
      <c r="A896" s="15">
        <v>45</v>
      </c>
      <c r="B896" s="66"/>
      <c r="C896" s="66">
        <v>2429</v>
      </c>
      <c r="D896" s="66"/>
      <c r="E896" s="66" t="s">
        <v>763</v>
      </c>
      <c r="F896" s="66">
        <v>1</v>
      </c>
      <c r="G896" s="66"/>
      <c r="H896" s="66" t="e">
        <v>#N/A</v>
      </c>
      <c r="I896" s="66"/>
      <c r="J896" s="66" t="s">
        <v>870</v>
      </c>
      <c r="K896" s="66" t="s">
        <v>757</v>
      </c>
      <c r="L896" s="66" t="s">
        <v>757</v>
      </c>
      <c r="M896" s="66" t="s">
        <v>757</v>
      </c>
      <c r="N896" s="66" t="s">
        <v>757</v>
      </c>
      <c r="O896" s="66" t="s">
        <v>879</v>
      </c>
      <c r="P896" s="66"/>
      <c r="Q896" s="66">
        <v>1</v>
      </c>
      <c r="R896" s="66">
        <v>692</v>
      </c>
      <c r="S896" s="66"/>
    </row>
    <row r="897" spans="1:19" x14ac:dyDescent="0.25">
      <c r="A897" s="15">
        <v>45</v>
      </c>
      <c r="B897" s="66"/>
      <c r="C897" s="66">
        <v>2429</v>
      </c>
      <c r="D897" s="66"/>
      <c r="E897" s="66" t="s">
        <v>763</v>
      </c>
      <c r="F897" s="66">
        <v>1</v>
      </c>
      <c r="G897" s="66"/>
      <c r="H897" s="66" t="e">
        <v>#N/A</v>
      </c>
      <c r="I897" s="66"/>
      <c r="J897" s="66" t="s">
        <v>870</v>
      </c>
      <c r="K897" s="66" t="s">
        <v>757</v>
      </c>
      <c r="L897" s="66" t="s">
        <v>757</v>
      </c>
      <c r="M897" s="66" t="s">
        <v>757</v>
      </c>
      <c r="N897" s="66" t="s">
        <v>757</v>
      </c>
      <c r="O897" s="66" t="s">
        <v>880</v>
      </c>
      <c r="P897" s="66"/>
      <c r="Q897" s="66">
        <v>1</v>
      </c>
      <c r="R897" s="66">
        <v>693</v>
      </c>
      <c r="S897" s="66"/>
    </row>
    <row r="898" spans="1:19" x14ac:dyDescent="0.25">
      <c r="A898" s="15">
        <v>45</v>
      </c>
      <c r="B898" s="66"/>
      <c r="C898" s="66">
        <v>2429</v>
      </c>
      <c r="D898" s="66"/>
      <c r="E898" s="66" t="s">
        <v>763</v>
      </c>
      <c r="F898" s="66">
        <v>1</v>
      </c>
      <c r="G898" s="66"/>
      <c r="H898" s="66" t="e">
        <v>#N/A</v>
      </c>
      <c r="I898" s="66"/>
      <c r="J898" s="66" t="s">
        <v>870</v>
      </c>
      <c r="K898" s="66" t="s">
        <v>757</v>
      </c>
      <c r="L898" s="66" t="s">
        <v>757</v>
      </c>
      <c r="M898" s="66" t="s">
        <v>757</v>
      </c>
      <c r="N898" s="66" t="s">
        <v>757</v>
      </c>
      <c r="O898" s="66" t="s">
        <v>881</v>
      </c>
      <c r="P898" s="66"/>
      <c r="Q898" s="66">
        <v>1</v>
      </c>
      <c r="R898" s="66">
        <v>694</v>
      </c>
      <c r="S898" s="66"/>
    </row>
    <row r="899" spans="1:19" x14ac:dyDescent="0.25">
      <c r="A899" s="15">
        <v>45</v>
      </c>
      <c r="B899" s="66"/>
      <c r="C899" s="66">
        <v>2429</v>
      </c>
      <c r="D899" s="66"/>
      <c r="E899" s="66" t="s">
        <v>763</v>
      </c>
      <c r="F899" s="66">
        <v>0</v>
      </c>
      <c r="G899" s="66"/>
      <c r="H899" s="66">
        <v>3</v>
      </c>
      <c r="I899" s="66" t="e">
        <v>#N/A</v>
      </c>
      <c r="J899" s="66" t="s">
        <v>870</v>
      </c>
      <c r="K899" s="66"/>
      <c r="L899" s="66"/>
      <c r="M899" s="66"/>
      <c r="N899" s="66"/>
      <c r="O899" s="66" t="s">
        <v>882</v>
      </c>
      <c r="P899" s="66"/>
      <c r="Q899" s="66">
        <v>1</v>
      </c>
      <c r="R899" s="66">
        <v>910</v>
      </c>
      <c r="S899" s="66"/>
    </row>
    <row r="900" spans="1:19" x14ac:dyDescent="0.25">
      <c r="A900" s="15">
        <v>45</v>
      </c>
      <c r="B900" s="66"/>
      <c r="C900" s="66">
        <v>2429</v>
      </c>
      <c r="D900" s="66"/>
      <c r="E900" s="66" t="s">
        <v>763</v>
      </c>
      <c r="F900" s="66">
        <v>0</v>
      </c>
      <c r="G900" s="66"/>
      <c r="H900" s="66">
        <v>3</v>
      </c>
      <c r="I900" s="66" t="e">
        <v>#N/A</v>
      </c>
      <c r="J900" s="66" t="s">
        <v>870</v>
      </c>
      <c r="K900" s="66"/>
      <c r="L900" s="66"/>
      <c r="M900" s="66"/>
      <c r="N900" s="66"/>
      <c r="O900" s="66" t="s">
        <v>883</v>
      </c>
      <c r="P900" s="66"/>
      <c r="Q900" s="66">
        <v>1</v>
      </c>
      <c r="R900" s="66">
        <v>911</v>
      </c>
      <c r="S900" s="66"/>
    </row>
    <row r="901" spans="1:19" x14ac:dyDescent="0.25">
      <c r="A901" s="15">
        <v>45</v>
      </c>
      <c r="B901" s="66"/>
      <c r="C901" s="66">
        <v>2429</v>
      </c>
      <c r="D901" s="66"/>
      <c r="E901" s="66" t="s">
        <v>763</v>
      </c>
      <c r="F901" s="66">
        <v>0</v>
      </c>
      <c r="G901" s="66"/>
      <c r="H901" s="66">
        <v>3</v>
      </c>
      <c r="I901" s="66" t="e">
        <v>#N/A</v>
      </c>
      <c r="J901" s="66" t="s">
        <v>870</v>
      </c>
      <c r="K901" s="66"/>
      <c r="L901" s="66"/>
      <c r="M901" s="66"/>
      <c r="N901" s="66"/>
      <c r="O901" s="66" t="s">
        <v>884</v>
      </c>
      <c r="P901" s="66"/>
      <c r="Q901" s="66">
        <v>1</v>
      </c>
      <c r="R901" s="66">
        <v>912</v>
      </c>
      <c r="S901" s="66"/>
    </row>
    <row r="902" spans="1:19" x14ac:dyDescent="0.25">
      <c r="A902" s="15">
        <v>45</v>
      </c>
      <c r="B902" s="66"/>
      <c r="C902" s="66">
        <v>2429</v>
      </c>
      <c r="D902" s="66"/>
      <c r="E902" s="66" t="s">
        <v>763</v>
      </c>
      <c r="F902" s="66">
        <v>0</v>
      </c>
      <c r="G902" s="66"/>
      <c r="H902" s="66">
        <v>3</v>
      </c>
      <c r="I902" s="66" t="e">
        <v>#N/A</v>
      </c>
      <c r="J902" s="66" t="s">
        <v>870</v>
      </c>
      <c r="K902" s="66"/>
      <c r="L902" s="66"/>
      <c r="M902" s="66"/>
      <c r="N902" s="66"/>
      <c r="O902" s="66" t="s">
        <v>885</v>
      </c>
      <c r="P902" s="66"/>
      <c r="Q902" s="66">
        <v>1</v>
      </c>
      <c r="R902" s="66">
        <v>913</v>
      </c>
      <c r="S902" s="66"/>
    </row>
    <row r="903" spans="1:19" x14ac:dyDescent="0.25">
      <c r="A903" s="15">
        <v>45</v>
      </c>
      <c r="B903" s="66"/>
      <c r="C903" s="66">
        <v>2429</v>
      </c>
      <c r="D903" s="66"/>
      <c r="E903" s="66" t="s">
        <v>763</v>
      </c>
      <c r="F903" s="66">
        <v>0</v>
      </c>
      <c r="G903" s="66"/>
      <c r="H903" s="66">
        <v>3</v>
      </c>
      <c r="I903" s="66" t="e">
        <v>#N/A</v>
      </c>
      <c r="J903" s="66" t="s">
        <v>870</v>
      </c>
      <c r="K903" s="66"/>
      <c r="L903" s="66"/>
      <c r="M903" s="66"/>
      <c r="N903" s="66"/>
      <c r="O903" s="66" t="s">
        <v>886</v>
      </c>
      <c r="P903" s="66"/>
      <c r="Q903" s="66">
        <v>1</v>
      </c>
      <c r="R903" s="66">
        <v>914</v>
      </c>
      <c r="S903" s="66"/>
    </row>
    <row r="904" spans="1:19" x14ac:dyDescent="0.25">
      <c r="A904" s="15">
        <v>45</v>
      </c>
      <c r="B904" s="66"/>
      <c r="C904" s="66">
        <v>2429</v>
      </c>
      <c r="D904" s="66"/>
      <c r="E904" s="66" t="s">
        <v>763</v>
      </c>
      <c r="F904" s="66">
        <v>0</v>
      </c>
      <c r="G904" s="66"/>
      <c r="H904" s="66">
        <v>3</v>
      </c>
      <c r="I904" s="66" t="e">
        <v>#N/A</v>
      </c>
      <c r="J904" s="66" t="s">
        <v>870</v>
      </c>
      <c r="K904" s="66"/>
      <c r="L904" s="66"/>
      <c r="M904" s="66"/>
      <c r="N904" s="66"/>
      <c r="O904" s="66" t="s">
        <v>887</v>
      </c>
      <c r="P904" s="66"/>
      <c r="Q904" s="66">
        <v>1</v>
      </c>
      <c r="R904" s="66">
        <v>915</v>
      </c>
      <c r="S904" s="66"/>
    </row>
    <row r="905" spans="1:19" x14ac:dyDescent="0.25">
      <c r="A905" s="15">
        <v>45</v>
      </c>
      <c r="B905" s="66"/>
      <c r="C905" s="66">
        <v>2429</v>
      </c>
      <c r="D905" s="66"/>
      <c r="E905" s="66" t="s">
        <v>763</v>
      </c>
      <c r="F905" s="66">
        <v>0</v>
      </c>
      <c r="G905" s="66"/>
      <c r="H905" s="66">
        <v>3</v>
      </c>
      <c r="I905" s="66" t="e">
        <v>#N/A</v>
      </c>
      <c r="J905" s="66" t="s">
        <v>870</v>
      </c>
      <c r="K905" s="66"/>
      <c r="L905" s="66"/>
      <c r="M905" s="66"/>
      <c r="N905" s="66"/>
      <c r="O905" s="66" t="s">
        <v>888</v>
      </c>
      <c r="P905" s="66"/>
      <c r="Q905" s="66">
        <v>1</v>
      </c>
      <c r="R905" s="66">
        <v>916</v>
      </c>
      <c r="S905" s="66"/>
    </row>
    <row r="906" spans="1:19" x14ac:dyDescent="0.25">
      <c r="A906" s="15">
        <v>45</v>
      </c>
      <c r="B906" s="66"/>
      <c r="C906" s="66">
        <v>2429</v>
      </c>
      <c r="D906" s="66"/>
      <c r="E906" s="66" t="s">
        <v>763</v>
      </c>
      <c r="F906" s="66">
        <v>0</v>
      </c>
      <c r="G906" s="66"/>
      <c r="H906" s="66">
        <v>3</v>
      </c>
      <c r="I906" s="66" t="e">
        <v>#N/A</v>
      </c>
      <c r="J906" s="66" t="s">
        <v>870</v>
      </c>
      <c r="K906" s="66"/>
      <c r="L906" s="66"/>
      <c r="M906" s="66"/>
      <c r="N906" s="66"/>
      <c r="O906" s="66" t="s">
        <v>889</v>
      </c>
      <c r="P906" s="66"/>
      <c r="Q906" s="66">
        <v>1</v>
      </c>
      <c r="R906" s="66">
        <v>917</v>
      </c>
      <c r="S906" s="66"/>
    </row>
    <row r="907" spans="1:19" x14ac:dyDescent="0.25">
      <c r="A907" s="15">
        <v>45</v>
      </c>
      <c r="B907" s="66"/>
      <c r="C907" s="66">
        <v>2429</v>
      </c>
      <c r="D907" s="66"/>
      <c r="E907" s="66" t="s">
        <v>763</v>
      </c>
      <c r="F907" s="66">
        <v>0</v>
      </c>
      <c r="G907" s="66"/>
      <c r="H907" s="66">
        <v>3</v>
      </c>
      <c r="I907" s="66" t="e">
        <v>#N/A</v>
      </c>
      <c r="J907" s="66" t="s">
        <v>870</v>
      </c>
      <c r="K907" s="66"/>
      <c r="L907" s="66"/>
      <c r="M907" s="66"/>
      <c r="N907" s="66"/>
      <c r="O907" s="66" t="s">
        <v>890</v>
      </c>
      <c r="P907" s="66"/>
      <c r="Q907" s="66">
        <v>1</v>
      </c>
      <c r="R907" s="66">
        <v>918</v>
      </c>
      <c r="S907" s="66"/>
    </row>
    <row r="908" spans="1:19" x14ac:dyDescent="0.25">
      <c r="A908" s="15">
        <v>45</v>
      </c>
      <c r="B908" s="66"/>
      <c r="C908" s="66">
        <v>2429</v>
      </c>
      <c r="D908" s="66"/>
      <c r="E908" s="66" t="s">
        <v>763</v>
      </c>
      <c r="F908" s="66">
        <v>0</v>
      </c>
      <c r="G908" s="66"/>
      <c r="H908" s="66">
        <v>3</v>
      </c>
      <c r="I908" s="66" t="e">
        <v>#N/A</v>
      </c>
      <c r="J908" s="66" t="s">
        <v>870</v>
      </c>
      <c r="K908" s="66"/>
      <c r="L908" s="66"/>
      <c r="M908" s="66"/>
      <c r="N908" s="66"/>
      <c r="O908" s="66" t="s">
        <v>891</v>
      </c>
      <c r="P908" s="66"/>
      <c r="Q908" s="66">
        <v>1</v>
      </c>
      <c r="R908" s="66">
        <v>919</v>
      </c>
      <c r="S908" s="66"/>
    </row>
    <row r="909" spans="1:19" x14ac:dyDescent="0.25">
      <c r="A909" s="15">
        <v>45</v>
      </c>
      <c r="B909" s="66"/>
      <c r="C909" s="66">
        <v>2429</v>
      </c>
      <c r="D909" s="66"/>
      <c r="E909" s="66" t="s">
        <v>763</v>
      </c>
      <c r="F909" s="66">
        <v>0</v>
      </c>
      <c r="G909" s="66"/>
      <c r="H909" s="66">
        <v>3</v>
      </c>
      <c r="I909" s="66" t="e">
        <v>#N/A</v>
      </c>
      <c r="J909" s="66" t="s">
        <v>870</v>
      </c>
      <c r="K909" s="66"/>
      <c r="L909" s="66"/>
      <c r="M909" s="66"/>
      <c r="N909" s="66"/>
      <c r="O909" s="66" t="s">
        <v>892</v>
      </c>
      <c r="P909" s="66"/>
      <c r="Q909" s="66">
        <v>1</v>
      </c>
      <c r="R909" s="66">
        <v>920</v>
      </c>
      <c r="S909" s="66"/>
    </row>
    <row r="910" spans="1:19" x14ac:dyDescent="0.25">
      <c r="A910" s="15">
        <v>45</v>
      </c>
      <c r="B910" s="66"/>
      <c r="C910" s="66">
        <v>2429</v>
      </c>
      <c r="D910" s="66"/>
      <c r="E910" s="66" t="s">
        <v>763</v>
      </c>
      <c r="F910" s="66">
        <v>0</v>
      </c>
      <c r="G910" s="66"/>
      <c r="H910" s="66">
        <v>3</v>
      </c>
      <c r="I910" s="66" t="e">
        <v>#N/A</v>
      </c>
      <c r="J910" s="66" t="s">
        <v>870</v>
      </c>
      <c r="K910" s="66"/>
      <c r="L910" s="66"/>
      <c r="M910" s="66"/>
      <c r="N910" s="66"/>
      <c r="O910" s="66" t="s">
        <v>893</v>
      </c>
      <c r="P910" s="66"/>
      <c r="Q910" s="66">
        <v>1</v>
      </c>
      <c r="R910" s="66">
        <v>921</v>
      </c>
      <c r="S910" s="66"/>
    </row>
    <row r="911" spans="1:19" x14ac:dyDescent="0.25">
      <c r="A911" s="15">
        <v>45</v>
      </c>
      <c r="B911" s="66"/>
      <c r="C911" s="66">
        <v>2429</v>
      </c>
      <c r="D911" s="66"/>
      <c r="E911" s="66" t="s">
        <v>763</v>
      </c>
      <c r="F911" s="66">
        <v>3</v>
      </c>
      <c r="G911" s="66"/>
      <c r="H911" s="66">
        <v>3</v>
      </c>
      <c r="I911" s="66" t="e">
        <v>#N/A</v>
      </c>
      <c r="J911" s="66" t="s">
        <v>870</v>
      </c>
      <c r="K911" s="66"/>
      <c r="L911" s="66"/>
      <c r="M911" s="66"/>
      <c r="N911" s="66"/>
      <c r="O911" s="66" t="s">
        <v>894</v>
      </c>
      <c r="P911" s="66"/>
      <c r="Q911" s="66">
        <v>1</v>
      </c>
      <c r="R911" s="66">
        <v>1137</v>
      </c>
      <c r="S911" s="66"/>
    </row>
    <row r="912" spans="1:19" x14ac:dyDescent="0.25">
      <c r="A912" s="15">
        <v>45</v>
      </c>
      <c r="B912" s="66"/>
      <c r="C912" s="66">
        <v>2429</v>
      </c>
      <c r="D912" s="66"/>
      <c r="E912" s="66" t="s">
        <v>763</v>
      </c>
      <c r="F912" s="66">
        <v>3</v>
      </c>
      <c r="G912" s="66"/>
      <c r="H912" s="66">
        <v>3</v>
      </c>
      <c r="I912" s="66" t="e">
        <v>#N/A</v>
      </c>
      <c r="J912" s="66" t="s">
        <v>870</v>
      </c>
      <c r="K912" s="66"/>
      <c r="L912" s="66"/>
      <c r="M912" s="66"/>
      <c r="N912" s="66"/>
      <c r="O912" s="66" t="s">
        <v>895</v>
      </c>
      <c r="P912" s="66"/>
      <c r="Q912" s="66">
        <v>1</v>
      </c>
      <c r="R912" s="66">
        <v>1138</v>
      </c>
      <c r="S912" s="66"/>
    </row>
    <row r="913" spans="1:19" x14ac:dyDescent="0.25">
      <c r="A913" s="15">
        <v>45</v>
      </c>
      <c r="B913" s="66"/>
      <c r="C913" s="66">
        <v>2429</v>
      </c>
      <c r="D913" s="66"/>
      <c r="E913" s="66" t="s">
        <v>763</v>
      </c>
      <c r="F913" s="66">
        <v>3</v>
      </c>
      <c r="G913" s="66"/>
      <c r="H913" s="66">
        <v>3</v>
      </c>
      <c r="I913" s="66" t="e">
        <v>#N/A</v>
      </c>
      <c r="J913" s="66" t="s">
        <v>870</v>
      </c>
      <c r="K913" s="66"/>
      <c r="L913" s="66"/>
      <c r="M913" s="66"/>
      <c r="N913" s="66"/>
      <c r="O913" s="66" t="s">
        <v>896</v>
      </c>
      <c r="P913" s="66"/>
      <c r="Q913" s="66">
        <v>1</v>
      </c>
      <c r="R913" s="66">
        <v>1139</v>
      </c>
      <c r="S913" s="66"/>
    </row>
    <row r="914" spans="1:19" x14ac:dyDescent="0.25">
      <c r="A914" s="15">
        <v>45</v>
      </c>
      <c r="B914" s="66"/>
      <c r="C914" s="66">
        <v>2429</v>
      </c>
      <c r="D914" s="66"/>
      <c r="E914" s="66" t="s">
        <v>763</v>
      </c>
      <c r="F914" s="66">
        <v>3</v>
      </c>
      <c r="G914" s="66"/>
      <c r="H914" s="66">
        <v>3</v>
      </c>
      <c r="I914" s="66" t="e">
        <v>#N/A</v>
      </c>
      <c r="J914" s="66" t="s">
        <v>870</v>
      </c>
      <c r="K914" s="66"/>
      <c r="L914" s="66"/>
      <c r="M914" s="66"/>
      <c r="N914" s="66"/>
      <c r="O914" s="66" t="s">
        <v>897</v>
      </c>
      <c r="P914" s="66"/>
      <c r="Q914" s="66">
        <v>1</v>
      </c>
      <c r="R914" s="66">
        <v>1140</v>
      </c>
      <c r="S914" s="66"/>
    </row>
    <row r="915" spans="1:19" x14ac:dyDescent="0.25">
      <c r="A915" s="15">
        <v>45</v>
      </c>
      <c r="B915" s="66"/>
      <c r="C915" s="66">
        <v>2429</v>
      </c>
      <c r="D915" s="66"/>
      <c r="E915" s="66" t="s">
        <v>763</v>
      </c>
      <c r="F915" s="66">
        <v>3</v>
      </c>
      <c r="G915" s="66"/>
      <c r="H915" s="66">
        <v>3</v>
      </c>
      <c r="I915" s="66" t="e">
        <v>#N/A</v>
      </c>
      <c r="J915" s="66" t="s">
        <v>870</v>
      </c>
      <c r="K915" s="66"/>
      <c r="L915" s="66"/>
      <c r="M915" s="66"/>
      <c r="N915" s="66"/>
      <c r="O915" s="66" t="s">
        <v>898</v>
      </c>
      <c r="P915" s="66"/>
      <c r="Q915" s="66">
        <v>1</v>
      </c>
      <c r="R915" s="66">
        <v>1141</v>
      </c>
      <c r="S915" s="66"/>
    </row>
    <row r="916" spans="1:19" x14ac:dyDescent="0.25">
      <c r="A916" s="15">
        <v>45</v>
      </c>
      <c r="B916" s="66"/>
      <c r="C916" s="66">
        <v>2429</v>
      </c>
      <c r="D916" s="66"/>
      <c r="E916" s="66" t="s">
        <v>763</v>
      </c>
      <c r="F916" s="66">
        <v>3</v>
      </c>
      <c r="G916" s="66"/>
      <c r="H916" s="66">
        <v>3</v>
      </c>
      <c r="I916" s="66" t="e">
        <v>#N/A</v>
      </c>
      <c r="J916" s="66" t="s">
        <v>870</v>
      </c>
      <c r="K916" s="66"/>
      <c r="L916" s="66"/>
      <c r="M916" s="66"/>
      <c r="N916" s="66"/>
      <c r="O916" s="66" t="s">
        <v>899</v>
      </c>
      <c r="P916" s="66"/>
      <c r="Q916" s="66">
        <v>1</v>
      </c>
      <c r="R916" s="66">
        <v>1142</v>
      </c>
      <c r="S916" s="66"/>
    </row>
    <row r="917" spans="1:19" x14ac:dyDescent="0.25">
      <c r="A917" s="15">
        <v>45</v>
      </c>
      <c r="B917" s="66"/>
      <c r="C917" s="66">
        <v>2429</v>
      </c>
      <c r="D917" s="66"/>
      <c r="E917" s="66" t="s">
        <v>763</v>
      </c>
      <c r="F917" s="66">
        <v>3</v>
      </c>
      <c r="G917" s="66"/>
      <c r="H917" s="66">
        <v>3</v>
      </c>
      <c r="I917" s="66" t="e">
        <v>#N/A</v>
      </c>
      <c r="J917" s="66" t="s">
        <v>870</v>
      </c>
      <c r="K917" s="66"/>
      <c r="L917" s="66"/>
      <c r="M917" s="66"/>
      <c r="N917" s="66"/>
      <c r="O917" s="66" t="s">
        <v>900</v>
      </c>
      <c r="P917" s="66"/>
      <c r="Q917" s="66">
        <v>1</v>
      </c>
      <c r="R917" s="66">
        <v>1143</v>
      </c>
      <c r="S917" s="66"/>
    </row>
    <row r="918" spans="1:19" x14ac:dyDescent="0.25">
      <c r="A918" s="15">
        <v>45</v>
      </c>
      <c r="B918" s="66"/>
      <c r="C918" s="66">
        <v>2429</v>
      </c>
      <c r="D918" s="66"/>
      <c r="E918" s="66" t="s">
        <v>763</v>
      </c>
      <c r="F918" s="66">
        <v>3</v>
      </c>
      <c r="G918" s="66"/>
      <c r="H918" s="66">
        <v>3</v>
      </c>
      <c r="I918" s="66" t="e">
        <v>#N/A</v>
      </c>
      <c r="J918" s="66" t="s">
        <v>870</v>
      </c>
      <c r="K918" s="66"/>
      <c r="L918" s="66"/>
      <c r="M918" s="66"/>
      <c r="N918" s="66"/>
      <c r="O918" s="66" t="s">
        <v>901</v>
      </c>
      <c r="P918" s="66"/>
      <c r="Q918" s="66">
        <v>1</v>
      </c>
      <c r="R918" s="66">
        <v>1144</v>
      </c>
      <c r="S918" s="66"/>
    </row>
    <row r="919" spans="1:19" x14ac:dyDescent="0.25">
      <c r="A919" s="15">
        <v>45</v>
      </c>
      <c r="B919" s="66"/>
      <c r="C919" s="66">
        <v>2429</v>
      </c>
      <c r="D919" s="66"/>
      <c r="E919" s="66" t="s">
        <v>763</v>
      </c>
      <c r="F919" s="66">
        <v>3</v>
      </c>
      <c r="G919" s="66"/>
      <c r="H919" s="66">
        <v>3</v>
      </c>
      <c r="I919" s="66" t="e">
        <v>#N/A</v>
      </c>
      <c r="J919" s="66" t="s">
        <v>870</v>
      </c>
      <c r="K919" s="66"/>
      <c r="L919" s="66"/>
      <c r="M919" s="66"/>
      <c r="N919" s="66"/>
      <c r="O919" s="66" t="s">
        <v>902</v>
      </c>
      <c r="P919" s="66"/>
      <c r="Q919" s="66">
        <v>1</v>
      </c>
      <c r="R919" s="66">
        <v>1145</v>
      </c>
      <c r="S919" s="66"/>
    </row>
    <row r="920" spans="1:19" x14ac:dyDescent="0.25">
      <c r="A920" s="15">
        <v>45</v>
      </c>
      <c r="B920" s="66"/>
      <c r="C920" s="66">
        <v>2429</v>
      </c>
      <c r="D920" s="66"/>
      <c r="E920" s="66" t="s">
        <v>763</v>
      </c>
      <c r="F920" s="66">
        <v>3</v>
      </c>
      <c r="G920" s="66"/>
      <c r="H920" s="66">
        <v>3</v>
      </c>
      <c r="I920" s="66" t="e">
        <v>#N/A</v>
      </c>
      <c r="J920" s="66" t="s">
        <v>870</v>
      </c>
      <c r="K920" s="66"/>
      <c r="L920" s="66"/>
      <c r="M920" s="66"/>
      <c r="N920" s="66"/>
      <c r="O920" s="66" t="s">
        <v>903</v>
      </c>
      <c r="P920" s="66"/>
      <c r="Q920" s="66">
        <v>1</v>
      </c>
      <c r="R920" s="66">
        <v>1146</v>
      </c>
      <c r="S920" s="66"/>
    </row>
    <row r="921" spans="1:19" x14ac:dyDescent="0.25">
      <c r="A921" s="15">
        <v>45</v>
      </c>
      <c r="B921" s="66"/>
      <c r="C921" s="66">
        <v>2429</v>
      </c>
      <c r="D921" s="66"/>
      <c r="E921" s="66" t="s">
        <v>763</v>
      </c>
      <c r="F921" s="66">
        <v>3</v>
      </c>
      <c r="G921" s="66"/>
      <c r="H921" s="66">
        <v>3</v>
      </c>
      <c r="I921" s="66" t="e">
        <v>#N/A</v>
      </c>
      <c r="J921" s="66" t="s">
        <v>870</v>
      </c>
      <c r="K921" s="66"/>
      <c r="L921" s="66"/>
      <c r="M921" s="66"/>
      <c r="N921" s="66"/>
      <c r="O921" s="66" t="s">
        <v>904</v>
      </c>
      <c r="P921" s="66"/>
      <c r="Q921" s="66">
        <v>1</v>
      </c>
      <c r="R921" s="66">
        <v>1147</v>
      </c>
      <c r="S921" s="66"/>
    </row>
    <row r="922" spans="1:19" x14ac:dyDescent="0.25">
      <c r="A922" s="15">
        <v>45</v>
      </c>
      <c r="B922" s="66"/>
      <c r="C922" s="66">
        <v>2429</v>
      </c>
      <c r="D922" s="66"/>
      <c r="E922" s="66" t="s">
        <v>763</v>
      </c>
      <c r="F922" s="66">
        <v>3</v>
      </c>
      <c r="G922" s="66"/>
      <c r="H922" s="66">
        <v>3</v>
      </c>
      <c r="I922" s="66" t="e">
        <v>#N/A</v>
      </c>
      <c r="J922" s="66" t="s">
        <v>870</v>
      </c>
      <c r="K922" s="66"/>
      <c r="L922" s="66"/>
      <c r="M922" s="66"/>
      <c r="N922" s="66"/>
      <c r="O922" s="66" t="s">
        <v>905</v>
      </c>
      <c r="P922" s="66"/>
      <c r="Q922" s="66">
        <v>1</v>
      </c>
      <c r="R922" s="66">
        <v>1148</v>
      </c>
      <c r="S922" s="66"/>
    </row>
    <row r="923" spans="1:19" x14ac:dyDescent="0.25">
      <c r="A923" s="15">
        <v>45</v>
      </c>
      <c r="B923" s="66"/>
      <c r="C923" s="66">
        <v>2429</v>
      </c>
      <c r="D923" s="66"/>
      <c r="E923" s="66" t="s">
        <v>763</v>
      </c>
      <c r="F923" s="66">
        <v>3</v>
      </c>
      <c r="G923" s="66"/>
      <c r="H923" s="66" t="e">
        <v>#N/A</v>
      </c>
      <c r="I923" s="66"/>
      <c r="J923" s="66" t="s">
        <v>870</v>
      </c>
      <c r="K923" s="66"/>
      <c r="L923" s="66"/>
      <c r="M923" s="66"/>
      <c r="N923" s="66"/>
      <c r="O923" s="66" t="s">
        <v>906</v>
      </c>
      <c r="P923" s="66"/>
      <c r="Q923" s="66">
        <v>1</v>
      </c>
      <c r="R923" s="66">
        <v>1288</v>
      </c>
      <c r="S923" s="66"/>
    </row>
    <row r="924" spans="1:19" x14ac:dyDescent="0.25">
      <c r="A924" s="15">
        <v>45</v>
      </c>
      <c r="B924" s="66"/>
      <c r="C924" s="66">
        <v>2429</v>
      </c>
      <c r="D924" s="66"/>
      <c r="E924" s="66" t="s">
        <v>763</v>
      </c>
      <c r="F924" s="66">
        <v>5</v>
      </c>
      <c r="G924" s="66"/>
      <c r="H924" s="66" t="e">
        <v>#N/A</v>
      </c>
      <c r="I924" s="66"/>
      <c r="J924" s="66" t="s">
        <v>870</v>
      </c>
      <c r="K924" s="66"/>
      <c r="L924" s="66"/>
      <c r="M924" s="66"/>
      <c r="N924" s="66"/>
      <c r="O924" s="66" t="s">
        <v>908</v>
      </c>
      <c r="P924" s="66"/>
      <c r="Q924" s="66">
        <v>1</v>
      </c>
      <c r="R924" s="66">
        <v>1431</v>
      </c>
      <c r="S924" s="66"/>
    </row>
    <row r="925" spans="1:19" x14ac:dyDescent="0.25">
      <c r="A925" s="15">
        <v>45</v>
      </c>
      <c r="B925" s="66"/>
      <c r="C925" s="66">
        <v>2429</v>
      </c>
      <c r="D925" s="66"/>
      <c r="E925" s="66" t="s">
        <v>763</v>
      </c>
      <c r="F925" s="66">
        <v>5</v>
      </c>
      <c r="G925" s="66"/>
      <c r="H925" s="66" t="e">
        <v>#N/A</v>
      </c>
      <c r="I925" s="66"/>
      <c r="J925" s="66" t="s">
        <v>870</v>
      </c>
      <c r="K925" s="66"/>
      <c r="L925" s="66"/>
      <c r="M925" s="66"/>
      <c r="N925" s="66"/>
      <c r="O925" s="66" t="s">
        <v>909</v>
      </c>
      <c r="P925" s="66"/>
      <c r="Q925" s="66">
        <v>1</v>
      </c>
      <c r="R925" s="66">
        <v>1432</v>
      </c>
      <c r="S925" s="66"/>
    </row>
    <row r="926" spans="1:19" x14ac:dyDescent="0.25">
      <c r="A926" s="15">
        <v>45</v>
      </c>
      <c r="B926" s="66"/>
      <c r="C926" s="66">
        <v>2429</v>
      </c>
      <c r="D926" s="66"/>
      <c r="E926" s="66" t="s">
        <v>763</v>
      </c>
      <c r="F926" s="66">
        <v>5</v>
      </c>
      <c r="G926" s="66"/>
      <c r="H926" s="66" t="e">
        <v>#N/A</v>
      </c>
      <c r="I926" s="66"/>
      <c r="J926" s="66" t="s">
        <v>870</v>
      </c>
      <c r="K926" s="66"/>
      <c r="L926" s="66"/>
      <c r="M926" s="66"/>
      <c r="N926" s="66"/>
      <c r="O926" s="66" t="s">
        <v>910</v>
      </c>
      <c r="P926" s="66"/>
      <c r="Q926" s="66">
        <v>1</v>
      </c>
      <c r="R926" s="66">
        <v>1433</v>
      </c>
      <c r="S926" s="66"/>
    </row>
    <row r="927" spans="1:19" x14ac:dyDescent="0.25">
      <c r="A927" s="15">
        <v>45</v>
      </c>
      <c r="B927" s="66"/>
      <c r="C927" s="66">
        <v>2429</v>
      </c>
      <c r="D927" s="66"/>
      <c r="E927" s="66" t="s">
        <v>763</v>
      </c>
      <c r="F927" s="66">
        <v>5</v>
      </c>
      <c r="G927" s="66"/>
      <c r="H927" s="66" t="e">
        <v>#N/A</v>
      </c>
      <c r="I927" s="66"/>
      <c r="J927" s="66" t="s">
        <v>870</v>
      </c>
      <c r="K927" s="66"/>
      <c r="L927" s="66"/>
      <c r="M927" s="66"/>
      <c r="N927" s="66"/>
      <c r="O927" s="66" t="s">
        <v>911</v>
      </c>
      <c r="P927" s="66"/>
      <c r="Q927" s="66">
        <v>1</v>
      </c>
      <c r="R927" s="66">
        <v>1434</v>
      </c>
      <c r="S927" s="66"/>
    </row>
    <row r="928" spans="1:19" x14ac:dyDescent="0.25">
      <c r="A928" s="15">
        <v>45</v>
      </c>
      <c r="B928" s="66"/>
      <c r="C928" s="66">
        <v>2429</v>
      </c>
      <c r="D928" s="66"/>
      <c r="E928" s="66" t="s">
        <v>763</v>
      </c>
      <c r="F928" s="66">
        <v>5</v>
      </c>
      <c r="G928" s="66"/>
      <c r="H928" s="66" t="e">
        <v>#N/A</v>
      </c>
      <c r="I928" s="66"/>
      <c r="J928" s="66" t="s">
        <v>870</v>
      </c>
      <c r="K928" s="66"/>
      <c r="L928" s="66"/>
      <c r="M928" s="66"/>
      <c r="N928" s="66"/>
      <c r="O928" s="66" t="s">
        <v>912</v>
      </c>
      <c r="P928" s="66"/>
      <c r="Q928" s="66">
        <v>1</v>
      </c>
      <c r="R928" s="66">
        <v>1435</v>
      </c>
      <c r="S928" s="66"/>
    </row>
    <row r="929" spans="1:19" x14ac:dyDescent="0.25">
      <c r="A929" s="15">
        <v>45</v>
      </c>
      <c r="B929" s="66"/>
      <c r="C929" s="66">
        <v>2429</v>
      </c>
      <c r="D929" s="66"/>
      <c r="E929" s="66" t="s">
        <v>763</v>
      </c>
      <c r="F929" s="66">
        <v>5</v>
      </c>
      <c r="G929" s="66"/>
      <c r="H929" s="66" t="e">
        <v>#N/A</v>
      </c>
      <c r="I929" s="66"/>
      <c r="J929" s="66" t="s">
        <v>870</v>
      </c>
      <c r="K929" s="66"/>
      <c r="L929" s="66"/>
      <c r="M929" s="66"/>
      <c r="N929" s="66"/>
      <c r="O929" s="66" t="s">
        <v>913</v>
      </c>
      <c r="P929" s="66"/>
      <c r="Q929" s="66">
        <v>1</v>
      </c>
      <c r="R929" s="66">
        <v>1436</v>
      </c>
      <c r="S929" s="66"/>
    </row>
    <row r="930" spans="1:19" x14ac:dyDescent="0.25">
      <c r="A930" s="15">
        <v>45</v>
      </c>
      <c r="B930" s="66"/>
      <c r="C930" s="66">
        <v>2429</v>
      </c>
      <c r="D930" s="66"/>
      <c r="E930" s="66" t="s">
        <v>763</v>
      </c>
      <c r="F930" s="66">
        <v>5</v>
      </c>
      <c r="G930" s="66"/>
      <c r="H930" s="66" t="e">
        <v>#N/A</v>
      </c>
      <c r="I930" s="66"/>
      <c r="J930" s="66" t="s">
        <v>870</v>
      </c>
      <c r="K930" s="66"/>
      <c r="L930" s="66"/>
      <c r="M930" s="66"/>
      <c r="N930" s="66"/>
      <c r="O930" s="66" t="s">
        <v>914</v>
      </c>
      <c r="P930" s="66"/>
      <c r="Q930" s="66">
        <v>1</v>
      </c>
      <c r="R930" s="66">
        <v>1437</v>
      </c>
      <c r="S930" s="66"/>
    </row>
    <row r="931" spans="1:19" x14ac:dyDescent="0.25">
      <c r="A931" s="15">
        <v>45</v>
      </c>
      <c r="B931" s="66"/>
      <c r="C931" s="66">
        <v>2429</v>
      </c>
      <c r="D931" s="66"/>
      <c r="E931" s="66" t="s">
        <v>763</v>
      </c>
      <c r="F931" s="66">
        <v>5</v>
      </c>
      <c r="G931" s="66"/>
      <c r="H931" s="66" t="e">
        <v>#N/A</v>
      </c>
      <c r="I931" s="66"/>
      <c r="J931" s="66" t="s">
        <v>870</v>
      </c>
      <c r="K931" s="66"/>
      <c r="L931" s="66"/>
      <c r="M931" s="66"/>
      <c r="N931" s="66"/>
      <c r="O931" s="66" t="s">
        <v>915</v>
      </c>
      <c r="P931" s="66"/>
      <c r="Q931" s="66">
        <v>1</v>
      </c>
      <c r="R931" s="66">
        <v>1438</v>
      </c>
      <c r="S931" s="66"/>
    </row>
    <row r="932" spans="1:19" x14ac:dyDescent="0.25">
      <c r="A932" s="15">
        <v>45</v>
      </c>
      <c r="B932" s="66"/>
      <c r="C932" s="66">
        <v>2429</v>
      </c>
      <c r="D932" s="66"/>
      <c r="E932" s="66" t="s">
        <v>763</v>
      </c>
      <c r="F932" s="66">
        <v>5</v>
      </c>
      <c r="G932" s="66"/>
      <c r="H932" s="66" t="e">
        <v>#N/A</v>
      </c>
      <c r="I932" s="66"/>
      <c r="J932" s="66" t="s">
        <v>870</v>
      </c>
      <c r="K932" s="66"/>
      <c r="L932" s="66"/>
      <c r="M932" s="66"/>
      <c r="N932" s="66"/>
      <c r="O932" s="66" t="s">
        <v>916</v>
      </c>
      <c r="P932" s="66"/>
      <c r="Q932" s="66">
        <v>1</v>
      </c>
      <c r="R932" s="66">
        <v>1439</v>
      </c>
      <c r="S932" s="66"/>
    </row>
    <row r="933" spans="1:19" x14ac:dyDescent="0.25">
      <c r="A933" s="15">
        <v>45</v>
      </c>
      <c r="B933" s="66"/>
      <c r="C933" s="66">
        <v>2429</v>
      </c>
      <c r="D933" s="66"/>
      <c r="E933" s="66" t="s">
        <v>763</v>
      </c>
      <c r="F933" s="66">
        <v>5</v>
      </c>
      <c r="G933" s="66"/>
      <c r="H933" s="66" t="e">
        <v>#N/A</v>
      </c>
      <c r="I933" s="66"/>
      <c r="J933" s="66" t="s">
        <v>870</v>
      </c>
      <c r="K933" s="66"/>
      <c r="L933" s="66"/>
      <c r="M933" s="66"/>
      <c r="N933" s="66"/>
      <c r="O933" s="66" t="s">
        <v>917</v>
      </c>
      <c r="P933" s="66"/>
      <c r="Q933" s="66">
        <v>1</v>
      </c>
      <c r="R933" s="66">
        <v>1440</v>
      </c>
      <c r="S933" s="66"/>
    </row>
    <row r="934" spans="1:19" x14ac:dyDescent="0.25">
      <c r="A934" s="15">
        <v>45</v>
      </c>
      <c r="B934" s="66"/>
      <c r="C934" s="66">
        <v>2429</v>
      </c>
      <c r="D934" s="66"/>
      <c r="E934" s="66" t="s">
        <v>763</v>
      </c>
      <c r="F934" s="66">
        <v>5</v>
      </c>
      <c r="G934" s="66"/>
      <c r="H934" s="66" t="e">
        <v>#N/A</v>
      </c>
      <c r="I934" s="66"/>
      <c r="J934" s="66" t="s">
        <v>870</v>
      </c>
      <c r="K934" s="66"/>
      <c r="L934" s="66"/>
      <c r="M934" s="66"/>
      <c r="N934" s="66"/>
      <c r="O934" s="66" t="s">
        <v>918</v>
      </c>
      <c r="P934" s="66"/>
      <c r="Q934" s="66">
        <v>1</v>
      </c>
      <c r="R934" s="66">
        <v>1441</v>
      </c>
      <c r="S934" s="66"/>
    </row>
    <row r="935" spans="1:19" x14ac:dyDescent="0.25">
      <c r="A935" s="15">
        <v>45</v>
      </c>
      <c r="B935" s="66"/>
      <c r="C935" s="66">
        <v>2429</v>
      </c>
      <c r="D935" s="66"/>
      <c r="E935" s="66" t="s">
        <v>763</v>
      </c>
      <c r="F935" s="66">
        <v>5</v>
      </c>
      <c r="G935" s="66"/>
      <c r="H935" s="66" t="e">
        <v>#N/A</v>
      </c>
      <c r="I935" s="66"/>
      <c r="J935" s="66" t="s">
        <v>870</v>
      </c>
      <c r="K935" s="66"/>
      <c r="L935" s="66"/>
      <c r="M935" s="66"/>
      <c r="N935" s="66"/>
      <c r="O935" s="66" t="s">
        <v>919</v>
      </c>
      <c r="P935" s="66"/>
      <c r="Q935" s="66">
        <v>1</v>
      </c>
      <c r="R935" s="66">
        <v>1442</v>
      </c>
      <c r="S935" s="66"/>
    </row>
    <row r="936" spans="1:19" x14ac:dyDescent="0.25">
      <c r="A936" s="15">
        <v>46</v>
      </c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</row>
    <row r="937" spans="1:19" x14ac:dyDescent="0.25">
      <c r="A937" s="15">
        <v>46</v>
      </c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 t="s">
        <v>804</v>
      </c>
      <c r="P937" s="66"/>
      <c r="Q937" s="66"/>
      <c r="R937" s="66"/>
      <c r="S937" s="66"/>
    </row>
    <row r="938" spans="1:19" x14ac:dyDescent="0.25">
      <c r="A938" s="15">
        <v>46</v>
      </c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 t="s">
        <v>837</v>
      </c>
      <c r="P938" s="66"/>
      <c r="Q938" s="66"/>
      <c r="R938" s="66"/>
      <c r="S938" s="66"/>
    </row>
    <row r="939" spans="1:19" x14ac:dyDescent="0.25">
      <c r="A939" s="15">
        <v>46</v>
      </c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 t="s">
        <v>845</v>
      </c>
      <c r="P939" s="66"/>
      <c r="Q939" s="66"/>
      <c r="R939" s="66"/>
      <c r="S939" s="66"/>
    </row>
    <row r="940" spans="1:19" x14ac:dyDescent="0.25">
      <c r="A940" s="15">
        <v>46</v>
      </c>
      <c r="B940" s="66"/>
      <c r="C940" s="66" t="s">
        <v>77</v>
      </c>
      <c r="D940" s="66"/>
      <c r="E940" s="66" t="s">
        <v>763</v>
      </c>
      <c r="F940" s="66">
        <v>10</v>
      </c>
      <c r="G940" s="66"/>
      <c r="H940" s="66">
        <v>10</v>
      </c>
      <c r="I940" s="66">
        <v>12.583333333333332</v>
      </c>
      <c r="J940" s="66" t="s">
        <v>850</v>
      </c>
      <c r="K940" s="66"/>
      <c r="L940" s="66"/>
      <c r="M940" s="66"/>
      <c r="N940" s="66"/>
      <c r="O940" s="66" t="s">
        <v>849</v>
      </c>
      <c r="P940" s="66"/>
      <c r="Q940" s="66">
        <v>1</v>
      </c>
      <c r="R940" s="66">
        <v>309</v>
      </c>
      <c r="S940" s="66"/>
    </row>
    <row r="941" spans="1:19" x14ac:dyDescent="0.25">
      <c r="A941" s="15">
        <v>46</v>
      </c>
      <c r="B941" s="66"/>
      <c r="C941" s="66">
        <v>2429</v>
      </c>
      <c r="D941" s="66"/>
      <c r="E941" s="66" t="s">
        <v>763</v>
      </c>
      <c r="F941" s="66">
        <v>10</v>
      </c>
      <c r="G941" s="66"/>
      <c r="H941" s="66"/>
      <c r="I941" s="66">
        <v>26.666666666666668</v>
      </c>
      <c r="J941" s="66" t="s">
        <v>850</v>
      </c>
      <c r="K941" s="66"/>
      <c r="L941" s="66"/>
      <c r="M941" s="66"/>
      <c r="N941" s="66"/>
      <c r="O941" s="66" t="s">
        <v>852</v>
      </c>
      <c r="P941" s="66"/>
      <c r="Q941" s="66">
        <v>1</v>
      </c>
      <c r="R941" s="66">
        <v>463</v>
      </c>
      <c r="S941" s="66"/>
    </row>
    <row r="942" spans="1:19" x14ac:dyDescent="0.25">
      <c r="A942" s="15">
        <v>46</v>
      </c>
      <c r="B942" s="66"/>
      <c r="C942" s="66">
        <v>2429</v>
      </c>
      <c r="D942" s="66"/>
      <c r="E942" s="66" t="s">
        <v>763</v>
      </c>
      <c r="F942" s="66">
        <v>10</v>
      </c>
      <c r="G942" s="66"/>
      <c r="H942" s="66"/>
      <c r="I942" s="66">
        <v>15.666666666666666</v>
      </c>
      <c r="J942" s="66" t="s">
        <v>850</v>
      </c>
      <c r="K942" s="66"/>
      <c r="L942" s="66"/>
      <c r="M942" s="66"/>
      <c r="N942" s="66"/>
      <c r="O942" s="66" t="s">
        <v>853</v>
      </c>
      <c r="P942" s="66"/>
      <c r="Q942" s="66">
        <v>1</v>
      </c>
      <c r="R942" s="66">
        <v>464</v>
      </c>
      <c r="S942" s="66"/>
    </row>
    <row r="943" spans="1:19" x14ac:dyDescent="0.25">
      <c r="A943" s="15">
        <v>46</v>
      </c>
      <c r="B943" s="66"/>
      <c r="C943" s="66">
        <v>2429</v>
      </c>
      <c r="D943" s="66"/>
      <c r="E943" s="66" t="s">
        <v>763</v>
      </c>
      <c r="F943" s="66">
        <v>6</v>
      </c>
      <c r="G943" s="66"/>
      <c r="H943" s="66"/>
      <c r="I943" s="66">
        <v>15.666666666666666</v>
      </c>
      <c r="J943" s="66" t="s">
        <v>850</v>
      </c>
      <c r="K943" s="66"/>
      <c r="L943" s="66"/>
      <c r="M943" s="66"/>
      <c r="N943" s="66"/>
      <c r="O943" s="66" t="s">
        <v>854</v>
      </c>
      <c r="P943" s="66"/>
      <c r="Q943" s="66">
        <v>1</v>
      </c>
      <c r="R943" s="66">
        <v>465</v>
      </c>
      <c r="S943" s="66"/>
    </row>
    <row r="944" spans="1:19" x14ac:dyDescent="0.25">
      <c r="A944" s="15">
        <v>46</v>
      </c>
      <c r="B944" s="66"/>
      <c r="C944" s="66">
        <v>2429</v>
      </c>
      <c r="D944" s="66"/>
      <c r="E944" s="66" t="s">
        <v>763</v>
      </c>
      <c r="F944" s="66">
        <v>6</v>
      </c>
      <c r="G944" s="66"/>
      <c r="H944" s="66"/>
      <c r="I944" s="66">
        <v>15.666666666666666</v>
      </c>
      <c r="J944" s="66" t="s">
        <v>850</v>
      </c>
      <c r="K944" s="66"/>
      <c r="L944" s="66"/>
      <c r="M944" s="66"/>
      <c r="N944" s="66"/>
      <c r="O944" s="66" t="s">
        <v>855</v>
      </c>
      <c r="P944" s="66"/>
      <c r="Q944" s="66">
        <v>1</v>
      </c>
      <c r="R944" s="66">
        <v>466</v>
      </c>
      <c r="S944" s="66"/>
    </row>
    <row r="945" spans="1:19" x14ac:dyDescent="0.25">
      <c r="A945" s="15">
        <v>46</v>
      </c>
      <c r="B945" s="66"/>
      <c r="C945" s="66">
        <v>2429</v>
      </c>
      <c r="D945" s="66"/>
      <c r="E945" s="66" t="s">
        <v>763</v>
      </c>
      <c r="F945" s="66">
        <v>6</v>
      </c>
      <c r="G945" s="66"/>
      <c r="H945" s="66"/>
      <c r="I945" s="66">
        <v>15.666666666666666</v>
      </c>
      <c r="J945" s="66" t="s">
        <v>850</v>
      </c>
      <c r="K945" s="66"/>
      <c r="L945" s="66"/>
      <c r="M945" s="66"/>
      <c r="N945" s="66"/>
      <c r="O945" s="66" t="s">
        <v>856</v>
      </c>
      <c r="P945" s="66"/>
      <c r="Q945" s="66">
        <v>1</v>
      </c>
      <c r="R945" s="66">
        <v>467</v>
      </c>
      <c r="S945" s="66"/>
    </row>
    <row r="946" spans="1:19" x14ac:dyDescent="0.25">
      <c r="A946" s="15">
        <v>46</v>
      </c>
      <c r="B946" s="66"/>
      <c r="C946" s="66">
        <v>2429</v>
      </c>
      <c r="D946" s="66"/>
      <c r="E946" s="66" t="s">
        <v>763</v>
      </c>
      <c r="F946" s="66">
        <v>6</v>
      </c>
      <c r="G946" s="66"/>
      <c r="H946" s="66"/>
      <c r="I946" s="66">
        <v>15.666666666666666</v>
      </c>
      <c r="J946" s="66" t="s">
        <v>850</v>
      </c>
      <c r="K946" s="66"/>
      <c r="L946" s="66"/>
      <c r="M946" s="66"/>
      <c r="N946" s="66"/>
      <c r="O946" s="66" t="s">
        <v>857</v>
      </c>
      <c r="P946" s="66"/>
      <c r="Q946" s="66">
        <v>1</v>
      </c>
      <c r="R946" s="66">
        <v>468</v>
      </c>
      <c r="S946" s="66"/>
    </row>
    <row r="947" spans="1:19" x14ac:dyDescent="0.25">
      <c r="A947" s="15">
        <v>46</v>
      </c>
      <c r="B947" s="66"/>
      <c r="C947" s="66">
        <v>2429</v>
      </c>
      <c r="D947" s="66"/>
      <c r="E947" s="66" t="s">
        <v>763</v>
      </c>
      <c r="F947" s="66">
        <v>6</v>
      </c>
      <c r="G947" s="66"/>
      <c r="H947" s="66"/>
      <c r="I947" s="66">
        <v>15.666666666666666</v>
      </c>
      <c r="J947" s="66" t="s">
        <v>850</v>
      </c>
      <c r="K947" s="66"/>
      <c r="L947" s="66"/>
      <c r="M947" s="66"/>
      <c r="N947" s="66"/>
      <c r="O947" s="66" t="s">
        <v>858</v>
      </c>
      <c r="P947" s="66"/>
      <c r="Q947" s="66">
        <v>1</v>
      </c>
      <c r="R947" s="66">
        <v>469</v>
      </c>
      <c r="S947" s="66"/>
    </row>
    <row r="948" spans="1:19" x14ac:dyDescent="0.25">
      <c r="A948" s="15">
        <v>46</v>
      </c>
      <c r="B948" s="66"/>
      <c r="C948" s="66">
        <v>2429</v>
      </c>
      <c r="D948" s="66"/>
      <c r="E948" s="66" t="s">
        <v>763</v>
      </c>
      <c r="F948" s="66">
        <v>6</v>
      </c>
      <c r="G948" s="66"/>
      <c r="H948" s="66"/>
      <c r="I948" s="66">
        <v>15.666666666666666</v>
      </c>
      <c r="J948" s="66" t="s">
        <v>850</v>
      </c>
      <c r="K948" s="66"/>
      <c r="L948" s="66"/>
      <c r="M948" s="66"/>
      <c r="N948" s="66"/>
      <c r="O948" s="66" t="s">
        <v>859</v>
      </c>
      <c r="P948" s="66"/>
      <c r="Q948" s="66">
        <v>1</v>
      </c>
      <c r="R948" s="66">
        <v>470</v>
      </c>
      <c r="S948" s="66"/>
    </row>
    <row r="949" spans="1:19" x14ac:dyDescent="0.25">
      <c r="A949" s="15">
        <v>46</v>
      </c>
      <c r="B949" s="66"/>
      <c r="C949" s="66">
        <v>2429</v>
      </c>
      <c r="D949" s="66"/>
      <c r="E949" s="66" t="s">
        <v>763</v>
      </c>
      <c r="F949" s="66">
        <v>6</v>
      </c>
      <c r="G949" s="66"/>
      <c r="H949" s="66"/>
      <c r="I949" s="66">
        <v>15.666666666666666</v>
      </c>
      <c r="J949" s="66" t="s">
        <v>850</v>
      </c>
      <c r="K949" s="66"/>
      <c r="L949" s="66"/>
      <c r="M949" s="66"/>
      <c r="N949" s="66"/>
      <c r="O949" s="66" t="s">
        <v>860</v>
      </c>
      <c r="P949" s="66"/>
      <c r="Q949" s="66">
        <v>1</v>
      </c>
      <c r="R949" s="66">
        <v>471</v>
      </c>
      <c r="S949" s="66"/>
    </row>
    <row r="950" spans="1:19" x14ac:dyDescent="0.25">
      <c r="A950" s="15">
        <v>46</v>
      </c>
      <c r="B950" s="66"/>
      <c r="C950" s="66">
        <v>2429</v>
      </c>
      <c r="D950" s="66"/>
      <c r="E950" s="66" t="s">
        <v>763</v>
      </c>
      <c r="F950" s="66">
        <v>6</v>
      </c>
      <c r="G950" s="66"/>
      <c r="H950" s="66"/>
      <c r="I950" s="66">
        <v>15.666666666666666</v>
      </c>
      <c r="J950" s="66" t="s">
        <v>850</v>
      </c>
      <c r="K950" s="66"/>
      <c r="L950" s="66"/>
      <c r="M950" s="66"/>
      <c r="N950" s="66"/>
      <c r="O950" s="66" t="s">
        <v>861</v>
      </c>
      <c r="P950" s="66"/>
      <c r="Q950" s="66">
        <v>1</v>
      </c>
      <c r="R950" s="66">
        <v>472</v>
      </c>
      <c r="S950" s="66"/>
    </row>
    <row r="951" spans="1:19" x14ac:dyDescent="0.25">
      <c r="A951" s="15">
        <v>46</v>
      </c>
      <c r="B951" s="66"/>
      <c r="C951" s="66">
        <v>2429</v>
      </c>
      <c r="D951" s="66"/>
      <c r="E951" s="66" t="s">
        <v>763</v>
      </c>
      <c r="F951" s="66">
        <v>6</v>
      </c>
      <c r="G951" s="66"/>
      <c r="H951" s="66"/>
      <c r="I951" s="66">
        <v>15.666666666666666</v>
      </c>
      <c r="J951" s="66" t="s">
        <v>850</v>
      </c>
      <c r="K951" s="66"/>
      <c r="L951" s="66"/>
      <c r="M951" s="66"/>
      <c r="N951" s="66"/>
      <c r="O951" s="66" t="s">
        <v>862</v>
      </c>
      <c r="P951" s="66"/>
      <c r="Q951" s="66">
        <v>1</v>
      </c>
      <c r="R951" s="66">
        <v>473</v>
      </c>
      <c r="S951" s="66"/>
    </row>
    <row r="952" spans="1:19" x14ac:dyDescent="0.25">
      <c r="A952" s="15">
        <v>46</v>
      </c>
      <c r="B952" s="66"/>
      <c r="C952" s="66">
        <v>2429</v>
      </c>
      <c r="D952" s="66"/>
      <c r="E952" s="66" t="s">
        <v>763</v>
      </c>
      <c r="F952" s="66">
        <v>10</v>
      </c>
      <c r="G952" s="66"/>
      <c r="H952" s="66"/>
      <c r="I952" s="66">
        <v>10.583333333333334</v>
      </c>
      <c r="J952" s="66" t="s">
        <v>850</v>
      </c>
      <c r="K952" s="66"/>
      <c r="L952" s="66"/>
      <c r="M952" s="66"/>
      <c r="N952" s="66"/>
      <c r="O952" s="66" t="s">
        <v>863</v>
      </c>
      <c r="P952" s="66"/>
      <c r="Q952" s="66">
        <v>1</v>
      </c>
      <c r="R952" s="66">
        <v>474</v>
      </c>
      <c r="S952" s="66"/>
    </row>
    <row r="953" spans="1:19" x14ac:dyDescent="0.25">
      <c r="A953" s="15">
        <v>46</v>
      </c>
      <c r="B953" s="66"/>
      <c r="C953" s="66">
        <v>2429</v>
      </c>
      <c r="D953" s="66"/>
      <c r="E953" s="66" t="s">
        <v>763</v>
      </c>
      <c r="F953" s="66">
        <v>1</v>
      </c>
      <c r="G953" s="66"/>
      <c r="H953" s="66" t="e">
        <v>#N/A</v>
      </c>
      <c r="I953" s="66"/>
      <c r="J953" s="66" t="s">
        <v>870</v>
      </c>
      <c r="K953" s="66" t="s">
        <v>757</v>
      </c>
      <c r="L953" s="66" t="s">
        <v>757</v>
      </c>
      <c r="M953" s="66" t="s">
        <v>757</v>
      </c>
      <c r="N953" s="66" t="s">
        <v>757</v>
      </c>
      <c r="O953" s="66" t="s">
        <v>869</v>
      </c>
      <c r="P953" s="66"/>
      <c r="Q953" s="66">
        <v>1</v>
      </c>
      <c r="R953" s="66">
        <v>695</v>
      </c>
      <c r="S953" s="66"/>
    </row>
    <row r="954" spans="1:19" x14ac:dyDescent="0.25">
      <c r="A954" s="15">
        <v>46</v>
      </c>
      <c r="B954" s="66"/>
      <c r="C954" s="66">
        <v>2429</v>
      </c>
      <c r="D954" s="66"/>
      <c r="E954" s="66" t="s">
        <v>763</v>
      </c>
      <c r="F954" s="66">
        <v>1</v>
      </c>
      <c r="G954" s="66"/>
      <c r="H954" s="66" t="e">
        <v>#N/A</v>
      </c>
      <c r="I954" s="66"/>
      <c r="J954" s="66" t="s">
        <v>870</v>
      </c>
      <c r="K954" s="66" t="s">
        <v>757</v>
      </c>
      <c r="L954" s="66" t="s">
        <v>757</v>
      </c>
      <c r="M954" s="66" t="s">
        <v>757</v>
      </c>
      <c r="N954" s="66" t="s">
        <v>757</v>
      </c>
      <c r="O954" s="66" t="s">
        <v>871</v>
      </c>
      <c r="P954" s="66"/>
      <c r="Q954" s="66">
        <v>1</v>
      </c>
      <c r="R954" s="66">
        <v>696</v>
      </c>
      <c r="S954" s="66"/>
    </row>
    <row r="955" spans="1:19" x14ac:dyDescent="0.25">
      <c r="A955" s="15">
        <v>46</v>
      </c>
      <c r="B955" s="66"/>
      <c r="C955" s="66">
        <v>2429</v>
      </c>
      <c r="D955" s="66"/>
      <c r="E955" s="66" t="s">
        <v>763</v>
      </c>
      <c r="F955" s="66">
        <v>1</v>
      </c>
      <c r="G955" s="66"/>
      <c r="H955" s="66" t="e">
        <v>#N/A</v>
      </c>
      <c r="I955" s="66"/>
      <c r="J955" s="66" t="s">
        <v>870</v>
      </c>
      <c r="K955" s="66" t="s">
        <v>757</v>
      </c>
      <c r="L955" s="66" t="s">
        <v>757</v>
      </c>
      <c r="M955" s="66" t="s">
        <v>757</v>
      </c>
      <c r="N955" s="66" t="s">
        <v>757</v>
      </c>
      <c r="O955" s="66" t="s">
        <v>872</v>
      </c>
      <c r="P955" s="66"/>
      <c r="Q955" s="66">
        <v>1</v>
      </c>
      <c r="R955" s="66">
        <v>697</v>
      </c>
      <c r="S955" s="66"/>
    </row>
    <row r="956" spans="1:19" x14ac:dyDescent="0.25">
      <c r="A956" s="15">
        <v>46</v>
      </c>
      <c r="B956" s="66"/>
      <c r="C956" s="66">
        <v>2429</v>
      </c>
      <c r="D956" s="66"/>
      <c r="E956" s="66" t="s">
        <v>763</v>
      </c>
      <c r="F956" s="66">
        <v>1</v>
      </c>
      <c r="G956" s="66"/>
      <c r="H956" s="66" t="e">
        <v>#N/A</v>
      </c>
      <c r="I956" s="66"/>
      <c r="J956" s="66" t="s">
        <v>870</v>
      </c>
      <c r="K956" s="66" t="s">
        <v>757</v>
      </c>
      <c r="L956" s="66" t="s">
        <v>757</v>
      </c>
      <c r="M956" s="66" t="s">
        <v>757</v>
      </c>
      <c r="N956" s="66" t="s">
        <v>757</v>
      </c>
      <c r="O956" s="66" t="s">
        <v>873</v>
      </c>
      <c r="P956" s="66"/>
      <c r="Q956" s="66">
        <v>1</v>
      </c>
      <c r="R956" s="66">
        <v>698</v>
      </c>
      <c r="S956" s="66"/>
    </row>
    <row r="957" spans="1:19" x14ac:dyDescent="0.25">
      <c r="A957" s="15">
        <v>46</v>
      </c>
      <c r="B957" s="66"/>
      <c r="C957" s="66">
        <v>2429</v>
      </c>
      <c r="D957" s="66"/>
      <c r="E957" s="66" t="s">
        <v>763</v>
      </c>
      <c r="F957" s="66">
        <v>1</v>
      </c>
      <c r="G957" s="66"/>
      <c r="H957" s="66" t="e">
        <v>#N/A</v>
      </c>
      <c r="I957" s="66"/>
      <c r="J957" s="66" t="s">
        <v>870</v>
      </c>
      <c r="K957" s="66" t="s">
        <v>757</v>
      </c>
      <c r="L957" s="66" t="s">
        <v>757</v>
      </c>
      <c r="M957" s="66" t="s">
        <v>757</v>
      </c>
      <c r="N957" s="66" t="s">
        <v>757</v>
      </c>
      <c r="O957" s="66" t="s">
        <v>874</v>
      </c>
      <c r="P957" s="66"/>
      <c r="Q957" s="66">
        <v>1</v>
      </c>
      <c r="R957" s="66">
        <v>699</v>
      </c>
      <c r="S957" s="66"/>
    </row>
    <row r="958" spans="1:19" x14ac:dyDescent="0.25">
      <c r="A958" s="15">
        <v>46</v>
      </c>
      <c r="B958" s="66"/>
      <c r="C958" s="66">
        <v>2429</v>
      </c>
      <c r="D958" s="66"/>
      <c r="E958" s="66" t="s">
        <v>763</v>
      </c>
      <c r="F958" s="66">
        <v>1</v>
      </c>
      <c r="G958" s="66"/>
      <c r="H958" s="66" t="e">
        <v>#N/A</v>
      </c>
      <c r="I958" s="66"/>
      <c r="J958" s="66" t="s">
        <v>870</v>
      </c>
      <c r="K958" s="66" t="s">
        <v>757</v>
      </c>
      <c r="L958" s="66" t="s">
        <v>757</v>
      </c>
      <c r="M958" s="66" t="s">
        <v>757</v>
      </c>
      <c r="N958" s="66" t="s">
        <v>757</v>
      </c>
      <c r="O958" s="66" t="s">
        <v>875</v>
      </c>
      <c r="P958" s="66"/>
      <c r="Q958" s="66">
        <v>1</v>
      </c>
      <c r="R958" s="66">
        <v>700</v>
      </c>
      <c r="S958" s="66"/>
    </row>
    <row r="959" spans="1:19" x14ac:dyDescent="0.25">
      <c r="A959" s="15">
        <v>46</v>
      </c>
      <c r="B959" s="66"/>
      <c r="C959" s="66">
        <v>2429</v>
      </c>
      <c r="D959" s="66"/>
      <c r="E959" s="66" t="s">
        <v>763</v>
      </c>
      <c r="F959" s="66">
        <v>1</v>
      </c>
      <c r="G959" s="66"/>
      <c r="H959" s="66" t="e">
        <v>#N/A</v>
      </c>
      <c r="I959" s="66"/>
      <c r="J959" s="66" t="s">
        <v>870</v>
      </c>
      <c r="K959" s="66" t="s">
        <v>757</v>
      </c>
      <c r="L959" s="66" t="s">
        <v>757</v>
      </c>
      <c r="M959" s="66" t="s">
        <v>757</v>
      </c>
      <c r="N959" s="66" t="s">
        <v>757</v>
      </c>
      <c r="O959" s="66" t="s">
        <v>876</v>
      </c>
      <c r="P959" s="66"/>
      <c r="Q959" s="66">
        <v>1</v>
      </c>
      <c r="R959" s="66">
        <v>701</v>
      </c>
      <c r="S959" s="66"/>
    </row>
    <row r="960" spans="1:19" x14ac:dyDescent="0.25">
      <c r="A960" s="15">
        <v>46</v>
      </c>
      <c r="B960" s="66"/>
      <c r="C960" s="66">
        <v>2429</v>
      </c>
      <c r="D960" s="66"/>
      <c r="E960" s="66" t="s">
        <v>763</v>
      </c>
      <c r="F960" s="66">
        <v>1</v>
      </c>
      <c r="G960" s="66"/>
      <c r="H960" s="66" t="e">
        <v>#N/A</v>
      </c>
      <c r="I960" s="66"/>
      <c r="J960" s="66" t="s">
        <v>870</v>
      </c>
      <c r="K960" s="66" t="s">
        <v>757</v>
      </c>
      <c r="L960" s="66" t="s">
        <v>757</v>
      </c>
      <c r="M960" s="66" t="s">
        <v>757</v>
      </c>
      <c r="N960" s="66" t="s">
        <v>757</v>
      </c>
      <c r="O960" s="66" t="s">
        <v>877</v>
      </c>
      <c r="P960" s="66"/>
      <c r="Q960" s="66">
        <v>1</v>
      </c>
      <c r="R960" s="66">
        <v>702</v>
      </c>
      <c r="S960" s="66"/>
    </row>
    <row r="961" spans="1:19" x14ac:dyDescent="0.25">
      <c r="A961" s="15">
        <v>46</v>
      </c>
      <c r="B961" s="66"/>
      <c r="C961" s="66">
        <v>2429</v>
      </c>
      <c r="D961" s="66"/>
      <c r="E961" s="66" t="s">
        <v>763</v>
      </c>
      <c r="F961" s="66">
        <v>1</v>
      </c>
      <c r="G961" s="66"/>
      <c r="H961" s="66" t="e">
        <v>#N/A</v>
      </c>
      <c r="I961" s="66"/>
      <c r="J961" s="66" t="s">
        <v>870</v>
      </c>
      <c r="K961" s="66" t="s">
        <v>757</v>
      </c>
      <c r="L961" s="66" t="s">
        <v>757</v>
      </c>
      <c r="M961" s="66" t="s">
        <v>757</v>
      </c>
      <c r="N961" s="66" t="s">
        <v>757</v>
      </c>
      <c r="O961" s="66" t="s">
        <v>878</v>
      </c>
      <c r="P961" s="66"/>
      <c r="Q961" s="66">
        <v>1</v>
      </c>
      <c r="R961" s="66">
        <v>703</v>
      </c>
      <c r="S961" s="66"/>
    </row>
    <row r="962" spans="1:19" x14ac:dyDescent="0.25">
      <c r="A962" s="15">
        <v>46</v>
      </c>
      <c r="B962" s="66"/>
      <c r="C962" s="66">
        <v>2429</v>
      </c>
      <c r="D962" s="66"/>
      <c r="E962" s="66" t="s">
        <v>763</v>
      </c>
      <c r="F962" s="66">
        <v>1</v>
      </c>
      <c r="G962" s="66"/>
      <c r="H962" s="66" t="e">
        <v>#N/A</v>
      </c>
      <c r="I962" s="66"/>
      <c r="J962" s="66" t="s">
        <v>870</v>
      </c>
      <c r="K962" s="66" t="s">
        <v>757</v>
      </c>
      <c r="L962" s="66" t="s">
        <v>757</v>
      </c>
      <c r="M962" s="66" t="s">
        <v>757</v>
      </c>
      <c r="N962" s="66" t="s">
        <v>757</v>
      </c>
      <c r="O962" s="66" t="s">
        <v>879</v>
      </c>
      <c r="P962" s="66"/>
      <c r="Q962" s="66">
        <v>1</v>
      </c>
      <c r="R962" s="66">
        <v>704</v>
      </c>
      <c r="S962" s="66"/>
    </row>
    <row r="963" spans="1:19" x14ac:dyDescent="0.25">
      <c r="A963" s="15">
        <v>46</v>
      </c>
      <c r="B963" s="66"/>
      <c r="C963" s="66">
        <v>2429</v>
      </c>
      <c r="D963" s="66"/>
      <c r="E963" s="66" t="s">
        <v>763</v>
      </c>
      <c r="F963" s="66">
        <v>1</v>
      </c>
      <c r="G963" s="66"/>
      <c r="H963" s="66" t="e">
        <v>#N/A</v>
      </c>
      <c r="I963" s="66"/>
      <c r="J963" s="66" t="s">
        <v>870</v>
      </c>
      <c r="K963" s="66" t="s">
        <v>757</v>
      </c>
      <c r="L963" s="66" t="s">
        <v>757</v>
      </c>
      <c r="M963" s="66" t="s">
        <v>757</v>
      </c>
      <c r="N963" s="66" t="s">
        <v>757</v>
      </c>
      <c r="O963" s="66" t="s">
        <v>880</v>
      </c>
      <c r="P963" s="66"/>
      <c r="Q963" s="66">
        <v>1</v>
      </c>
      <c r="R963" s="66">
        <v>705</v>
      </c>
      <c r="S963" s="66"/>
    </row>
    <row r="964" spans="1:19" x14ac:dyDescent="0.25">
      <c r="A964" s="15">
        <v>46</v>
      </c>
      <c r="B964" s="66"/>
      <c r="C964" s="66">
        <v>2429</v>
      </c>
      <c r="D964" s="66"/>
      <c r="E964" s="66" t="s">
        <v>763</v>
      </c>
      <c r="F964" s="66">
        <v>1</v>
      </c>
      <c r="G964" s="66"/>
      <c r="H964" s="66" t="e">
        <v>#N/A</v>
      </c>
      <c r="I964" s="66"/>
      <c r="J964" s="66" t="s">
        <v>870</v>
      </c>
      <c r="K964" s="66" t="s">
        <v>757</v>
      </c>
      <c r="L964" s="66" t="s">
        <v>757</v>
      </c>
      <c r="M964" s="66" t="s">
        <v>757</v>
      </c>
      <c r="N964" s="66" t="s">
        <v>757</v>
      </c>
      <c r="O964" s="66" t="s">
        <v>881</v>
      </c>
      <c r="P964" s="66"/>
      <c r="Q964" s="66">
        <v>1</v>
      </c>
      <c r="R964" s="66">
        <v>706</v>
      </c>
      <c r="S964" s="66"/>
    </row>
    <row r="965" spans="1:19" x14ac:dyDescent="0.25">
      <c r="A965" s="15">
        <v>46</v>
      </c>
      <c r="B965" s="66"/>
      <c r="C965" s="66">
        <v>2429</v>
      </c>
      <c r="D965" s="66"/>
      <c r="E965" s="66" t="s">
        <v>763</v>
      </c>
      <c r="F965" s="66">
        <v>0</v>
      </c>
      <c r="G965" s="66"/>
      <c r="H965" s="66">
        <v>3</v>
      </c>
      <c r="I965" s="66" t="e">
        <v>#N/A</v>
      </c>
      <c r="J965" s="66" t="s">
        <v>870</v>
      </c>
      <c r="K965" s="66"/>
      <c r="L965" s="66"/>
      <c r="M965" s="66"/>
      <c r="N965" s="66"/>
      <c r="O965" s="66" t="s">
        <v>882</v>
      </c>
      <c r="P965" s="66"/>
      <c r="Q965" s="66">
        <v>1</v>
      </c>
      <c r="R965" s="66">
        <v>922</v>
      </c>
      <c r="S965" s="66"/>
    </row>
    <row r="966" spans="1:19" x14ac:dyDescent="0.25">
      <c r="A966" s="15">
        <v>46</v>
      </c>
      <c r="B966" s="66"/>
      <c r="C966" s="66">
        <v>2429</v>
      </c>
      <c r="D966" s="66"/>
      <c r="E966" s="66" t="s">
        <v>763</v>
      </c>
      <c r="F966" s="66">
        <v>0</v>
      </c>
      <c r="G966" s="66"/>
      <c r="H966" s="66">
        <v>3</v>
      </c>
      <c r="I966" s="66" t="e">
        <v>#N/A</v>
      </c>
      <c r="J966" s="66" t="s">
        <v>870</v>
      </c>
      <c r="K966" s="66"/>
      <c r="L966" s="66"/>
      <c r="M966" s="66"/>
      <c r="N966" s="66"/>
      <c r="O966" s="66" t="s">
        <v>883</v>
      </c>
      <c r="P966" s="66"/>
      <c r="Q966" s="66">
        <v>1</v>
      </c>
      <c r="R966" s="66">
        <v>923</v>
      </c>
      <c r="S966" s="66"/>
    </row>
    <row r="967" spans="1:19" x14ac:dyDescent="0.25">
      <c r="A967" s="15">
        <v>46</v>
      </c>
      <c r="B967" s="66"/>
      <c r="C967" s="66">
        <v>2429</v>
      </c>
      <c r="D967" s="66"/>
      <c r="E967" s="66" t="s">
        <v>763</v>
      </c>
      <c r="F967" s="66">
        <v>0</v>
      </c>
      <c r="G967" s="66"/>
      <c r="H967" s="66">
        <v>3</v>
      </c>
      <c r="I967" s="66" t="e">
        <v>#N/A</v>
      </c>
      <c r="J967" s="66" t="s">
        <v>870</v>
      </c>
      <c r="K967" s="66"/>
      <c r="L967" s="66"/>
      <c r="M967" s="66"/>
      <c r="N967" s="66"/>
      <c r="O967" s="66" t="s">
        <v>884</v>
      </c>
      <c r="P967" s="66"/>
      <c r="Q967" s="66">
        <v>1</v>
      </c>
      <c r="R967" s="66">
        <v>924</v>
      </c>
      <c r="S967" s="66"/>
    </row>
    <row r="968" spans="1:19" x14ac:dyDescent="0.25">
      <c r="A968" s="15">
        <v>46</v>
      </c>
      <c r="B968" s="66"/>
      <c r="C968" s="66">
        <v>2429</v>
      </c>
      <c r="D968" s="66"/>
      <c r="E968" s="66" t="s">
        <v>763</v>
      </c>
      <c r="F968" s="66">
        <v>0</v>
      </c>
      <c r="G968" s="66"/>
      <c r="H968" s="66">
        <v>3</v>
      </c>
      <c r="I968" s="66" t="e">
        <v>#N/A</v>
      </c>
      <c r="J968" s="66" t="s">
        <v>870</v>
      </c>
      <c r="K968" s="66"/>
      <c r="L968" s="66"/>
      <c r="M968" s="66"/>
      <c r="N968" s="66"/>
      <c r="O968" s="66" t="s">
        <v>885</v>
      </c>
      <c r="P968" s="66"/>
      <c r="Q968" s="66">
        <v>1</v>
      </c>
      <c r="R968" s="66">
        <v>925</v>
      </c>
      <c r="S968" s="66"/>
    </row>
    <row r="969" spans="1:19" x14ac:dyDescent="0.25">
      <c r="A969" s="15">
        <v>46</v>
      </c>
      <c r="B969" s="66"/>
      <c r="C969" s="66">
        <v>2429</v>
      </c>
      <c r="D969" s="66"/>
      <c r="E969" s="66" t="s">
        <v>763</v>
      </c>
      <c r="F969" s="66">
        <v>0</v>
      </c>
      <c r="G969" s="66"/>
      <c r="H969" s="66">
        <v>3</v>
      </c>
      <c r="I969" s="66" t="e">
        <v>#N/A</v>
      </c>
      <c r="J969" s="66" t="s">
        <v>870</v>
      </c>
      <c r="K969" s="66"/>
      <c r="L969" s="66"/>
      <c r="M969" s="66"/>
      <c r="N969" s="66"/>
      <c r="O969" s="66" t="s">
        <v>886</v>
      </c>
      <c r="P969" s="66"/>
      <c r="Q969" s="66">
        <v>1</v>
      </c>
      <c r="R969" s="66">
        <v>926</v>
      </c>
      <c r="S969" s="66"/>
    </row>
    <row r="970" spans="1:19" x14ac:dyDescent="0.25">
      <c r="A970" s="15">
        <v>46</v>
      </c>
      <c r="B970" s="66"/>
      <c r="C970" s="66">
        <v>2429</v>
      </c>
      <c r="D970" s="66"/>
      <c r="E970" s="66" t="s">
        <v>763</v>
      </c>
      <c r="F970" s="66">
        <v>0</v>
      </c>
      <c r="G970" s="66"/>
      <c r="H970" s="66">
        <v>3</v>
      </c>
      <c r="I970" s="66" t="e">
        <v>#N/A</v>
      </c>
      <c r="J970" s="66" t="s">
        <v>870</v>
      </c>
      <c r="K970" s="66"/>
      <c r="L970" s="66"/>
      <c r="M970" s="66"/>
      <c r="N970" s="66"/>
      <c r="O970" s="66" t="s">
        <v>887</v>
      </c>
      <c r="P970" s="66"/>
      <c r="Q970" s="66">
        <v>1</v>
      </c>
      <c r="R970" s="66">
        <v>927</v>
      </c>
      <c r="S970" s="66"/>
    </row>
    <row r="971" spans="1:19" x14ac:dyDescent="0.25">
      <c r="A971" s="15">
        <v>46</v>
      </c>
      <c r="B971" s="66"/>
      <c r="C971" s="66">
        <v>2429</v>
      </c>
      <c r="D971" s="66"/>
      <c r="E971" s="66" t="s">
        <v>763</v>
      </c>
      <c r="F971" s="66">
        <v>0</v>
      </c>
      <c r="G971" s="66"/>
      <c r="H971" s="66">
        <v>3</v>
      </c>
      <c r="I971" s="66" t="e">
        <v>#N/A</v>
      </c>
      <c r="J971" s="66" t="s">
        <v>870</v>
      </c>
      <c r="K971" s="66"/>
      <c r="L971" s="66"/>
      <c r="M971" s="66"/>
      <c r="N971" s="66"/>
      <c r="O971" s="66" t="s">
        <v>888</v>
      </c>
      <c r="P971" s="66"/>
      <c r="Q971" s="66">
        <v>1</v>
      </c>
      <c r="R971" s="66">
        <v>928</v>
      </c>
      <c r="S971" s="66"/>
    </row>
    <row r="972" spans="1:19" x14ac:dyDescent="0.25">
      <c r="A972" s="15">
        <v>46</v>
      </c>
      <c r="B972" s="66"/>
      <c r="C972" s="66">
        <v>2429</v>
      </c>
      <c r="D972" s="66"/>
      <c r="E972" s="66" t="s">
        <v>763</v>
      </c>
      <c r="F972" s="66">
        <v>0</v>
      </c>
      <c r="G972" s="66"/>
      <c r="H972" s="66">
        <v>3</v>
      </c>
      <c r="I972" s="66" t="e">
        <v>#N/A</v>
      </c>
      <c r="J972" s="66" t="s">
        <v>870</v>
      </c>
      <c r="K972" s="66"/>
      <c r="L972" s="66"/>
      <c r="M972" s="66"/>
      <c r="N972" s="66"/>
      <c r="O972" s="66" t="s">
        <v>889</v>
      </c>
      <c r="P972" s="66"/>
      <c r="Q972" s="66">
        <v>1</v>
      </c>
      <c r="R972" s="66">
        <v>929</v>
      </c>
      <c r="S972" s="66"/>
    </row>
    <row r="973" spans="1:19" x14ac:dyDescent="0.25">
      <c r="A973" s="15">
        <v>46</v>
      </c>
      <c r="B973" s="66"/>
      <c r="C973" s="66">
        <v>2429</v>
      </c>
      <c r="D973" s="66"/>
      <c r="E973" s="66" t="s">
        <v>763</v>
      </c>
      <c r="F973" s="66">
        <v>0</v>
      </c>
      <c r="G973" s="66"/>
      <c r="H973" s="66">
        <v>3</v>
      </c>
      <c r="I973" s="66" t="e">
        <v>#N/A</v>
      </c>
      <c r="J973" s="66" t="s">
        <v>870</v>
      </c>
      <c r="K973" s="66"/>
      <c r="L973" s="66"/>
      <c r="M973" s="66"/>
      <c r="N973" s="66"/>
      <c r="O973" s="66" t="s">
        <v>890</v>
      </c>
      <c r="P973" s="66"/>
      <c r="Q973" s="66">
        <v>1</v>
      </c>
      <c r="R973" s="66">
        <v>930</v>
      </c>
      <c r="S973" s="66"/>
    </row>
    <row r="974" spans="1:19" x14ac:dyDescent="0.25">
      <c r="A974" s="15">
        <v>46</v>
      </c>
      <c r="B974" s="66"/>
      <c r="C974" s="66">
        <v>2429</v>
      </c>
      <c r="D974" s="66"/>
      <c r="E974" s="66" t="s">
        <v>763</v>
      </c>
      <c r="F974" s="66">
        <v>0</v>
      </c>
      <c r="G974" s="66"/>
      <c r="H974" s="66">
        <v>3</v>
      </c>
      <c r="I974" s="66" t="e">
        <v>#N/A</v>
      </c>
      <c r="J974" s="66" t="s">
        <v>870</v>
      </c>
      <c r="K974" s="66"/>
      <c r="L974" s="66"/>
      <c r="M974" s="66"/>
      <c r="N974" s="66"/>
      <c r="O974" s="66" t="s">
        <v>891</v>
      </c>
      <c r="P974" s="66"/>
      <c r="Q974" s="66">
        <v>1</v>
      </c>
      <c r="R974" s="66">
        <v>931</v>
      </c>
      <c r="S974" s="66"/>
    </row>
    <row r="975" spans="1:19" x14ac:dyDescent="0.25">
      <c r="A975" s="15">
        <v>46</v>
      </c>
      <c r="B975" s="66"/>
      <c r="C975" s="66">
        <v>2429</v>
      </c>
      <c r="D975" s="66"/>
      <c r="E975" s="66" t="s">
        <v>763</v>
      </c>
      <c r="F975" s="66">
        <v>0</v>
      </c>
      <c r="G975" s="66"/>
      <c r="H975" s="66">
        <v>3</v>
      </c>
      <c r="I975" s="66" t="e">
        <v>#N/A</v>
      </c>
      <c r="J975" s="66" t="s">
        <v>870</v>
      </c>
      <c r="K975" s="66"/>
      <c r="L975" s="66"/>
      <c r="M975" s="66"/>
      <c r="N975" s="66"/>
      <c r="O975" s="66" t="s">
        <v>892</v>
      </c>
      <c r="P975" s="66"/>
      <c r="Q975" s="66">
        <v>1</v>
      </c>
      <c r="R975" s="66">
        <v>932</v>
      </c>
      <c r="S975" s="66"/>
    </row>
    <row r="976" spans="1:19" x14ac:dyDescent="0.25">
      <c r="A976" s="15">
        <v>46</v>
      </c>
      <c r="B976" s="66"/>
      <c r="C976" s="66">
        <v>2429</v>
      </c>
      <c r="D976" s="66"/>
      <c r="E976" s="66" t="s">
        <v>763</v>
      </c>
      <c r="F976" s="66">
        <v>0</v>
      </c>
      <c r="G976" s="66"/>
      <c r="H976" s="66">
        <v>3</v>
      </c>
      <c r="I976" s="66" t="e">
        <v>#N/A</v>
      </c>
      <c r="J976" s="66" t="s">
        <v>870</v>
      </c>
      <c r="K976" s="66"/>
      <c r="L976" s="66"/>
      <c r="M976" s="66"/>
      <c r="N976" s="66"/>
      <c r="O976" s="66" t="s">
        <v>893</v>
      </c>
      <c r="P976" s="66"/>
      <c r="Q976" s="66">
        <v>1</v>
      </c>
      <c r="R976" s="66">
        <v>933</v>
      </c>
      <c r="S976" s="66"/>
    </row>
    <row r="977" spans="1:19" x14ac:dyDescent="0.25">
      <c r="A977" s="15">
        <v>46</v>
      </c>
      <c r="B977" s="66"/>
      <c r="C977" s="66">
        <v>2429</v>
      </c>
      <c r="D977" s="66"/>
      <c r="E977" s="66" t="s">
        <v>763</v>
      </c>
      <c r="F977" s="66">
        <v>3</v>
      </c>
      <c r="G977" s="66"/>
      <c r="H977" s="66">
        <v>3</v>
      </c>
      <c r="I977" s="66" t="e">
        <v>#N/A</v>
      </c>
      <c r="J977" s="66" t="s">
        <v>870</v>
      </c>
      <c r="K977" s="66"/>
      <c r="L977" s="66"/>
      <c r="M977" s="66"/>
      <c r="N977" s="66"/>
      <c r="O977" s="66" t="s">
        <v>894</v>
      </c>
      <c r="P977" s="66"/>
      <c r="Q977" s="66">
        <v>1</v>
      </c>
      <c r="R977" s="66">
        <v>1149</v>
      </c>
      <c r="S977" s="66"/>
    </row>
    <row r="978" spans="1:19" x14ac:dyDescent="0.25">
      <c r="A978" s="15">
        <v>46</v>
      </c>
      <c r="B978" s="66"/>
      <c r="C978" s="66">
        <v>2429</v>
      </c>
      <c r="D978" s="66"/>
      <c r="E978" s="66" t="s">
        <v>763</v>
      </c>
      <c r="F978" s="66">
        <v>3</v>
      </c>
      <c r="G978" s="66"/>
      <c r="H978" s="66">
        <v>3</v>
      </c>
      <c r="I978" s="66" t="e">
        <v>#N/A</v>
      </c>
      <c r="J978" s="66" t="s">
        <v>870</v>
      </c>
      <c r="K978" s="66"/>
      <c r="L978" s="66"/>
      <c r="M978" s="66"/>
      <c r="N978" s="66"/>
      <c r="O978" s="66" t="s">
        <v>895</v>
      </c>
      <c r="P978" s="66"/>
      <c r="Q978" s="66">
        <v>1</v>
      </c>
      <c r="R978" s="66">
        <v>1150</v>
      </c>
      <c r="S978" s="66"/>
    </row>
    <row r="979" spans="1:19" x14ac:dyDescent="0.25">
      <c r="A979" s="15">
        <v>46</v>
      </c>
      <c r="B979" s="66"/>
      <c r="C979" s="66">
        <v>2429</v>
      </c>
      <c r="D979" s="66"/>
      <c r="E979" s="66" t="s">
        <v>763</v>
      </c>
      <c r="F979" s="66">
        <v>3</v>
      </c>
      <c r="G979" s="66"/>
      <c r="H979" s="66">
        <v>3</v>
      </c>
      <c r="I979" s="66" t="e">
        <v>#N/A</v>
      </c>
      <c r="J979" s="66" t="s">
        <v>870</v>
      </c>
      <c r="K979" s="66"/>
      <c r="L979" s="66"/>
      <c r="M979" s="66"/>
      <c r="N979" s="66"/>
      <c r="O979" s="66" t="s">
        <v>896</v>
      </c>
      <c r="P979" s="66"/>
      <c r="Q979" s="66">
        <v>1</v>
      </c>
      <c r="R979" s="66">
        <v>1151</v>
      </c>
      <c r="S979" s="66"/>
    </row>
    <row r="980" spans="1:19" x14ac:dyDescent="0.25">
      <c r="A980" s="15">
        <v>46</v>
      </c>
      <c r="B980" s="66"/>
      <c r="C980" s="66">
        <v>2429</v>
      </c>
      <c r="D980" s="66"/>
      <c r="E980" s="66" t="s">
        <v>763</v>
      </c>
      <c r="F980" s="66">
        <v>3</v>
      </c>
      <c r="G980" s="66"/>
      <c r="H980" s="66">
        <v>3</v>
      </c>
      <c r="I980" s="66" t="e">
        <v>#N/A</v>
      </c>
      <c r="J980" s="66" t="s">
        <v>870</v>
      </c>
      <c r="K980" s="66"/>
      <c r="L980" s="66"/>
      <c r="M980" s="66"/>
      <c r="N980" s="66"/>
      <c r="O980" s="66" t="s">
        <v>897</v>
      </c>
      <c r="P980" s="66"/>
      <c r="Q980" s="66">
        <v>1</v>
      </c>
      <c r="R980" s="66">
        <v>1152</v>
      </c>
      <c r="S980" s="66"/>
    </row>
    <row r="981" spans="1:19" x14ac:dyDescent="0.25">
      <c r="A981" s="15">
        <v>46</v>
      </c>
      <c r="B981" s="66"/>
      <c r="C981" s="66">
        <v>2429</v>
      </c>
      <c r="D981" s="66"/>
      <c r="E981" s="66" t="s">
        <v>763</v>
      </c>
      <c r="F981" s="66">
        <v>3</v>
      </c>
      <c r="G981" s="66"/>
      <c r="H981" s="66">
        <v>3</v>
      </c>
      <c r="I981" s="66" t="e">
        <v>#N/A</v>
      </c>
      <c r="J981" s="66" t="s">
        <v>870</v>
      </c>
      <c r="K981" s="66"/>
      <c r="L981" s="66"/>
      <c r="M981" s="66"/>
      <c r="N981" s="66"/>
      <c r="O981" s="66" t="s">
        <v>898</v>
      </c>
      <c r="P981" s="66"/>
      <c r="Q981" s="66">
        <v>1</v>
      </c>
      <c r="R981" s="66">
        <v>1153</v>
      </c>
      <c r="S981" s="66"/>
    </row>
    <row r="982" spans="1:19" x14ac:dyDescent="0.25">
      <c r="A982" s="15">
        <v>46</v>
      </c>
      <c r="B982" s="66"/>
      <c r="C982" s="66">
        <v>2429</v>
      </c>
      <c r="D982" s="66"/>
      <c r="E982" s="66" t="s">
        <v>763</v>
      </c>
      <c r="F982" s="66">
        <v>3</v>
      </c>
      <c r="G982" s="66"/>
      <c r="H982" s="66">
        <v>3</v>
      </c>
      <c r="I982" s="66" t="e">
        <v>#N/A</v>
      </c>
      <c r="J982" s="66" t="s">
        <v>870</v>
      </c>
      <c r="K982" s="66"/>
      <c r="L982" s="66"/>
      <c r="M982" s="66"/>
      <c r="N982" s="66"/>
      <c r="O982" s="66" t="s">
        <v>899</v>
      </c>
      <c r="P982" s="66"/>
      <c r="Q982" s="66">
        <v>1</v>
      </c>
      <c r="R982" s="66">
        <v>1154</v>
      </c>
      <c r="S982" s="66"/>
    </row>
    <row r="983" spans="1:19" x14ac:dyDescent="0.25">
      <c r="A983" s="15">
        <v>46</v>
      </c>
      <c r="B983" s="66"/>
      <c r="C983" s="66">
        <v>2429</v>
      </c>
      <c r="D983" s="66"/>
      <c r="E983" s="66" t="s">
        <v>763</v>
      </c>
      <c r="F983" s="66">
        <v>3</v>
      </c>
      <c r="G983" s="66"/>
      <c r="H983" s="66">
        <v>3</v>
      </c>
      <c r="I983" s="66" t="e">
        <v>#N/A</v>
      </c>
      <c r="J983" s="66" t="s">
        <v>870</v>
      </c>
      <c r="K983" s="66"/>
      <c r="L983" s="66"/>
      <c r="M983" s="66"/>
      <c r="N983" s="66"/>
      <c r="O983" s="66" t="s">
        <v>900</v>
      </c>
      <c r="P983" s="66"/>
      <c r="Q983" s="66">
        <v>1</v>
      </c>
      <c r="R983" s="66">
        <v>1155</v>
      </c>
      <c r="S983" s="66"/>
    </row>
    <row r="984" spans="1:19" x14ac:dyDescent="0.25">
      <c r="A984" s="15">
        <v>46</v>
      </c>
      <c r="B984" s="66"/>
      <c r="C984" s="66">
        <v>2429</v>
      </c>
      <c r="D984" s="66"/>
      <c r="E984" s="66" t="s">
        <v>763</v>
      </c>
      <c r="F984" s="66">
        <v>3</v>
      </c>
      <c r="G984" s="66"/>
      <c r="H984" s="66">
        <v>3</v>
      </c>
      <c r="I984" s="66" t="e">
        <v>#N/A</v>
      </c>
      <c r="J984" s="66" t="s">
        <v>870</v>
      </c>
      <c r="K984" s="66"/>
      <c r="L984" s="66"/>
      <c r="M984" s="66"/>
      <c r="N984" s="66"/>
      <c r="O984" s="66" t="s">
        <v>901</v>
      </c>
      <c r="P984" s="66"/>
      <c r="Q984" s="66">
        <v>1</v>
      </c>
      <c r="R984" s="66">
        <v>1156</v>
      </c>
      <c r="S984" s="66"/>
    </row>
    <row r="985" spans="1:19" x14ac:dyDescent="0.25">
      <c r="A985" s="15">
        <v>46</v>
      </c>
      <c r="B985" s="66"/>
      <c r="C985" s="66">
        <v>2429</v>
      </c>
      <c r="D985" s="66"/>
      <c r="E985" s="66" t="s">
        <v>763</v>
      </c>
      <c r="F985" s="66">
        <v>3</v>
      </c>
      <c r="G985" s="66"/>
      <c r="H985" s="66">
        <v>3</v>
      </c>
      <c r="I985" s="66" t="e">
        <v>#N/A</v>
      </c>
      <c r="J985" s="66" t="s">
        <v>870</v>
      </c>
      <c r="K985" s="66"/>
      <c r="L985" s="66"/>
      <c r="M985" s="66"/>
      <c r="N985" s="66"/>
      <c r="O985" s="66" t="s">
        <v>902</v>
      </c>
      <c r="P985" s="66"/>
      <c r="Q985" s="66">
        <v>1</v>
      </c>
      <c r="R985" s="66">
        <v>1157</v>
      </c>
      <c r="S985" s="66"/>
    </row>
    <row r="986" spans="1:19" x14ac:dyDescent="0.25">
      <c r="A986" s="15">
        <v>46</v>
      </c>
      <c r="B986" s="66"/>
      <c r="C986" s="66">
        <v>2429</v>
      </c>
      <c r="D986" s="66"/>
      <c r="E986" s="66" t="s">
        <v>763</v>
      </c>
      <c r="F986" s="66">
        <v>3</v>
      </c>
      <c r="G986" s="66"/>
      <c r="H986" s="66">
        <v>3</v>
      </c>
      <c r="I986" s="66" t="e">
        <v>#N/A</v>
      </c>
      <c r="J986" s="66" t="s">
        <v>870</v>
      </c>
      <c r="K986" s="66"/>
      <c r="L986" s="66"/>
      <c r="M986" s="66"/>
      <c r="N986" s="66"/>
      <c r="O986" s="66" t="s">
        <v>903</v>
      </c>
      <c r="P986" s="66"/>
      <c r="Q986" s="66">
        <v>1</v>
      </c>
      <c r="R986" s="66">
        <v>1158</v>
      </c>
      <c r="S986" s="66"/>
    </row>
    <row r="987" spans="1:19" x14ac:dyDescent="0.25">
      <c r="A987" s="15">
        <v>46</v>
      </c>
      <c r="B987" s="66"/>
      <c r="C987" s="66">
        <v>2429</v>
      </c>
      <c r="D987" s="66"/>
      <c r="E987" s="66" t="s">
        <v>763</v>
      </c>
      <c r="F987" s="66">
        <v>3</v>
      </c>
      <c r="G987" s="66"/>
      <c r="H987" s="66">
        <v>3</v>
      </c>
      <c r="I987" s="66" t="e">
        <v>#N/A</v>
      </c>
      <c r="J987" s="66" t="s">
        <v>870</v>
      </c>
      <c r="K987" s="66"/>
      <c r="L987" s="66"/>
      <c r="M987" s="66"/>
      <c r="N987" s="66"/>
      <c r="O987" s="66" t="s">
        <v>904</v>
      </c>
      <c r="P987" s="66"/>
      <c r="Q987" s="66">
        <v>1</v>
      </c>
      <c r="R987" s="66">
        <v>1159</v>
      </c>
      <c r="S987" s="66"/>
    </row>
    <row r="988" spans="1:19" x14ac:dyDescent="0.25">
      <c r="A988" s="15">
        <v>46</v>
      </c>
      <c r="B988" s="66"/>
      <c r="C988" s="66">
        <v>2429</v>
      </c>
      <c r="D988" s="66"/>
      <c r="E988" s="66" t="s">
        <v>763</v>
      </c>
      <c r="F988" s="66">
        <v>3</v>
      </c>
      <c r="G988" s="66"/>
      <c r="H988" s="66">
        <v>3</v>
      </c>
      <c r="I988" s="66" t="e">
        <v>#N/A</v>
      </c>
      <c r="J988" s="66" t="s">
        <v>870</v>
      </c>
      <c r="K988" s="66"/>
      <c r="L988" s="66"/>
      <c r="M988" s="66"/>
      <c r="N988" s="66"/>
      <c r="O988" s="66" t="s">
        <v>905</v>
      </c>
      <c r="P988" s="66"/>
      <c r="Q988" s="66">
        <v>1</v>
      </c>
      <c r="R988" s="66">
        <v>1160</v>
      </c>
      <c r="S988" s="66"/>
    </row>
    <row r="989" spans="1:19" x14ac:dyDescent="0.25">
      <c r="A989" s="15">
        <v>46</v>
      </c>
      <c r="B989" s="66"/>
      <c r="C989" s="66">
        <v>2429</v>
      </c>
      <c r="D989" s="66"/>
      <c r="E989" s="66" t="s">
        <v>763</v>
      </c>
      <c r="F989" s="66">
        <v>3</v>
      </c>
      <c r="G989" s="66"/>
      <c r="H989" s="66" t="e">
        <v>#N/A</v>
      </c>
      <c r="I989" s="66"/>
      <c r="J989" s="66" t="s">
        <v>870</v>
      </c>
      <c r="K989" s="66"/>
      <c r="L989" s="66"/>
      <c r="M989" s="66"/>
      <c r="N989" s="66"/>
      <c r="O989" s="66" t="s">
        <v>906</v>
      </c>
      <c r="P989" s="66"/>
      <c r="Q989" s="66">
        <v>1</v>
      </c>
      <c r="R989" s="66">
        <v>1289</v>
      </c>
      <c r="S989" s="66"/>
    </row>
    <row r="990" spans="1:19" x14ac:dyDescent="0.25">
      <c r="A990" s="15">
        <v>46</v>
      </c>
      <c r="B990" s="66"/>
      <c r="C990" s="66">
        <v>2429</v>
      </c>
      <c r="D990" s="66"/>
      <c r="E990" s="66" t="s">
        <v>763</v>
      </c>
      <c r="F990" s="66">
        <v>5</v>
      </c>
      <c r="G990" s="66"/>
      <c r="H990" s="66" t="e">
        <v>#N/A</v>
      </c>
      <c r="I990" s="66"/>
      <c r="J990" s="66" t="s">
        <v>870</v>
      </c>
      <c r="K990" s="66"/>
      <c r="L990" s="66"/>
      <c r="M990" s="66"/>
      <c r="N990" s="66"/>
      <c r="O990" s="66" t="s">
        <v>908</v>
      </c>
      <c r="P990" s="66"/>
      <c r="Q990" s="66">
        <v>1</v>
      </c>
      <c r="R990" s="66">
        <v>1443</v>
      </c>
      <c r="S990" s="66"/>
    </row>
    <row r="991" spans="1:19" x14ac:dyDescent="0.25">
      <c r="A991" s="15">
        <v>46</v>
      </c>
      <c r="B991" s="66"/>
      <c r="C991" s="66">
        <v>2429</v>
      </c>
      <c r="D991" s="66"/>
      <c r="E991" s="66" t="s">
        <v>763</v>
      </c>
      <c r="F991" s="66">
        <v>5</v>
      </c>
      <c r="G991" s="66"/>
      <c r="H991" s="66" t="e">
        <v>#N/A</v>
      </c>
      <c r="I991" s="66"/>
      <c r="J991" s="66" t="s">
        <v>870</v>
      </c>
      <c r="K991" s="66"/>
      <c r="L991" s="66"/>
      <c r="M991" s="66"/>
      <c r="N991" s="66"/>
      <c r="O991" s="66" t="s">
        <v>909</v>
      </c>
      <c r="P991" s="66"/>
      <c r="Q991" s="66">
        <v>1</v>
      </c>
      <c r="R991" s="66">
        <v>1444</v>
      </c>
      <c r="S991" s="66"/>
    </row>
    <row r="992" spans="1:19" x14ac:dyDescent="0.25">
      <c r="A992" s="15">
        <v>46</v>
      </c>
      <c r="B992" s="66"/>
      <c r="C992" s="66">
        <v>2429</v>
      </c>
      <c r="D992" s="66"/>
      <c r="E992" s="66" t="s">
        <v>763</v>
      </c>
      <c r="F992" s="66">
        <v>5</v>
      </c>
      <c r="G992" s="66"/>
      <c r="H992" s="66" t="e">
        <v>#N/A</v>
      </c>
      <c r="I992" s="66"/>
      <c r="J992" s="66" t="s">
        <v>870</v>
      </c>
      <c r="K992" s="66"/>
      <c r="L992" s="66"/>
      <c r="M992" s="66"/>
      <c r="N992" s="66"/>
      <c r="O992" s="66" t="s">
        <v>910</v>
      </c>
      <c r="P992" s="66"/>
      <c r="Q992" s="66">
        <v>1</v>
      </c>
      <c r="R992" s="66">
        <v>1445</v>
      </c>
      <c r="S992" s="66"/>
    </row>
    <row r="993" spans="1:19" x14ac:dyDescent="0.25">
      <c r="A993" s="15">
        <v>46</v>
      </c>
      <c r="B993" s="66"/>
      <c r="C993" s="66">
        <v>2429</v>
      </c>
      <c r="D993" s="66"/>
      <c r="E993" s="66" t="s">
        <v>763</v>
      </c>
      <c r="F993" s="66">
        <v>5</v>
      </c>
      <c r="G993" s="66"/>
      <c r="H993" s="66" t="e">
        <v>#N/A</v>
      </c>
      <c r="I993" s="66"/>
      <c r="J993" s="66" t="s">
        <v>870</v>
      </c>
      <c r="K993" s="66"/>
      <c r="L993" s="66"/>
      <c r="M993" s="66"/>
      <c r="N993" s="66"/>
      <c r="O993" s="66" t="s">
        <v>911</v>
      </c>
      <c r="P993" s="66"/>
      <c r="Q993" s="66">
        <v>1</v>
      </c>
      <c r="R993" s="66">
        <v>1446</v>
      </c>
      <c r="S993" s="66"/>
    </row>
    <row r="994" spans="1:19" x14ac:dyDescent="0.25">
      <c r="A994" s="15">
        <v>46</v>
      </c>
      <c r="B994" s="66"/>
      <c r="C994" s="66">
        <v>2429</v>
      </c>
      <c r="D994" s="66"/>
      <c r="E994" s="66" t="s">
        <v>763</v>
      </c>
      <c r="F994" s="66">
        <v>5</v>
      </c>
      <c r="G994" s="66"/>
      <c r="H994" s="66" t="e">
        <v>#N/A</v>
      </c>
      <c r="I994" s="66"/>
      <c r="J994" s="66" t="s">
        <v>870</v>
      </c>
      <c r="K994" s="66"/>
      <c r="L994" s="66"/>
      <c r="M994" s="66"/>
      <c r="N994" s="66"/>
      <c r="O994" s="66" t="s">
        <v>912</v>
      </c>
      <c r="P994" s="66"/>
      <c r="Q994" s="66">
        <v>1</v>
      </c>
      <c r="R994" s="66">
        <v>1447</v>
      </c>
      <c r="S994" s="66"/>
    </row>
    <row r="995" spans="1:19" x14ac:dyDescent="0.25">
      <c r="A995" s="15">
        <v>46</v>
      </c>
      <c r="B995" s="66"/>
      <c r="C995" s="66">
        <v>2429</v>
      </c>
      <c r="D995" s="66"/>
      <c r="E995" s="66" t="s">
        <v>763</v>
      </c>
      <c r="F995" s="66">
        <v>5</v>
      </c>
      <c r="G995" s="66"/>
      <c r="H995" s="66" t="e">
        <v>#N/A</v>
      </c>
      <c r="I995" s="66"/>
      <c r="J995" s="66" t="s">
        <v>870</v>
      </c>
      <c r="K995" s="66"/>
      <c r="L995" s="66"/>
      <c r="M995" s="66"/>
      <c r="N995" s="66"/>
      <c r="O995" s="66" t="s">
        <v>913</v>
      </c>
      <c r="P995" s="66"/>
      <c r="Q995" s="66">
        <v>1</v>
      </c>
      <c r="R995" s="66">
        <v>1448</v>
      </c>
      <c r="S995" s="66"/>
    </row>
    <row r="996" spans="1:19" x14ac:dyDescent="0.25">
      <c r="A996" s="15">
        <v>46</v>
      </c>
      <c r="B996" s="66"/>
      <c r="C996" s="66">
        <v>2429</v>
      </c>
      <c r="D996" s="66"/>
      <c r="E996" s="66" t="s">
        <v>763</v>
      </c>
      <c r="F996" s="66">
        <v>5</v>
      </c>
      <c r="G996" s="66"/>
      <c r="H996" s="66" t="e">
        <v>#N/A</v>
      </c>
      <c r="I996" s="66"/>
      <c r="J996" s="66" t="s">
        <v>870</v>
      </c>
      <c r="K996" s="66"/>
      <c r="L996" s="66"/>
      <c r="M996" s="66"/>
      <c r="N996" s="66"/>
      <c r="O996" s="66" t="s">
        <v>914</v>
      </c>
      <c r="P996" s="66"/>
      <c r="Q996" s="66">
        <v>1</v>
      </c>
      <c r="R996" s="66">
        <v>1449</v>
      </c>
      <c r="S996" s="66"/>
    </row>
    <row r="997" spans="1:19" x14ac:dyDescent="0.25">
      <c r="A997" s="15">
        <v>46</v>
      </c>
      <c r="B997" s="66"/>
      <c r="C997" s="66">
        <v>2429</v>
      </c>
      <c r="D997" s="66"/>
      <c r="E997" s="66" t="s">
        <v>763</v>
      </c>
      <c r="F997" s="66">
        <v>5</v>
      </c>
      <c r="G997" s="66"/>
      <c r="H997" s="66" t="e">
        <v>#N/A</v>
      </c>
      <c r="I997" s="66"/>
      <c r="J997" s="66" t="s">
        <v>870</v>
      </c>
      <c r="K997" s="66"/>
      <c r="L997" s="66"/>
      <c r="M997" s="66"/>
      <c r="N997" s="66"/>
      <c r="O997" s="66" t="s">
        <v>915</v>
      </c>
      <c r="P997" s="66"/>
      <c r="Q997" s="66">
        <v>1</v>
      </c>
      <c r="R997" s="66">
        <v>1450</v>
      </c>
      <c r="S997" s="66"/>
    </row>
    <row r="998" spans="1:19" x14ac:dyDescent="0.25">
      <c r="A998" s="15">
        <v>46</v>
      </c>
      <c r="B998" s="66"/>
      <c r="C998" s="66">
        <v>2429</v>
      </c>
      <c r="D998" s="66"/>
      <c r="E998" s="66" t="s">
        <v>763</v>
      </c>
      <c r="F998" s="66">
        <v>5</v>
      </c>
      <c r="G998" s="66"/>
      <c r="H998" s="66" t="e">
        <v>#N/A</v>
      </c>
      <c r="I998" s="66"/>
      <c r="J998" s="66" t="s">
        <v>870</v>
      </c>
      <c r="K998" s="66"/>
      <c r="L998" s="66"/>
      <c r="M998" s="66"/>
      <c r="N998" s="66"/>
      <c r="O998" s="66" t="s">
        <v>916</v>
      </c>
      <c r="P998" s="66"/>
      <c r="Q998" s="66">
        <v>1</v>
      </c>
      <c r="R998" s="66">
        <v>1451</v>
      </c>
      <c r="S998" s="66"/>
    </row>
    <row r="999" spans="1:19" x14ac:dyDescent="0.25">
      <c r="A999" s="15">
        <v>46</v>
      </c>
      <c r="B999" s="66"/>
      <c r="C999" s="66">
        <v>2429</v>
      </c>
      <c r="D999" s="66"/>
      <c r="E999" s="66" t="s">
        <v>763</v>
      </c>
      <c r="F999" s="66">
        <v>5</v>
      </c>
      <c r="G999" s="66"/>
      <c r="H999" s="66" t="e">
        <v>#N/A</v>
      </c>
      <c r="I999" s="66"/>
      <c r="J999" s="66" t="s">
        <v>870</v>
      </c>
      <c r="K999" s="66"/>
      <c r="L999" s="66"/>
      <c r="M999" s="66"/>
      <c r="N999" s="66"/>
      <c r="O999" s="66" t="s">
        <v>917</v>
      </c>
      <c r="P999" s="66"/>
      <c r="Q999" s="66">
        <v>1</v>
      </c>
      <c r="R999" s="66">
        <v>1452</v>
      </c>
      <c r="S999" s="66"/>
    </row>
    <row r="1000" spans="1:19" x14ac:dyDescent="0.25">
      <c r="A1000" s="15">
        <v>46</v>
      </c>
      <c r="B1000" s="66"/>
      <c r="C1000" s="66">
        <v>2429</v>
      </c>
      <c r="D1000" s="66"/>
      <c r="E1000" s="66" t="s">
        <v>763</v>
      </c>
      <c r="F1000" s="66">
        <v>5</v>
      </c>
      <c r="G1000" s="66"/>
      <c r="H1000" s="66" t="e">
        <v>#N/A</v>
      </c>
      <c r="I1000" s="66"/>
      <c r="J1000" s="66" t="s">
        <v>870</v>
      </c>
      <c r="K1000" s="66"/>
      <c r="L1000" s="66"/>
      <c r="M1000" s="66"/>
      <c r="N1000" s="66"/>
      <c r="O1000" s="66" t="s">
        <v>918</v>
      </c>
      <c r="P1000" s="66"/>
      <c r="Q1000" s="66">
        <v>1</v>
      </c>
      <c r="R1000" s="66">
        <v>1453</v>
      </c>
      <c r="S1000" s="66"/>
    </row>
    <row r="1001" spans="1:19" x14ac:dyDescent="0.25">
      <c r="A1001" s="15">
        <v>46</v>
      </c>
      <c r="B1001" s="66"/>
      <c r="C1001" s="66">
        <v>2429</v>
      </c>
      <c r="D1001" s="66"/>
      <c r="E1001" s="66" t="s">
        <v>763</v>
      </c>
      <c r="F1001" s="66">
        <v>5</v>
      </c>
      <c r="G1001" s="66"/>
      <c r="H1001" s="66" t="e">
        <v>#N/A</v>
      </c>
      <c r="I1001" s="66"/>
      <c r="J1001" s="66" t="s">
        <v>870</v>
      </c>
      <c r="K1001" s="66"/>
      <c r="L1001" s="66"/>
      <c r="M1001" s="66"/>
      <c r="N1001" s="66"/>
      <c r="O1001" s="66" t="s">
        <v>919</v>
      </c>
      <c r="P1001" s="66"/>
      <c r="Q1001" s="66">
        <v>1</v>
      </c>
      <c r="R1001" s="66">
        <v>1454</v>
      </c>
      <c r="S1001" s="66"/>
    </row>
    <row r="1002" spans="1:19" x14ac:dyDescent="0.25">
      <c r="A1002" s="15">
        <v>47</v>
      </c>
      <c r="B1002" s="66"/>
      <c r="C1002" s="66"/>
      <c r="D1002" s="66"/>
      <c r="E1002" s="66"/>
      <c r="F1002" s="66"/>
      <c r="G1002" s="66"/>
      <c r="H1002" s="66"/>
      <c r="I1002" s="66"/>
      <c r="J1002" s="66"/>
      <c r="K1002" s="66"/>
      <c r="L1002" s="66"/>
      <c r="M1002" s="66"/>
      <c r="N1002" s="66"/>
      <c r="O1002" s="66"/>
      <c r="P1002" s="66"/>
      <c r="Q1002" s="66"/>
      <c r="R1002" s="66"/>
      <c r="S1002" s="66"/>
    </row>
    <row r="1003" spans="1:19" x14ac:dyDescent="0.25">
      <c r="A1003" s="15">
        <v>47</v>
      </c>
      <c r="B1003" s="66"/>
      <c r="C1003" s="66"/>
      <c r="D1003" s="66"/>
      <c r="E1003" s="66"/>
      <c r="F1003" s="66"/>
      <c r="G1003" s="66"/>
      <c r="H1003" s="66"/>
      <c r="I1003" s="66"/>
      <c r="J1003" s="66"/>
      <c r="K1003" s="66"/>
      <c r="L1003" s="66"/>
      <c r="M1003" s="66"/>
      <c r="N1003" s="66"/>
      <c r="O1003" s="66" t="s">
        <v>805</v>
      </c>
      <c r="P1003" s="66"/>
      <c r="Q1003" s="66"/>
      <c r="R1003" s="66"/>
      <c r="S1003" s="66"/>
    </row>
    <row r="1004" spans="1:19" x14ac:dyDescent="0.25">
      <c r="A1004" s="15">
        <v>47</v>
      </c>
      <c r="B1004" s="66"/>
      <c r="C1004" s="66"/>
      <c r="D1004" s="66"/>
      <c r="E1004" s="66"/>
      <c r="F1004" s="66"/>
      <c r="G1004" s="66"/>
      <c r="H1004" s="66"/>
      <c r="I1004" s="66"/>
      <c r="J1004" s="66"/>
      <c r="K1004" s="66"/>
      <c r="L1004" s="66"/>
      <c r="M1004" s="66"/>
      <c r="N1004" s="66"/>
      <c r="O1004" s="66" t="s">
        <v>837</v>
      </c>
      <c r="P1004" s="66"/>
      <c r="Q1004" s="66"/>
      <c r="R1004" s="66"/>
      <c r="S1004" s="66"/>
    </row>
    <row r="1005" spans="1:19" x14ac:dyDescent="0.25">
      <c r="A1005" s="15">
        <v>47</v>
      </c>
      <c r="B1005" s="66"/>
      <c r="C1005" s="66"/>
      <c r="D1005" s="66"/>
      <c r="E1005" s="66"/>
      <c r="F1005" s="66"/>
      <c r="G1005" s="66"/>
      <c r="H1005" s="66"/>
      <c r="I1005" s="66"/>
      <c r="J1005" s="66"/>
      <c r="K1005" s="66"/>
      <c r="L1005" s="66"/>
      <c r="M1005" s="66"/>
      <c r="N1005" s="66"/>
      <c r="O1005" s="66" t="s">
        <v>845</v>
      </c>
      <c r="P1005" s="66"/>
      <c r="Q1005" s="66"/>
      <c r="R1005" s="66"/>
      <c r="S1005" s="66"/>
    </row>
    <row r="1006" spans="1:19" x14ac:dyDescent="0.25">
      <c r="A1006" s="15">
        <v>47</v>
      </c>
      <c r="B1006" s="66"/>
      <c r="C1006" s="66" t="s">
        <v>77</v>
      </c>
      <c r="D1006" s="66"/>
      <c r="E1006" s="66" t="s">
        <v>763</v>
      </c>
      <c r="F1006" s="66">
        <v>10</v>
      </c>
      <c r="G1006" s="66"/>
      <c r="H1006" s="66">
        <v>10</v>
      </c>
      <c r="I1006" s="66">
        <v>12.583333333333332</v>
      </c>
      <c r="J1006" s="66" t="s">
        <v>850</v>
      </c>
      <c r="K1006" s="66"/>
      <c r="L1006" s="66"/>
      <c r="M1006" s="66"/>
      <c r="N1006" s="66"/>
      <c r="O1006" s="66" t="s">
        <v>849</v>
      </c>
      <c r="P1006" s="66"/>
      <c r="Q1006" s="66">
        <v>1</v>
      </c>
      <c r="R1006" s="66">
        <v>310</v>
      </c>
      <c r="S1006" s="66"/>
    </row>
    <row r="1007" spans="1:19" x14ac:dyDescent="0.25">
      <c r="A1007" s="15">
        <v>47</v>
      </c>
      <c r="B1007" s="66"/>
      <c r="C1007" s="66">
        <v>2429</v>
      </c>
      <c r="D1007" s="66"/>
      <c r="E1007" s="66" t="s">
        <v>763</v>
      </c>
      <c r="F1007" s="66">
        <v>10</v>
      </c>
      <c r="G1007" s="66"/>
      <c r="H1007" s="66"/>
      <c r="I1007" s="66">
        <v>26.666666666666668</v>
      </c>
      <c r="J1007" s="66" t="s">
        <v>850</v>
      </c>
      <c r="K1007" s="66"/>
      <c r="L1007" s="66"/>
      <c r="M1007" s="66"/>
      <c r="N1007" s="66"/>
      <c r="O1007" s="66" t="s">
        <v>852</v>
      </c>
      <c r="P1007" s="66"/>
      <c r="Q1007" s="66">
        <v>1</v>
      </c>
      <c r="R1007" s="66">
        <v>475</v>
      </c>
      <c r="S1007" s="66"/>
    </row>
    <row r="1008" spans="1:19" x14ac:dyDescent="0.25">
      <c r="A1008" s="15">
        <v>47</v>
      </c>
      <c r="B1008" s="66"/>
      <c r="C1008" s="66">
        <v>2429</v>
      </c>
      <c r="D1008" s="66"/>
      <c r="E1008" s="66" t="s">
        <v>763</v>
      </c>
      <c r="F1008" s="66">
        <v>10</v>
      </c>
      <c r="G1008" s="66"/>
      <c r="H1008" s="66"/>
      <c r="I1008" s="66">
        <v>15.666666666666666</v>
      </c>
      <c r="J1008" s="66" t="s">
        <v>850</v>
      </c>
      <c r="K1008" s="66"/>
      <c r="L1008" s="66"/>
      <c r="M1008" s="66"/>
      <c r="N1008" s="66"/>
      <c r="O1008" s="66" t="s">
        <v>853</v>
      </c>
      <c r="P1008" s="66"/>
      <c r="Q1008" s="66">
        <v>1</v>
      </c>
      <c r="R1008" s="66">
        <v>476</v>
      </c>
      <c r="S1008" s="66"/>
    </row>
    <row r="1009" spans="1:19" x14ac:dyDescent="0.25">
      <c r="A1009" s="15">
        <v>47</v>
      </c>
      <c r="B1009" s="66"/>
      <c r="C1009" s="66">
        <v>2429</v>
      </c>
      <c r="D1009" s="66"/>
      <c r="E1009" s="66" t="s">
        <v>763</v>
      </c>
      <c r="F1009" s="66">
        <v>6</v>
      </c>
      <c r="G1009" s="66"/>
      <c r="H1009" s="66"/>
      <c r="I1009" s="66">
        <v>15.666666666666666</v>
      </c>
      <c r="J1009" s="66" t="s">
        <v>850</v>
      </c>
      <c r="K1009" s="66"/>
      <c r="L1009" s="66"/>
      <c r="M1009" s="66"/>
      <c r="N1009" s="66"/>
      <c r="O1009" s="66" t="s">
        <v>854</v>
      </c>
      <c r="P1009" s="66"/>
      <c r="Q1009" s="66">
        <v>1</v>
      </c>
      <c r="R1009" s="66">
        <v>477</v>
      </c>
      <c r="S1009" s="66"/>
    </row>
    <row r="1010" spans="1:19" x14ac:dyDescent="0.25">
      <c r="A1010" s="15">
        <v>47</v>
      </c>
      <c r="B1010" s="66"/>
      <c r="C1010" s="66">
        <v>2429</v>
      </c>
      <c r="D1010" s="66"/>
      <c r="E1010" s="66" t="s">
        <v>763</v>
      </c>
      <c r="F1010" s="66">
        <v>6</v>
      </c>
      <c r="G1010" s="66"/>
      <c r="H1010" s="66"/>
      <c r="I1010" s="66">
        <v>15.666666666666666</v>
      </c>
      <c r="J1010" s="66" t="s">
        <v>850</v>
      </c>
      <c r="K1010" s="66"/>
      <c r="L1010" s="66"/>
      <c r="M1010" s="66"/>
      <c r="N1010" s="66"/>
      <c r="O1010" s="66" t="s">
        <v>855</v>
      </c>
      <c r="P1010" s="66"/>
      <c r="Q1010" s="66">
        <v>1</v>
      </c>
      <c r="R1010" s="66">
        <v>478</v>
      </c>
      <c r="S1010" s="66"/>
    </row>
    <row r="1011" spans="1:19" x14ac:dyDescent="0.25">
      <c r="A1011" s="15">
        <v>47</v>
      </c>
      <c r="B1011" s="66"/>
      <c r="C1011" s="66">
        <v>2429</v>
      </c>
      <c r="D1011" s="66"/>
      <c r="E1011" s="66" t="s">
        <v>763</v>
      </c>
      <c r="F1011" s="66">
        <v>6</v>
      </c>
      <c r="G1011" s="66"/>
      <c r="H1011" s="66"/>
      <c r="I1011" s="66">
        <v>15.666666666666666</v>
      </c>
      <c r="J1011" s="66" t="s">
        <v>850</v>
      </c>
      <c r="K1011" s="66"/>
      <c r="L1011" s="66"/>
      <c r="M1011" s="66"/>
      <c r="N1011" s="66"/>
      <c r="O1011" s="66" t="s">
        <v>856</v>
      </c>
      <c r="P1011" s="66"/>
      <c r="Q1011" s="66">
        <v>1</v>
      </c>
      <c r="R1011" s="66">
        <v>479</v>
      </c>
      <c r="S1011" s="66"/>
    </row>
    <row r="1012" spans="1:19" x14ac:dyDescent="0.25">
      <c r="A1012" s="15">
        <v>47</v>
      </c>
      <c r="B1012" s="66"/>
      <c r="C1012" s="66">
        <v>2429</v>
      </c>
      <c r="D1012" s="66"/>
      <c r="E1012" s="66" t="s">
        <v>763</v>
      </c>
      <c r="F1012" s="66">
        <v>6</v>
      </c>
      <c r="G1012" s="66"/>
      <c r="H1012" s="66"/>
      <c r="I1012" s="66">
        <v>15.666666666666666</v>
      </c>
      <c r="J1012" s="66" t="s">
        <v>850</v>
      </c>
      <c r="K1012" s="66"/>
      <c r="L1012" s="66"/>
      <c r="M1012" s="66"/>
      <c r="N1012" s="66"/>
      <c r="O1012" s="66" t="s">
        <v>857</v>
      </c>
      <c r="P1012" s="66"/>
      <c r="Q1012" s="66">
        <v>1</v>
      </c>
      <c r="R1012" s="66">
        <v>480</v>
      </c>
      <c r="S1012" s="66"/>
    </row>
    <row r="1013" spans="1:19" x14ac:dyDescent="0.25">
      <c r="A1013" s="15">
        <v>47</v>
      </c>
      <c r="B1013" s="66"/>
      <c r="C1013" s="66">
        <v>2429</v>
      </c>
      <c r="D1013" s="66"/>
      <c r="E1013" s="66" t="s">
        <v>763</v>
      </c>
      <c r="F1013" s="66">
        <v>6</v>
      </c>
      <c r="G1013" s="66"/>
      <c r="H1013" s="66"/>
      <c r="I1013" s="66">
        <v>15.666666666666666</v>
      </c>
      <c r="J1013" s="66" t="s">
        <v>850</v>
      </c>
      <c r="K1013" s="66"/>
      <c r="L1013" s="66"/>
      <c r="M1013" s="66"/>
      <c r="N1013" s="66"/>
      <c r="O1013" s="66" t="s">
        <v>858</v>
      </c>
      <c r="P1013" s="66"/>
      <c r="Q1013" s="66">
        <v>1</v>
      </c>
      <c r="R1013" s="66">
        <v>481</v>
      </c>
      <c r="S1013" s="66"/>
    </row>
    <row r="1014" spans="1:19" x14ac:dyDescent="0.25">
      <c r="A1014" s="15">
        <v>47</v>
      </c>
      <c r="B1014" s="66"/>
      <c r="C1014" s="66">
        <v>2429</v>
      </c>
      <c r="D1014" s="66"/>
      <c r="E1014" s="66" t="s">
        <v>763</v>
      </c>
      <c r="F1014" s="66">
        <v>6</v>
      </c>
      <c r="G1014" s="66"/>
      <c r="H1014" s="66"/>
      <c r="I1014" s="66">
        <v>15.666666666666666</v>
      </c>
      <c r="J1014" s="66" t="s">
        <v>850</v>
      </c>
      <c r="K1014" s="66"/>
      <c r="L1014" s="66"/>
      <c r="M1014" s="66"/>
      <c r="N1014" s="66"/>
      <c r="O1014" s="66" t="s">
        <v>859</v>
      </c>
      <c r="P1014" s="66"/>
      <c r="Q1014" s="66">
        <v>1</v>
      </c>
      <c r="R1014" s="66">
        <v>482</v>
      </c>
      <c r="S1014" s="66"/>
    </row>
    <row r="1015" spans="1:19" x14ac:dyDescent="0.25">
      <c r="A1015" s="15">
        <v>47</v>
      </c>
      <c r="B1015" s="66"/>
      <c r="C1015" s="66">
        <v>2429</v>
      </c>
      <c r="D1015" s="66"/>
      <c r="E1015" s="66" t="s">
        <v>763</v>
      </c>
      <c r="F1015" s="66">
        <v>6</v>
      </c>
      <c r="G1015" s="66"/>
      <c r="H1015" s="66"/>
      <c r="I1015" s="66">
        <v>15.666666666666666</v>
      </c>
      <c r="J1015" s="66" t="s">
        <v>850</v>
      </c>
      <c r="K1015" s="66"/>
      <c r="L1015" s="66"/>
      <c r="M1015" s="66"/>
      <c r="N1015" s="66"/>
      <c r="O1015" s="66" t="s">
        <v>860</v>
      </c>
      <c r="P1015" s="66"/>
      <c r="Q1015" s="66">
        <v>1</v>
      </c>
      <c r="R1015" s="66">
        <v>483</v>
      </c>
      <c r="S1015" s="66"/>
    </row>
    <row r="1016" spans="1:19" x14ac:dyDescent="0.25">
      <c r="A1016" s="15">
        <v>47</v>
      </c>
      <c r="B1016" s="66"/>
      <c r="C1016" s="66">
        <v>2429</v>
      </c>
      <c r="D1016" s="66"/>
      <c r="E1016" s="66" t="s">
        <v>763</v>
      </c>
      <c r="F1016" s="66">
        <v>6</v>
      </c>
      <c r="G1016" s="66"/>
      <c r="H1016" s="66"/>
      <c r="I1016" s="66">
        <v>15.666666666666666</v>
      </c>
      <c r="J1016" s="66" t="s">
        <v>850</v>
      </c>
      <c r="K1016" s="66"/>
      <c r="L1016" s="66"/>
      <c r="M1016" s="66"/>
      <c r="N1016" s="66"/>
      <c r="O1016" s="66" t="s">
        <v>861</v>
      </c>
      <c r="P1016" s="66"/>
      <c r="Q1016" s="66">
        <v>1</v>
      </c>
      <c r="R1016" s="66">
        <v>484</v>
      </c>
      <c r="S1016" s="66"/>
    </row>
    <row r="1017" spans="1:19" x14ac:dyDescent="0.25">
      <c r="A1017" s="15">
        <v>47</v>
      </c>
      <c r="B1017" s="66"/>
      <c r="C1017" s="66">
        <v>2429</v>
      </c>
      <c r="D1017" s="66"/>
      <c r="E1017" s="66" t="s">
        <v>763</v>
      </c>
      <c r="F1017" s="66">
        <v>6</v>
      </c>
      <c r="G1017" s="66"/>
      <c r="H1017" s="66"/>
      <c r="I1017" s="66">
        <v>15.666666666666666</v>
      </c>
      <c r="J1017" s="66" t="s">
        <v>850</v>
      </c>
      <c r="K1017" s="66"/>
      <c r="L1017" s="66"/>
      <c r="M1017" s="66"/>
      <c r="N1017" s="66"/>
      <c r="O1017" s="66" t="s">
        <v>862</v>
      </c>
      <c r="P1017" s="66"/>
      <c r="Q1017" s="66">
        <v>1</v>
      </c>
      <c r="R1017" s="66">
        <v>485</v>
      </c>
      <c r="S1017" s="66"/>
    </row>
    <row r="1018" spans="1:19" x14ac:dyDescent="0.25">
      <c r="A1018" s="15">
        <v>47</v>
      </c>
      <c r="B1018" s="66"/>
      <c r="C1018" s="66">
        <v>2429</v>
      </c>
      <c r="D1018" s="66"/>
      <c r="E1018" s="66" t="s">
        <v>763</v>
      </c>
      <c r="F1018" s="66">
        <v>10</v>
      </c>
      <c r="G1018" s="66"/>
      <c r="H1018" s="66"/>
      <c r="I1018" s="66">
        <v>10.583333333333334</v>
      </c>
      <c r="J1018" s="66" t="s">
        <v>850</v>
      </c>
      <c r="K1018" s="66"/>
      <c r="L1018" s="66"/>
      <c r="M1018" s="66"/>
      <c r="N1018" s="66"/>
      <c r="O1018" s="66" t="s">
        <v>863</v>
      </c>
      <c r="P1018" s="66"/>
      <c r="Q1018" s="66">
        <v>1</v>
      </c>
      <c r="R1018" s="66">
        <v>486</v>
      </c>
      <c r="S1018" s="66"/>
    </row>
    <row r="1019" spans="1:19" x14ac:dyDescent="0.25">
      <c r="A1019" s="15">
        <v>47</v>
      </c>
      <c r="B1019" s="66"/>
      <c r="C1019" s="66">
        <v>2429</v>
      </c>
      <c r="D1019" s="66"/>
      <c r="E1019" s="66" t="s">
        <v>763</v>
      </c>
      <c r="F1019" s="66">
        <v>1</v>
      </c>
      <c r="G1019" s="66"/>
      <c r="H1019" s="66" t="e">
        <v>#N/A</v>
      </c>
      <c r="I1019" s="66"/>
      <c r="J1019" s="66" t="s">
        <v>870</v>
      </c>
      <c r="K1019" s="66" t="s">
        <v>757</v>
      </c>
      <c r="L1019" s="66" t="s">
        <v>757</v>
      </c>
      <c r="M1019" s="66" t="s">
        <v>757</v>
      </c>
      <c r="N1019" s="66" t="s">
        <v>757</v>
      </c>
      <c r="O1019" s="66" t="s">
        <v>869</v>
      </c>
      <c r="P1019" s="66"/>
      <c r="Q1019" s="66">
        <v>1</v>
      </c>
      <c r="R1019" s="66">
        <v>707</v>
      </c>
      <c r="S1019" s="66"/>
    </row>
    <row r="1020" spans="1:19" x14ac:dyDescent="0.25">
      <c r="A1020" s="15">
        <v>47</v>
      </c>
      <c r="B1020" s="66"/>
      <c r="C1020" s="66">
        <v>2429</v>
      </c>
      <c r="D1020" s="66"/>
      <c r="E1020" s="66" t="s">
        <v>763</v>
      </c>
      <c r="F1020" s="66">
        <v>1</v>
      </c>
      <c r="G1020" s="66"/>
      <c r="H1020" s="66" t="e">
        <v>#N/A</v>
      </c>
      <c r="I1020" s="66"/>
      <c r="J1020" s="66" t="s">
        <v>870</v>
      </c>
      <c r="K1020" s="66" t="s">
        <v>757</v>
      </c>
      <c r="L1020" s="66" t="s">
        <v>757</v>
      </c>
      <c r="M1020" s="66" t="s">
        <v>757</v>
      </c>
      <c r="N1020" s="66" t="s">
        <v>757</v>
      </c>
      <c r="O1020" s="66" t="s">
        <v>871</v>
      </c>
      <c r="P1020" s="66"/>
      <c r="Q1020" s="66">
        <v>1</v>
      </c>
      <c r="R1020" s="66">
        <v>708</v>
      </c>
      <c r="S1020" s="66"/>
    </row>
    <row r="1021" spans="1:19" x14ac:dyDescent="0.25">
      <c r="A1021" s="15">
        <v>47</v>
      </c>
      <c r="B1021" s="66"/>
      <c r="C1021" s="66">
        <v>2429</v>
      </c>
      <c r="D1021" s="66"/>
      <c r="E1021" s="66" t="s">
        <v>763</v>
      </c>
      <c r="F1021" s="66">
        <v>1</v>
      </c>
      <c r="G1021" s="66"/>
      <c r="H1021" s="66" t="e">
        <v>#N/A</v>
      </c>
      <c r="I1021" s="66"/>
      <c r="J1021" s="66" t="s">
        <v>870</v>
      </c>
      <c r="K1021" s="66" t="s">
        <v>757</v>
      </c>
      <c r="L1021" s="66" t="s">
        <v>757</v>
      </c>
      <c r="M1021" s="66" t="s">
        <v>757</v>
      </c>
      <c r="N1021" s="66" t="s">
        <v>757</v>
      </c>
      <c r="O1021" s="66" t="s">
        <v>872</v>
      </c>
      <c r="P1021" s="66"/>
      <c r="Q1021" s="66">
        <v>1</v>
      </c>
      <c r="R1021" s="66">
        <v>709</v>
      </c>
      <c r="S1021" s="66"/>
    </row>
    <row r="1022" spans="1:19" x14ac:dyDescent="0.25">
      <c r="A1022" s="15">
        <v>47</v>
      </c>
      <c r="B1022" s="66"/>
      <c r="C1022" s="66">
        <v>2429</v>
      </c>
      <c r="D1022" s="66"/>
      <c r="E1022" s="66" t="s">
        <v>763</v>
      </c>
      <c r="F1022" s="66">
        <v>1</v>
      </c>
      <c r="G1022" s="66"/>
      <c r="H1022" s="66" t="e">
        <v>#N/A</v>
      </c>
      <c r="I1022" s="66"/>
      <c r="J1022" s="66" t="s">
        <v>870</v>
      </c>
      <c r="K1022" s="66" t="s">
        <v>757</v>
      </c>
      <c r="L1022" s="66" t="s">
        <v>757</v>
      </c>
      <c r="M1022" s="66" t="s">
        <v>757</v>
      </c>
      <c r="N1022" s="66" t="s">
        <v>757</v>
      </c>
      <c r="O1022" s="66" t="s">
        <v>873</v>
      </c>
      <c r="P1022" s="66"/>
      <c r="Q1022" s="66">
        <v>1</v>
      </c>
      <c r="R1022" s="66">
        <v>710</v>
      </c>
      <c r="S1022" s="66"/>
    </row>
    <row r="1023" spans="1:19" x14ac:dyDescent="0.25">
      <c r="A1023" s="15">
        <v>47</v>
      </c>
      <c r="B1023" s="66"/>
      <c r="C1023" s="66">
        <v>2429</v>
      </c>
      <c r="D1023" s="66"/>
      <c r="E1023" s="66" t="s">
        <v>763</v>
      </c>
      <c r="F1023" s="66">
        <v>1</v>
      </c>
      <c r="G1023" s="66"/>
      <c r="H1023" s="66" t="e">
        <v>#N/A</v>
      </c>
      <c r="I1023" s="66"/>
      <c r="J1023" s="66" t="s">
        <v>870</v>
      </c>
      <c r="K1023" s="66" t="s">
        <v>757</v>
      </c>
      <c r="L1023" s="66" t="s">
        <v>757</v>
      </c>
      <c r="M1023" s="66" t="s">
        <v>757</v>
      </c>
      <c r="N1023" s="66" t="s">
        <v>757</v>
      </c>
      <c r="O1023" s="66" t="s">
        <v>874</v>
      </c>
      <c r="P1023" s="66"/>
      <c r="Q1023" s="66">
        <v>1</v>
      </c>
      <c r="R1023" s="66">
        <v>711</v>
      </c>
      <c r="S1023" s="66"/>
    </row>
    <row r="1024" spans="1:19" x14ac:dyDescent="0.25">
      <c r="A1024" s="15">
        <v>47</v>
      </c>
      <c r="B1024" s="66"/>
      <c r="C1024" s="66">
        <v>2429</v>
      </c>
      <c r="D1024" s="66"/>
      <c r="E1024" s="66" t="s">
        <v>763</v>
      </c>
      <c r="F1024" s="66">
        <v>1</v>
      </c>
      <c r="G1024" s="66"/>
      <c r="H1024" s="66" t="e">
        <v>#N/A</v>
      </c>
      <c r="I1024" s="66"/>
      <c r="J1024" s="66" t="s">
        <v>870</v>
      </c>
      <c r="K1024" s="66" t="s">
        <v>757</v>
      </c>
      <c r="L1024" s="66" t="s">
        <v>757</v>
      </c>
      <c r="M1024" s="66" t="s">
        <v>757</v>
      </c>
      <c r="N1024" s="66" t="s">
        <v>757</v>
      </c>
      <c r="O1024" s="66" t="s">
        <v>875</v>
      </c>
      <c r="P1024" s="66"/>
      <c r="Q1024" s="66">
        <v>1</v>
      </c>
      <c r="R1024" s="66">
        <v>712</v>
      </c>
      <c r="S1024" s="66"/>
    </row>
    <row r="1025" spans="1:19" x14ac:dyDescent="0.25">
      <c r="A1025" s="15">
        <v>47</v>
      </c>
      <c r="B1025" s="66"/>
      <c r="C1025" s="66">
        <v>2429</v>
      </c>
      <c r="D1025" s="66"/>
      <c r="E1025" s="66" t="s">
        <v>763</v>
      </c>
      <c r="F1025" s="66">
        <v>1</v>
      </c>
      <c r="G1025" s="66"/>
      <c r="H1025" s="66" t="e">
        <v>#N/A</v>
      </c>
      <c r="I1025" s="66"/>
      <c r="J1025" s="66" t="s">
        <v>870</v>
      </c>
      <c r="K1025" s="66" t="s">
        <v>757</v>
      </c>
      <c r="L1025" s="66" t="s">
        <v>757</v>
      </c>
      <c r="M1025" s="66" t="s">
        <v>757</v>
      </c>
      <c r="N1025" s="66" t="s">
        <v>757</v>
      </c>
      <c r="O1025" s="66" t="s">
        <v>876</v>
      </c>
      <c r="P1025" s="66"/>
      <c r="Q1025" s="66">
        <v>1</v>
      </c>
      <c r="R1025" s="66">
        <v>713</v>
      </c>
      <c r="S1025" s="66"/>
    </row>
    <row r="1026" spans="1:19" x14ac:dyDescent="0.25">
      <c r="A1026" s="15">
        <v>47</v>
      </c>
      <c r="B1026" s="66"/>
      <c r="C1026" s="66">
        <v>2429</v>
      </c>
      <c r="D1026" s="66"/>
      <c r="E1026" s="66" t="s">
        <v>763</v>
      </c>
      <c r="F1026" s="66">
        <v>1</v>
      </c>
      <c r="G1026" s="66"/>
      <c r="H1026" s="66" t="e">
        <v>#N/A</v>
      </c>
      <c r="I1026" s="66"/>
      <c r="J1026" s="66" t="s">
        <v>870</v>
      </c>
      <c r="K1026" s="66" t="s">
        <v>757</v>
      </c>
      <c r="L1026" s="66" t="s">
        <v>757</v>
      </c>
      <c r="M1026" s="66" t="s">
        <v>757</v>
      </c>
      <c r="N1026" s="66" t="s">
        <v>757</v>
      </c>
      <c r="O1026" s="66" t="s">
        <v>877</v>
      </c>
      <c r="P1026" s="66"/>
      <c r="Q1026" s="66">
        <v>1</v>
      </c>
      <c r="R1026" s="66">
        <v>714</v>
      </c>
      <c r="S1026" s="66"/>
    </row>
    <row r="1027" spans="1:19" x14ac:dyDescent="0.25">
      <c r="A1027" s="15">
        <v>47</v>
      </c>
      <c r="B1027" s="66"/>
      <c r="C1027" s="66">
        <v>2429</v>
      </c>
      <c r="D1027" s="66"/>
      <c r="E1027" s="66" t="s">
        <v>763</v>
      </c>
      <c r="F1027" s="66">
        <v>1</v>
      </c>
      <c r="G1027" s="66"/>
      <c r="H1027" s="66" t="e">
        <v>#N/A</v>
      </c>
      <c r="I1027" s="66"/>
      <c r="J1027" s="66" t="s">
        <v>870</v>
      </c>
      <c r="K1027" s="66" t="s">
        <v>757</v>
      </c>
      <c r="L1027" s="66" t="s">
        <v>757</v>
      </c>
      <c r="M1027" s="66" t="s">
        <v>757</v>
      </c>
      <c r="N1027" s="66" t="s">
        <v>757</v>
      </c>
      <c r="O1027" s="66" t="s">
        <v>878</v>
      </c>
      <c r="P1027" s="66"/>
      <c r="Q1027" s="66">
        <v>1</v>
      </c>
      <c r="R1027" s="66">
        <v>715</v>
      </c>
      <c r="S1027" s="66"/>
    </row>
    <row r="1028" spans="1:19" x14ac:dyDescent="0.25">
      <c r="A1028" s="15">
        <v>47</v>
      </c>
      <c r="B1028" s="66"/>
      <c r="C1028" s="66">
        <v>2429</v>
      </c>
      <c r="D1028" s="66"/>
      <c r="E1028" s="66" t="s">
        <v>763</v>
      </c>
      <c r="F1028" s="66">
        <v>1</v>
      </c>
      <c r="G1028" s="66"/>
      <c r="H1028" s="66" t="e">
        <v>#N/A</v>
      </c>
      <c r="I1028" s="66"/>
      <c r="J1028" s="66" t="s">
        <v>870</v>
      </c>
      <c r="K1028" s="66" t="s">
        <v>757</v>
      </c>
      <c r="L1028" s="66" t="s">
        <v>757</v>
      </c>
      <c r="M1028" s="66" t="s">
        <v>757</v>
      </c>
      <c r="N1028" s="66" t="s">
        <v>757</v>
      </c>
      <c r="O1028" s="66" t="s">
        <v>879</v>
      </c>
      <c r="P1028" s="66"/>
      <c r="Q1028" s="66">
        <v>1</v>
      </c>
      <c r="R1028" s="66">
        <v>716</v>
      </c>
      <c r="S1028" s="66"/>
    </row>
    <row r="1029" spans="1:19" x14ac:dyDescent="0.25">
      <c r="A1029" s="15">
        <v>47</v>
      </c>
      <c r="B1029" s="66"/>
      <c r="C1029" s="66">
        <v>2429</v>
      </c>
      <c r="D1029" s="66"/>
      <c r="E1029" s="66" t="s">
        <v>763</v>
      </c>
      <c r="F1029" s="66">
        <v>1</v>
      </c>
      <c r="G1029" s="66"/>
      <c r="H1029" s="66" t="e">
        <v>#N/A</v>
      </c>
      <c r="I1029" s="66"/>
      <c r="J1029" s="66" t="s">
        <v>870</v>
      </c>
      <c r="K1029" s="66" t="s">
        <v>757</v>
      </c>
      <c r="L1029" s="66" t="s">
        <v>757</v>
      </c>
      <c r="M1029" s="66" t="s">
        <v>757</v>
      </c>
      <c r="N1029" s="66" t="s">
        <v>757</v>
      </c>
      <c r="O1029" s="66" t="s">
        <v>880</v>
      </c>
      <c r="P1029" s="66"/>
      <c r="Q1029" s="66">
        <v>1</v>
      </c>
      <c r="R1029" s="66">
        <v>717</v>
      </c>
      <c r="S1029" s="66"/>
    </row>
    <row r="1030" spans="1:19" x14ac:dyDescent="0.25">
      <c r="A1030" s="15">
        <v>47</v>
      </c>
      <c r="B1030" s="66"/>
      <c r="C1030" s="66">
        <v>2429</v>
      </c>
      <c r="D1030" s="66"/>
      <c r="E1030" s="66" t="s">
        <v>763</v>
      </c>
      <c r="F1030" s="66">
        <v>1</v>
      </c>
      <c r="G1030" s="66"/>
      <c r="H1030" s="66" t="e">
        <v>#N/A</v>
      </c>
      <c r="I1030" s="66"/>
      <c r="J1030" s="66" t="s">
        <v>870</v>
      </c>
      <c r="K1030" s="66" t="s">
        <v>757</v>
      </c>
      <c r="L1030" s="66" t="s">
        <v>757</v>
      </c>
      <c r="M1030" s="66" t="s">
        <v>757</v>
      </c>
      <c r="N1030" s="66" t="s">
        <v>757</v>
      </c>
      <c r="O1030" s="66" t="s">
        <v>881</v>
      </c>
      <c r="P1030" s="66"/>
      <c r="Q1030" s="66">
        <v>1</v>
      </c>
      <c r="R1030" s="66">
        <v>718</v>
      </c>
      <c r="S1030" s="66"/>
    </row>
    <row r="1031" spans="1:19" x14ac:dyDescent="0.25">
      <c r="A1031" s="15">
        <v>47</v>
      </c>
      <c r="B1031" s="66"/>
      <c r="C1031" s="66">
        <v>2429</v>
      </c>
      <c r="D1031" s="66"/>
      <c r="E1031" s="66" t="s">
        <v>763</v>
      </c>
      <c r="F1031" s="66">
        <v>0</v>
      </c>
      <c r="G1031" s="66"/>
      <c r="H1031" s="66">
        <v>3</v>
      </c>
      <c r="I1031" s="66" t="e">
        <v>#N/A</v>
      </c>
      <c r="J1031" s="66" t="s">
        <v>870</v>
      </c>
      <c r="K1031" s="66"/>
      <c r="L1031" s="66"/>
      <c r="M1031" s="66"/>
      <c r="N1031" s="66"/>
      <c r="O1031" s="66" t="s">
        <v>882</v>
      </c>
      <c r="P1031" s="66"/>
      <c r="Q1031" s="66">
        <v>1</v>
      </c>
      <c r="R1031" s="66">
        <v>934</v>
      </c>
      <c r="S1031" s="66"/>
    </row>
    <row r="1032" spans="1:19" x14ac:dyDescent="0.25">
      <c r="A1032" s="15">
        <v>47</v>
      </c>
      <c r="B1032" s="66"/>
      <c r="C1032" s="66">
        <v>2429</v>
      </c>
      <c r="D1032" s="66"/>
      <c r="E1032" s="66" t="s">
        <v>763</v>
      </c>
      <c r="F1032" s="66">
        <v>0</v>
      </c>
      <c r="G1032" s="66"/>
      <c r="H1032" s="66">
        <v>3</v>
      </c>
      <c r="I1032" s="66" t="e">
        <v>#N/A</v>
      </c>
      <c r="J1032" s="66" t="s">
        <v>870</v>
      </c>
      <c r="K1032" s="66"/>
      <c r="L1032" s="66"/>
      <c r="M1032" s="66"/>
      <c r="N1032" s="66"/>
      <c r="O1032" s="66" t="s">
        <v>883</v>
      </c>
      <c r="P1032" s="66"/>
      <c r="Q1032" s="66">
        <v>1</v>
      </c>
      <c r="R1032" s="66">
        <v>935</v>
      </c>
      <c r="S1032" s="66"/>
    </row>
    <row r="1033" spans="1:19" x14ac:dyDescent="0.25">
      <c r="A1033" s="15">
        <v>47</v>
      </c>
      <c r="B1033" s="66"/>
      <c r="C1033" s="66">
        <v>2429</v>
      </c>
      <c r="D1033" s="66"/>
      <c r="E1033" s="66" t="s">
        <v>763</v>
      </c>
      <c r="F1033" s="66">
        <v>0</v>
      </c>
      <c r="G1033" s="66"/>
      <c r="H1033" s="66">
        <v>3</v>
      </c>
      <c r="I1033" s="66" t="e">
        <v>#N/A</v>
      </c>
      <c r="J1033" s="66" t="s">
        <v>870</v>
      </c>
      <c r="K1033" s="66"/>
      <c r="L1033" s="66"/>
      <c r="M1033" s="66"/>
      <c r="N1033" s="66"/>
      <c r="O1033" s="66" t="s">
        <v>884</v>
      </c>
      <c r="P1033" s="66"/>
      <c r="Q1033" s="66">
        <v>1</v>
      </c>
      <c r="R1033" s="66">
        <v>936</v>
      </c>
      <c r="S1033" s="66"/>
    </row>
    <row r="1034" spans="1:19" x14ac:dyDescent="0.25">
      <c r="A1034" s="15">
        <v>47</v>
      </c>
      <c r="B1034" s="66"/>
      <c r="C1034" s="66">
        <v>2429</v>
      </c>
      <c r="D1034" s="66"/>
      <c r="E1034" s="66" t="s">
        <v>763</v>
      </c>
      <c r="F1034" s="66">
        <v>0</v>
      </c>
      <c r="G1034" s="66"/>
      <c r="H1034" s="66">
        <v>3</v>
      </c>
      <c r="I1034" s="66" t="e">
        <v>#N/A</v>
      </c>
      <c r="J1034" s="66" t="s">
        <v>870</v>
      </c>
      <c r="K1034" s="66"/>
      <c r="L1034" s="66"/>
      <c r="M1034" s="66"/>
      <c r="N1034" s="66"/>
      <c r="O1034" s="66" t="s">
        <v>885</v>
      </c>
      <c r="P1034" s="66"/>
      <c r="Q1034" s="66">
        <v>1</v>
      </c>
      <c r="R1034" s="66">
        <v>937</v>
      </c>
      <c r="S1034" s="66"/>
    </row>
    <row r="1035" spans="1:19" x14ac:dyDescent="0.25">
      <c r="A1035" s="15">
        <v>47</v>
      </c>
      <c r="B1035" s="66"/>
      <c r="C1035" s="66">
        <v>2429</v>
      </c>
      <c r="D1035" s="66"/>
      <c r="E1035" s="66" t="s">
        <v>763</v>
      </c>
      <c r="F1035" s="66">
        <v>0</v>
      </c>
      <c r="G1035" s="66"/>
      <c r="H1035" s="66">
        <v>3</v>
      </c>
      <c r="I1035" s="66" t="e">
        <v>#N/A</v>
      </c>
      <c r="J1035" s="66" t="s">
        <v>870</v>
      </c>
      <c r="K1035" s="66"/>
      <c r="L1035" s="66"/>
      <c r="M1035" s="66"/>
      <c r="N1035" s="66"/>
      <c r="O1035" s="66" t="s">
        <v>886</v>
      </c>
      <c r="P1035" s="66"/>
      <c r="Q1035" s="66">
        <v>1</v>
      </c>
      <c r="R1035" s="66">
        <v>938</v>
      </c>
      <c r="S1035" s="66"/>
    </row>
    <row r="1036" spans="1:19" x14ac:dyDescent="0.25">
      <c r="A1036" s="15">
        <v>47</v>
      </c>
      <c r="B1036" s="66"/>
      <c r="C1036" s="66">
        <v>2429</v>
      </c>
      <c r="D1036" s="66"/>
      <c r="E1036" s="66" t="s">
        <v>763</v>
      </c>
      <c r="F1036" s="66">
        <v>0</v>
      </c>
      <c r="G1036" s="66"/>
      <c r="H1036" s="66">
        <v>3</v>
      </c>
      <c r="I1036" s="66" t="e">
        <v>#N/A</v>
      </c>
      <c r="J1036" s="66" t="s">
        <v>870</v>
      </c>
      <c r="K1036" s="66"/>
      <c r="L1036" s="66"/>
      <c r="M1036" s="66"/>
      <c r="N1036" s="66"/>
      <c r="O1036" s="66" t="s">
        <v>887</v>
      </c>
      <c r="P1036" s="66"/>
      <c r="Q1036" s="66">
        <v>1</v>
      </c>
      <c r="R1036" s="66">
        <v>939</v>
      </c>
      <c r="S1036" s="66"/>
    </row>
    <row r="1037" spans="1:19" x14ac:dyDescent="0.25">
      <c r="A1037" s="15">
        <v>47</v>
      </c>
      <c r="B1037" s="66"/>
      <c r="C1037" s="66">
        <v>2429</v>
      </c>
      <c r="D1037" s="66"/>
      <c r="E1037" s="66" t="s">
        <v>763</v>
      </c>
      <c r="F1037" s="66">
        <v>0</v>
      </c>
      <c r="G1037" s="66"/>
      <c r="H1037" s="66">
        <v>3</v>
      </c>
      <c r="I1037" s="66" t="e">
        <v>#N/A</v>
      </c>
      <c r="J1037" s="66" t="s">
        <v>870</v>
      </c>
      <c r="K1037" s="66"/>
      <c r="L1037" s="66"/>
      <c r="M1037" s="66"/>
      <c r="N1037" s="66"/>
      <c r="O1037" s="66" t="s">
        <v>888</v>
      </c>
      <c r="P1037" s="66"/>
      <c r="Q1037" s="66">
        <v>1</v>
      </c>
      <c r="R1037" s="66">
        <v>940</v>
      </c>
      <c r="S1037" s="66"/>
    </row>
    <row r="1038" spans="1:19" x14ac:dyDescent="0.25">
      <c r="A1038" s="15">
        <v>47</v>
      </c>
      <c r="B1038" s="66"/>
      <c r="C1038" s="66">
        <v>2429</v>
      </c>
      <c r="D1038" s="66"/>
      <c r="E1038" s="66" t="s">
        <v>763</v>
      </c>
      <c r="F1038" s="66">
        <v>0</v>
      </c>
      <c r="G1038" s="66"/>
      <c r="H1038" s="66">
        <v>3</v>
      </c>
      <c r="I1038" s="66" t="e">
        <v>#N/A</v>
      </c>
      <c r="J1038" s="66" t="s">
        <v>870</v>
      </c>
      <c r="K1038" s="66"/>
      <c r="L1038" s="66"/>
      <c r="M1038" s="66"/>
      <c r="N1038" s="66"/>
      <c r="O1038" s="66" t="s">
        <v>889</v>
      </c>
      <c r="P1038" s="66"/>
      <c r="Q1038" s="66">
        <v>1</v>
      </c>
      <c r="R1038" s="66">
        <v>941</v>
      </c>
      <c r="S1038" s="66"/>
    </row>
    <row r="1039" spans="1:19" x14ac:dyDescent="0.25">
      <c r="A1039" s="15">
        <v>47</v>
      </c>
      <c r="B1039" s="66"/>
      <c r="C1039" s="66">
        <v>2429</v>
      </c>
      <c r="D1039" s="66"/>
      <c r="E1039" s="66" t="s">
        <v>763</v>
      </c>
      <c r="F1039" s="66">
        <v>0</v>
      </c>
      <c r="G1039" s="66"/>
      <c r="H1039" s="66">
        <v>3</v>
      </c>
      <c r="I1039" s="66" t="e">
        <v>#N/A</v>
      </c>
      <c r="J1039" s="66" t="s">
        <v>870</v>
      </c>
      <c r="K1039" s="66"/>
      <c r="L1039" s="66"/>
      <c r="M1039" s="66"/>
      <c r="N1039" s="66"/>
      <c r="O1039" s="66" t="s">
        <v>890</v>
      </c>
      <c r="P1039" s="66"/>
      <c r="Q1039" s="66">
        <v>1</v>
      </c>
      <c r="R1039" s="66">
        <v>942</v>
      </c>
      <c r="S1039" s="66"/>
    </row>
    <row r="1040" spans="1:19" x14ac:dyDescent="0.25">
      <c r="A1040" s="15">
        <v>47</v>
      </c>
      <c r="B1040" s="66"/>
      <c r="C1040" s="66">
        <v>2429</v>
      </c>
      <c r="D1040" s="66"/>
      <c r="E1040" s="66" t="s">
        <v>763</v>
      </c>
      <c r="F1040" s="66">
        <v>0</v>
      </c>
      <c r="G1040" s="66"/>
      <c r="H1040" s="66">
        <v>3</v>
      </c>
      <c r="I1040" s="66" t="e">
        <v>#N/A</v>
      </c>
      <c r="J1040" s="66" t="s">
        <v>870</v>
      </c>
      <c r="K1040" s="66"/>
      <c r="L1040" s="66"/>
      <c r="M1040" s="66"/>
      <c r="N1040" s="66"/>
      <c r="O1040" s="66" t="s">
        <v>891</v>
      </c>
      <c r="P1040" s="66"/>
      <c r="Q1040" s="66">
        <v>1</v>
      </c>
      <c r="R1040" s="66">
        <v>943</v>
      </c>
      <c r="S1040" s="66"/>
    </row>
    <row r="1041" spans="1:19" x14ac:dyDescent="0.25">
      <c r="A1041" s="15">
        <v>47</v>
      </c>
      <c r="B1041" s="66"/>
      <c r="C1041" s="66">
        <v>2429</v>
      </c>
      <c r="D1041" s="66"/>
      <c r="E1041" s="66" t="s">
        <v>763</v>
      </c>
      <c r="F1041" s="66">
        <v>0</v>
      </c>
      <c r="G1041" s="66"/>
      <c r="H1041" s="66">
        <v>3</v>
      </c>
      <c r="I1041" s="66" t="e">
        <v>#N/A</v>
      </c>
      <c r="J1041" s="66" t="s">
        <v>870</v>
      </c>
      <c r="K1041" s="66"/>
      <c r="L1041" s="66"/>
      <c r="M1041" s="66"/>
      <c r="N1041" s="66"/>
      <c r="O1041" s="66" t="s">
        <v>892</v>
      </c>
      <c r="P1041" s="66"/>
      <c r="Q1041" s="66">
        <v>1</v>
      </c>
      <c r="R1041" s="66">
        <v>944</v>
      </c>
      <c r="S1041" s="66"/>
    </row>
    <row r="1042" spans="1:19" x14ac:dyDescent="0.25">
      <c r="A1042" s="15">
        <v>47</v>
      </c>
      <c r="B1042" s="66"/>
      <c r="C1042" s="66">
        <v>2429</v>
      </c>
      <c r="D1042" s="66"/>
      <c r="E1042" s="66" t="s">
        <v>763</v>
      </c>
      <c r="F1042" s="66">
        <v>0</v>
      </c>
      <c r="G1042" s="66"/>
      <c r="H1042" s="66">
        <v>3</v>
      </c>
      <c r="I1042" s="66" t="e">
        <v>#N/A</v>
      </c>
      <c r="J1042" s="66" t="s">
        <v>870</v>
      </c>
      <c r="K1042" s="66"/>
      <c r="L1042" s="66"/>
      <c r="M1042" s="66"/>
      <c r="N1042" s="66"/>
      <c r="O1042" s="66" t="s">
        <v>893</v>
      </c>
      <c r="P1042" s="66"/>
      <c r="Q1042" s="66">
        <v>1</v>
      </c>
      <c r="R1042" s="66">
        <v>945</v>
      </c>
      <c r="S1042" s="66"/>
    </row>
    <row r="1043" spans="1:19" x14ac:dyDescent="0.25">
      <c r="A1043" s="15">
        <v>47</v>
      </c>
      <c r="B1043" s="66"/>
      <c r="C1043" s="66">
        <v>2429</v>
      </c>
      <c r="D1043" s="66"/>
      <c r="E1043" s="66" t="s">
        <v>763</v>
      </c>
      <c r="F1043" s="66">
        <v>3</v>
      </c>
      <c r="G1043" s="66"/>
      <c r="H1043" s="66">
        <v>3</v>
      </c>
      <c r="I1043" s="66" t="e">
        <v>#N/A</v>
      </c>
      <c r="J1043" s="66" t="s">
        <v>870</v>
      </c>
      <c r="K1043" s="66"/>
      <c r="L1043" s="66"/>
      <c r="M1043" s="66"/>
      <c r="N1043" s="66"/>
      <c r="O1043" s="66" t="s">
        <v>894</v>
      </c>
      <c r="P1043" s="66"/>
      <c r="Q1043" s="66">
        <v>1</v>
      </c>
      <c r="R1043" s="66">
        <v>1161</v>
      </c>
      <c r="S1043" s="66"/>
    </row>
    <row r="1044" spans="1:19" x14ac:dyDescent="0.25">
      <c r="A1044" s="15">
        <v>47</v>
      </c>
      <c r="B1044" s="66"/>
      <c r="C1044" s="66">
        <v>2429</v>
      </c>
      <c r="D1044" s="66"/>
      <c r="E1044" s="66" t="s">
        <v>763</v>
      </c>
      <c r="F1044" s="66">
        <v>3</v>
      </c>
      <c r="G1044" s="66"/>
      <c r="H1044" s="66">
        <v>3</v>
      </c>
      <c r="I1044" s="66" t="e">
        <v>#N/A</v>
      </c>
      <c r="J1044" s="66" t="s">
        <v>870</v>
      </c>
      <c r="K1044" s="66"/>
      <c r="L1044" s="66"/>
      <c r="M1044" s="66"/>
      <c r="N1044" s="66"/>
      <c r="O1044" s="66" t="s">
        <v>895</v>
      </c>
      <c r="P1044" s="66"/>
      <c r="Q1044" s="66">
        <v>1</v>
      </c>
      <c r="R1044" s="66">
        <v>1162</v>
      </c>
      <c r="S1044" s="66"/>
    </row>
    <row r="1045" spans="1:19" x14ac:dyDescent="0.25">
      <c r="A1045" s="15">
        <v>47</v>
      </c>
      <c r="B1045" s="66"/>
      <c r="C1045" s="66">
        <v>2429</v>
      </c>
      <c r="D1045" s="66"/>
      <c r="E1045" s="66" t="s">
        <v>763</v>
      </c>
      <c r="F1045" s="66">
        <v>3</v>
      </c>
      <c r="G1045" s="66"/>
      <c r="H1045" s="66">
        <v>3</v>
      </c>
      <c r="I1045" s="66" t="e">
        <v>#N/A</v>
      </c>
      <c r="J1045" s="66" t="s">
        <v>870</v>
      </c>
      <c r="K1045" s="66"/>
      <c r="L1045" s="66"/>
      <c r="M1045" s="66"/>
      <c r="N1045" s="66"/>
      <c r="O1045" s="66" t="s">
        <v>896</v>
      </c>
      <c r="P1045" s="66"/>
      <c r="Q1045" s="66">
        <v>1</v>
      </c>
      <c r="R1045" s="66">
        <v>1163</v>
      </c>
      <c r="S1045" s="66"/>
    </row>
    <row r="1046" spans="1:19" x14ac:dyDescent="0.25">
      <c r="A1046" s="15">
        <v>47</v>
      </c>
      <c r="B1046" s="66"/>
      <c r="C1046" s="66">
        <v>2429</v>
      </c>
      <c r="D1046" s="66"/>
      <c r="E1046" s="66" t="s">
        <v>763</v>
      </c>
      <c r="F1046" s="66">
        <v>3</v>
      </c>
      <c r="G1046" s="66"/>
      <c r="H1046" s="66">
        <v>3</v>
      </c>
      <c r="I1046" s="66" t="e">
        <v>#N/A</v>
      </c>
      <c r="J1046" s="66" t="s">
        <v>870</v>
      </c>
      <c r="K1046" s="66"/>
      <c r="L1046" s="66"/>
      <c r="M1046" s="66"/>
      <c r="N1046" s="66"/>
      <c r="O1046" s="66" t="s">
        <v>897</v>
      </c>
      <c r="P1046" s="66"/>
      <c r="Q1046" s="66">
        <v>1</v>
      </c>
      <c r="R1046" s="66">
        <v>1164</v>
      </c>
      <c r="S1046" s="66"/>
    </row>
    <row r="1047" spans="1:19" x14ac:dyDescent="0.25">
      <c r="A1047" s="15">
        <v>47</v>
      </c>
      <c r="B1047" s="66"/>
      <c r="C1047" s="66">
        <v>2429</v>
      </c>
      <c r="D1047" s="66"/>
      <c r="E1047" s="66" t="s">
        <v>763</v>
      </c>
      <c r="F1047" s="66">
        <v>3</v>
      </c>
      <c r="G1047" s="66"/>
      <c r="H1047" s="66">
        <v>3</v>
      </c>
      <c r="I1047" s="66" t="e">
        <v>#N/A</v>
      </c>
      <c r="J1047" s="66" t="s">
        <v>870</v>
      </c>
      <c r="K1047" s="66"/>
      <c r="L1047" s="66"/>
      <c r="M1047" s="66"/>
      <c r="N1047" s="66"/>
      <c r="O1047" s="66" t="s">
        <v>898</v>
      </c>
      <c r="P1047" s="66"/>
      <c r="Q1047" s="66">
        <v>1</v>
      </c>
      <c r="R1047" s="66">
        <v>1165</v>
      </c>
      <c r="S1047" s="66"/>
    </row>
    <row r="1048" spans="1:19" x14ac:dyDescent="0.25">
      <c r="A1048" s="15">
        <v>47</v>
      </c>
      <c r="B1048" s="66"/>
      <c r="C1048" s="66">
        <v>2429</v>
      </c>
      <c r="D1048" s="66"/>
      <c r="E1048" s="66" t="s">
        <v>763</v>
      </c>
      <c r="F1048" s="66">
        <v>3</v>
      </c>
      <c r="G1048" s="66"/>
      <c r="H1048" s="66">
        <v>3</v>
      </c>
      <c r="I1048" s="66" t="e">
        <v>#N/A</v>
      </c>
      <c r="J1048" s="66" t="s">
        <v>870</v>
      </c>
      <c r="K1048" s="66"/>
      <c r="L1048" s="66"/>
      <c r="M1048" s="66"/>
      <c r="N1048" s="66"/>
      <c r="O1048" s="66" t="s">
        <v>899</v>
      </c>
      <c r="P1048" s="66"/>
      <c r="Q1048" s="66">
        <v>1</v>
      </c>
      <c r="R1048" s="66">
        <v>1166</v>
      </c>
      <c r="S1048" s="66"/>
    </row>
    <row r="1049" spans="1:19" x14ac:dyDescent="0.25">
      <c r="A1049" s="15">
        <v>47</v>
      </c>
      <c r="B1049" s="66"/>
      <c r="C1049" s="66">
        <v>2429</v>
      </c>
      <c r="D1049" s="66"/>
      <c r="E1049" s="66" t="s">
        <v>763</v>
      </c>
      <c r="F1049" s="66">
        <v>3</v>
      </c>
      <c r="G1049" s="66"/>
      <c r="H1049" s="66">
        <v>3</v>
      </c>
      <c r="I1049" s="66" t="e">
        <v>#N/A</v>
      </c>
      <c r="J1049" s="66" t="s">
        <v>870</v>
      </c>
      <c r="K1049" s="66"/>
      <c r="L1049" s="66"/>
      <c r="M1049" s="66"/>
      <c r="N1049" s="66"/>
      <c r="O1049" s="66" t="s">
        <v>900</v>
      </c>
      <c r="P1049" s="66"/>
      <c r="Q1049" s="66">
        <v>1</v>
      </c>
      <c r="R1049" s="66">
        <v>1167</v>
      </c>
      <c r="S1049" s="66"/>
    </row>
    <row r="1050" spans="1:19" x14ac:dyDescent="0.25">
      <c r="A1050" s="15">
        <v>47</v>
      </c>
      <c r="B1050" s="66"/>
      <c r="C1050" s="66">
        <v>2429</v>
      </c>
      <c r="D1050" s="66"/>
      <c r="E1050" s="66" t="s">
        <v>763</v>
      </c>
      <c r="F1050" s="66">
        <v>3</v>
      </c>
      <c r="G1050" s="66"/>
      <c r="H1050" s="66">
        <v>3</v>
      </c>
      <c r="I1050" s="66" t="e">
        <v>#N/A</v>
      </c>
      <c r="J1050" s="66" t="s">
        <v>870</v>
      </c>
      <c r="K1050" s="66"/>
      <c r="L1050" s="66"/>
      <c r="M1050" s="66"/>
      <c r="N1050" s="66"/>
      <c r="O1050" s="66" t="s">
        <v>901</v>
      </c>
      <c r="P1050" s="66"/>
      <c r="Q1050" s="66">
        <v>1</v>
      </c>
      <c r="R1050" s="66">
        <v>1168</v>
      </c>
      <c r="S1050" s="66"/>
    </row>
    <row r="1051" spans="1:19" x14ac:dyDescent="0.25">
      <c r="A1051" s="15">
        <v>47</v>
      </c>
      <c r="B1051" s="66"/>
      <c r="C1051" s="66">
        <v>2429</v>
      </c>
      <c r="D1051" s="66"/>
      <c r="E1051" s="66" t="s">
        <v>763</v>
      </c>
      <c r="F1051" s="66">
        <v>3</v>
      </c>
      <c r="G1051" s="66"/>
      <c r="H1051" s="66">
        <v>3</v>
      </c>
      <c r="I1051" s="66" t="e">
        <v>#N/A</v>
      </c>
      <c r="J1051" s="66" t="s">
        <v>870</v>
      </c>
      <c r="K1051" s="66"/>
      <c r="L1051" s="66"/>
      <c r="M1051" s="66"/>
      <c r="N1051" s="66"/>
      <c r="O1051" s="66" t="s">
        <v>902</v>
      </c>
      <c r="P1051" s="66"/>
      <c r="Q1051" s="66">
        <v>1</v>
      </c>
      <c r="R1051" s="66">
        <v>1169</v>
      </c>
      <c r="S1051" s="66"/>
    </row>
    <row r="1052" spans="1:19" x14ac:dyDescent="0.25">
      <c r="A1052" s="15">
        <v>47</v>
      </c>
      <c r="B1052" s="66"/>
      <c r="C1052" s="66">
        <v>2429</v>
      </c>
      <c r="D1052" s="66"/>
      <c r="E1052" s="66" t="s">
        <v>763</v>
      </c>
      <c r="F1052" s="66">
        <v>3</v>
      </c>
      <c r="G1052" s="66"/>
      <c r="H1052" s="66">
        <v>3</v>
      </c>
      <c r="I1052" s="66" t="e">
        <v>#N/A</v>
      </c>
      <c r="J1052" s="66" t="s">
        <v>870</v>
      </c>
      <c r="K1052" s="66"/>
      <c r="L1052" s="66"/>
      <c r="M1052" s="66"/>
      <c r="N1052" s="66"/>
      <c r="O1052" s="66" t="s">
        <v>903</v>
      </c>
      <c r="P1052" s="66"/>
      <c r="Q1052" s="66">
        <v>1</v>
      </c>
      <c r="R1052" s="66">
        <v>1170</v>
      </c>
      <c r="S1052" s="66"/>
    </row>
    <row r="1053" spans="1:19" x14ac:dyDescent="0.25">
      <c r="A1053" s="15">
        <v>47</v>
      </c>
      <c r="B1053" s="66"/>
      <c r="C1053" s="66">
        <v>2429</v>
      </c>
      <c r="D1053" s="66"/>
      <c r="E1053" s="66" t="s">
        <v>763</v>
      </c>
      <c r="F1053" s="66">
        <v>3</v>
      </c>
      <c r="G1053" s="66"/>
      <c r="H1053" s="66">
        <v>3</v>
      </c>
      <c r="I1053" s="66" t="e">
        <v>#N/A</v>
      </c>
      <c r="J1053" s="66" t="s">
        <v>870</v>
      </c>
      <c r="K1053" s="66"/>
      <c r="L1053" s="66"/>
      <c r="M1053" s="66"/>
      <c r="N1053" s="66"/>
      <c r="O1053" s="66" t="s">
        <v>904</v>
      </c>
      <c r="P1053" s="66"/>
      <c r="Q1053" s="66">
        <v>1</v>
      </c>
      <c r="R1053" s="66">
        <v>1171</v>
      </c>
      <c r="S1053" s="66"/>
    </row>
    <row r="1054" spans="1:19" x14ac:dyDescent="0.25">
      <c r="A1054" s="15">
        <v>47</v>
      </c>
      <c r="B1054" s="66"/>
      <c r="C1054" s="66">
        <v>2429</v>
      </c>
      <c r="D1054" s="66"/>
      <c r="E1054" s="66" t="s">
        <v>763</v>
      </c>
      <c r="F1054" s="66">
        <v>3</v>
      </c>
      <c r="G1054" s="66"/>
      <c r="H1054" s="66">
        <v>3</v>
      </c>
      <c r="I1054" s="66" t="e">
        <v>#N/A</v>
      </c>
      <c r="J1054" s="66" t="s">
        <v>870</v>
      </c>
      <c r="K1054" s="66"/>
      <c r="L1054" s="66"/>
      <c r="M1054" s="66"/>
      <c r="N1054" s="66"/>
      <c r="O1054" s="66" t="s">
        <v>905</v>
      </c>
      <c r="P1054" s="66"/>
      <c r="Q1054" s="66">
        <v>1</v>
      </c>
      <c r="R1054" s="66">
        <v>1172</v>
      </c>
      <c r="S1054" s="66"/>
    </row>
    <row r="1055" spans="1:19" x14ac:dyDescent="0.25">
      <c r="A1055" s="15">
        <v>47</v>
      </c>
      <c r="B1055" s="66"/>
      <c r="C1055" s="66">
        <v>2429</v>
      </c>
      <c r="D1055" s="66"/>
      <c r="E1055" s="66" t="s">
        <v>763</v>
      </c>
      <c r="F1055" s="66">
        <v>3</v>
      </c>
      <c r="G1055" s="66"/>
      <c r="H1055" s="66" t="e">
        <v>#N/A</v>
      </c>
      <c r="I1055" s="66"/>
      <c r="J1055" s="66" t="s">
        <v>870</v>
      </c>
      <c r="K1055" s="66"/>
      <c r="L1055" s="66"/>
      <c r="M1055" s="66"/>
      <c r="N1055" s="66"/>
      <c r="O1055" s="66" t="s">
        <v>906</v>
      </c>
      <c r="P1055" s="66"/>
      <c r="Q1055" s="66">
        <v>1</v>
      </c>
      <c r="R1055" s="66">
        <v>1290</v>
      </c>
      <c r="S1055" s="66"/>
    </row>
    <row r="1056" spans="1:19" x14ac:dyDescent="0.25">
      <c r="A1056" s="15">
        <v>47</v>
      </c>
      <c r="B1056" s="66"/>
      <c r="C1056" s="66">
        <v>2429</v>
      </c>
      <c r="D1056" s="66"/>
      <c r="E1056" s="66" t="s">
        <v>763</v>
      </c>
      <c r="F1056" s="66">
        <v>5</v>
      </c>
      <c r="G1056" s="66"/>
      <c r="H1056" s="66" t="e">
        <v>#N/A</v>
      </c>
      <c r="I1056" s="66"/>
      <c r="J1056" s="66" t="s">
        <v>870</v>
      </c>
      <c r="K1056" s="66"/>
      <c r="L1056" s="66"/>
      <c r="M1056" s="66"/>
      <c r="N1056" s="66"/>
      <c r="O1056" s="66" t="s">
        <v>908</v>
      </c>
      <c r="P1056" s="66"/>
      <c r="Q1056" s="66">
        <v>1</v>
      </c>
      <c r="R1056" s="66">
        <v>1455</v>
      </c>
      <c r="S1056" s="66"/>
    </row>
    <row r="1057" spans="1:19" x14ac:dyDescent="0.25">
      <c r="A1057" s="15">
        <v>47</v>
      </c>
      <c r="B1057" s="66"/>
      <c r="C1057" s="66">
        <v>2429</v>
      </c>
      <c r="D1057" s="66"/>
      <c r="E1057" s="66" t="s">
        <v>763</v>
      </c>
      <c r="F1057" s="66">
        <v>5</v>
      </c>
      <c r="G1057" s="66"/>
      <c r="H1057" s="66" t="e">
        <v>#N/A</v>
      </c>
      <c r="I1057" s="66"/>
      <c r="J1057" s="66" t="s">
        <v>870</v>
      </c>
      <c r="K1057" s="66"/>
      <c r="L1057" s="66"/>
      <c r="M1057" s="66"/>
      <c r="N1057" s="66"/>
      <c r="O1057" s="66" t="s">
        <v>909</v>
      </c>
      <c r="P1057" s="66"/>
      <c r="Q1057" s="66">
        <v>1</v>
      </c>
      <c r="R1057" s="66">
        <v>1456</v>
      </c>
      <c r="S1057" s="66"/>
    </row>
    <row r="1058" spans="1:19" x14ac:dyDescent="0.25">
      <c r="A1058" s="15">
        <v>47</v>
      </c>
      <c r="B1058" s="66"/>
      <c r="C1058" s="66">
        <v>2429</v>
      </c>
      <c r="D1058" s="66"/>
      <c r="E1058" s="66" t="s">
        <v>763</v>
      </c>
      <c r="F1058" s="66">
        <v>5</v>
      </c>
      <c r="G1058" s="66"/>
      <c r="H1058" s="66" t="e">
        <v>#N/A</v>
      </c>
      <c r="I1058" s="66"/>
      <c r="J1058" s="66" t="s">
        <v>870</v>
      </c>
      <c r="K1058" s="66"/>
      <c r="L1058" s="66"/>
      <c r="M1058" s="66"/>
      <c r="N1058" s="66"/>
      <c r="O1058" s="66" t="s">
        <v>910</v>
      </c>
      <c r="P1058" s="66"/>
      <c r="Q1058" s="66">
        <v>1</v>
      </c>
      <c r="R1058" s="66">
        <v>1457</v>
      </c>
      <c r="S1058" s="66"/>
    </row>
    <row r="1059" spans="1:19" x14ac:dyDescent="0.25">
      <c r="A1059" s="15">
        <v>47</v>
      </c>
      <c r="B1059" s="66"/>
      <c r="C1059" s="66">
        <v>2429</v>
      </c>
      <c r="D1059" s="66"/>
      <c r="E1059" s="66" t="s">
        <v>763</v>
      </c>
      <c r="F1059" s="66">
        <v>5</v>
      </c>
      <c r="G1059" s="66"/>
      <c r="H1059" s="66" t="e">
        <v>#N/A</v>
      </c>
      <c r="I1059" s="66"/>
      <c r="J1059" s="66" t="s">
        <v>870</v>
      </c>
      <c r="K1059" s="66"/>
      <c r="L1059" s="66"/>
      <c r="M1059" s="66"/>
      <c r="N1059" s="66"/>
      <c r="O1059" s="66" t="s">
        <v>911</v>
      </c>
      <c r="P1059" s="66"/>
      <c r="Q1059" s="66">
        <v>1</v>
      </c>
      <c r="R1059" s="66">
        <v>1458</v>
      </c>
      <c r="S1059" s="66"/>
    </row>
    <row r="1060" spans="1:19" x14ac:dyDescent="0.25">
      <c r="A1060" s="15">
        <v>47</v>
      </c>
      <c r="B1060" s="66"/>
      <c r="C1060" s="66">
        <v>2429</v>
      </c>
      <c r="D1060" s="66"/>
      <c r="E1060" s="66" t="s">
        <v>763</v>
      </c>
      <c r="F1060" s="66">
        <v>5</v>
      </c>
      <c r="G1060" s="66"/>
      <c r="H1060" s="66" t="e">
        <v>#N/A</v>
      </c>
      <c r="I1060" s="66"/>
      <c r="J1060" s="66" t="s">
        <v>870</v>
      </c>
      <c r="K1060" s="66"/>
      <c r="L1060" s="66"/>
      <c r="M1060" s="66"/>
      <c r="N1060" s="66"/>
      <c r="O1060" s="66" t="s">
        <v>912</v>
      </c>
      <c r="P1060" s="66"/>
      <c r="Q1060" s="66">
        <v>1</v>
      </c>
      <c r="R1060" s="66">
        <v>1459</v>
      </c>
      <c r="S1060" s="66"/>
    </row>
    <row r="1061" spans="1:19" x14ac:dyDescent="0.25">
      <c r="A1061" s="15">
        <v>47</v>
      </c>
      <c r="B1061" s="66"/>
      <c r="C1061" s="66">
        <v>2429</v>
      </c>
      <c r="D1061" s="66"/>
      <c r="E1061" s="66" t="s">
        <v>763</v>
      </c>
      <c r="F1061" s="66">
        <v>5</v>
      </c>
      <c r="G1061" s="66"/>
      <c r="H1061" s="66" t="e">
        <v>#N/A</v>
      </c>
      <c r="I1061" s="66"/>
      <c r="J1061" s="66" t="s">
        <v>870</v>
      </c>
      <c r="K1061" s="66"/>
      <c r="L1061" s="66"/>
      <c r="M1061" s="66"/>
      <c r="N1061" s="66"/>
      <c r="O1061" s="66" t="s">
        <v>913</v>
      </c>
      <c r="P1061" s="66"/>
      <c r="Q1061" s="66">
        <v>1</v>
      </c>
      <c r="R1061" s="66">
        <v>1460</v>
      </c>
      <c r="S1061" s="66"/>
    </row>
    <row r="1062" spans="1:19" x14ac:dyDescent="0.25">
      <c r="A1062" s="15">
        <v>47</v>
      </c>
      <c r="B1062" s="66"/>
      <c r="C1062" s="66">
        <v>2429</v>
      </c>
      <c r="D1062" s="66"/>
      <c r="E1062" s="66" t="s">
        <v>763</v>
      </c>
      <c r="F1062" s="66">
        <v>5</v>
      </c>
      <c r="G1062" s="66"/>
      <c r="H1062" s="66" t="e">
        <v>#N/A</v>
      </c>
      <c r="I1062" s="66"/>
      <c r="J1062" s="66" t="s">
        <v>870</v>
      </c>
      <c r="K1062" s="66"/>
      <c r="L1062" s="66"/>
      <c r="M1062" s="66"/>
      <c r="N1062" s="66"/>
      <c r="O1062" s="66" t="s">
        <v>914</v>
      </c>
      <c r="P1062" s="66"/>
      <c r="Q1062" s="66">
        <v>1</v>
      </c>
      <c r="R1062" s="66">
        <v>1461</v>
      </c>
      <c r="S1062" s="66"/>
    </row>
    <row r="1063" spans="1:19" x14ac:dyDescent="0.25">
      <c r="A1063" s="15">
        <v>47</v>
      </c>
      <c r="B1063" s="66"/>
      <c r="C1063" s="66">
        <v>2429</v>
      </c>
      <c r="D1063" s="66"/>
      <c r="E1063" s="66" t="s">
        <v>763</v>
      </c>
      <c r="F1063" s="66">
        <v>5</v>
      </c>
      <c r="G1063" s="66"/>
      <c r="H1063" s="66" t="e">
        <v>#N/A</v>
      </c>
      <c r="I1063" s="66"/>
      <c r="J1063" s="66" t="s">
        <v>870</v>
      </c>
      <c r="K1063" s="66"/>
      <c r="L1063" s="66"/>
      <c r="M1063" s="66"/>
      <c r="N1063" s="66"/>
      <c r="O1063" s="66" t="s">
        <v>915</v>
      </c>
      <c r="P1063" s="66"/>
      <c r="Q1063" s="66">
        <v>1</v>
      </c>
      <c r="R1063" s="66">
        <v>1462</v>
      </c>
      <c r="S1063" s="66"/>
    </row>
    <row r="1064" spans="1:19" x14ac:dyDescent="0.25">
      <c r="A1064" s="15">
        <v>47</v>
      </c>
      <c r="B1064" s="66"/>
      <c r="C1064" s="66">
        <v>2429</v>
      </c>
      <c r="D1064" s="66"/>
      <c r="E1064" s="66" t="s">
        <v>763</v>
      </c>
      <c r="F1064" s="66">
        <v>5</v>
      </c>
      <c r="G1064" s="66"/>
      <c r="H1064" s="66" t="e">
        <v>#N/A</v>
      </c>
      <c r="I1064" s="66"/>
      <c r="J1064" s="66" t="s">
        <v>870</v>
      </c>
      <c r="K1064" s="66"/>
      <c r="L1064" s="66"/>
      <c r="M1064" s="66"/>
      <c r="N1064" s="66"/>
      <c r="O1064" s="66" t="s">
        <v>916</v>
      </c>
      <c r="P1064" s="66"/>
      <c r="Q1064" s="66">
        <v>1</v>
      </c>
      <c r="R1064" s="66">
        <v>1463</v>
      </c>
      <c r="S1064" s="66"/>
    </row>
    <row r="1065" spans="1:19" x14ac:dyDescent="0.25">
      <c r="A1065" s="15">
        <v>47</v>
      </c>
      <c r="B1065" s="66"/>
      <c r="C1065" s="66">
        <v>2429</v>
      </c>
      <c r="D1065" s="66"/>
      <c r="E1065" s="66" t="s">
        <v>763</v>
      </c>
      <c r="F1065" s="66">
        <v>5</v>
      </c>
      <c r="G1065" s="66"/>
      <c r="H1065" s="66" t="e">
        <v>#N/A</v>
      </c>
      <c r="I1065" s="66"/>
      <c r="J1065" s="66" t="s">
        <v>870</v>
      </c>
      <c r="K1065" s="66"/>
      <c r="L1065" s="66"/>
      <c r="M1065" s="66"/>
      <c r="N1065" s="66"/>
      <c r="O1065" s="66" t="s">
        <v>917</v>
      </c>
      <c r="P1065" s="66"/>
      <c r="Q1065" s="66">
        <v>1</v>
      </c>
      <c r="R1065" s="66">
        <v>1464</v>
      </c>
      <c r="S1065" s="66"/>
    </row>
    <row r="1066" spans="1:19" x14ac:dyDescent="0.25">
      <c r="A1066" s="15">
        <v>47</v>
      </c>
      <c r="B1066" s="66"/>
      <c r="C1066" s="66">
        <v>2429</v>
      </c>
      <c r="D1066" s="66"/>
      <c r="E1066" s="66" t="s">
        <v>763</v>
      </c>
      <c r="F1066" s="66">
        <v>5</v>
      </c>
      <c r="G1066" s="66"/>
      <c r="H1066" s="66" t="e">
        <v>#N/A</v>
      </c>
      <c r="I1066" s="66"/>
      <c r="J1066" s="66" t="s">
        <v>870</v>
      </c>
      <c r="K1066" s="66"/>
      <c r="L1066" s="66"/>
      <c r="M1066" s="66"/>
      <c r="N1066" s="66"/>
      <c r="O1066" s="66" t="s">
        <v>918</v>
      </c>
      <c r="P1066" s="66"/>
      <c r="Q1066" s="66">
        <v>1</v>
      </c>
      <c r="R1066" s="66">
        <v>1465</v>
      </c>
      <c r="S1066" s="66"/>
    </row>
    <row r="1067" spans="1:19" x14ac:dyDescent="0.25">
      <c r="A1067" s="15">
        <v>47</v>
      </c>
      <c r="B1067" s="66"/>
      <c r="C1067" s="66">
        <v>2429</v>
      </c>
      <c r="D1067" s="66"/>
      <c r="E1067" s="66" t="s">
        <v>763</v>
      </c>
      <c r="F1067" s="66">
        <v>5</v>
      </c>
      <c r="G1067" s="66"/>
      <c r="H1067" s="66" t="e">
        <v>#N/A</v>
      </c>
      <c r="I1067" s="66"/>
      <c r="J1067" s="66" t="s">
        <v>870</v>
      </c>
      <c r="K1067" s="66"/>
      <c r="L1067" s="66"/>
      <c r="M1067" s="66"/>
      <c r="N1067" s="66"/>
      <c r="O1067" s="66" t="s">
        <v>919</v>
      </c>
      <c r="P1067" s="66"/>
      <c r="Q1067" s="66">
        <v>1</v>
      </c>
      <c r="R1067" s="66">
        <v>1466</v>
      </c>
      <c r="S1067" s="66"/>
    </row>
    <row r="1068" spans="1:19" x14ac:dyDescent="0.25">
      <c r="A1068" s="15">
        <v>48</v>
      </c>
      <c r="B1068" s="66"/>
      <c r="C1068" s="66"/>
      <c r="D1068" s="66"/>
      <c r="E1068" s="66"/>
      <c r="F1068" s="66"/>
      <c r="G1068" s="66"/>
      <c r="H1068" s="66"/>
      <c r="I1068" s="66"/>
      <c r="J1068" s="66"/>
      <c r="K1068" s="66"/>
      <c r="L1068" s="66"/>
      <c r="M1068" s="66"/>
      <c r="N1068" s="66"/>
      <c r="O1068" s="66"/>
      <c r="P1068" s="66"/>
      <c r="Q1068" s="66"/>
      <c r="R1068" s="66"/>
      <c r="S1068" s="66"/>
    </row>
    <row r="1069" spans="1:19" x14ac:dyDescent="0.25">
      <c r="A1069" s="15">
        <v>48</v>
      </c>
      <c r="B1069" s="66"/>
      <c r="C1069" s="66"/>
      <c r="D1069" s="66"/>
      <c r="E1069" s="66"/>
      <c r="F1069" s="66"/>
      <c r="G1069" s="66"/>
      <c r="H1069" s="66"/>
      <c r="I1069" s="66"/>
      <c r="J1069" s="66"/>
      <c r="K1069" s="66"/>
      <c r="L1069" s="66"/>
      <c r="M1069" s="66"/>
      <c r="N1069" s="66"/>
      <c r="O1069" s="66" t="s">
        <v>806</v>
      </c>
      <c r="P1069" s="66"/>
      <c r="Q1069" s="66"/>
      <c r="R1069" s="66"/>
      <c r="S1069" s="66"/>
    </row>
    <row r="1070" spans="1:19" x14ac:dyDescent="0.25">
      <c r="A1070" s="15">
        <v>48</v>
      </c>
      <c r="B1070" s="66"/>
      <c r="C1070" s="66"/>
      <c r="D1070" s="66"/>
      <c r="E1070" s="66"/>
      <c r="F1070" s="66"/>
      <c r="G1070" s="66"/>
      <c r="H1070" s="66"/>
      <c r="I1070" s="66"/>
      <c r="J1070" s="66"/>
      <c r="K1070" s="66"/>
      <c r="L1070" s="66"/>
      <c r="M1070" s="66"/>
      <c r="N1070" s="66"/>
      <c r="O1070" s="66" t="s">
        <v>837</v>
      </c>
      <c r="P1070" s="66"/>
      <c r="Q1070" s="66"/>
      <c r="R1070" s="66"/>
      <c r="S1070" s="66"/>
    </row>
    <row r="1071" spans="1:19" x14ac:dyDescent="0.25">
      <c r="A1071" s="15">
        <v>48</v>
      </c>
      <c r="B1071" s="66"/>
      <c r="C1071" s="66"/>
      <c r="D1071" s="66"/>
      <c r="E1071" s="66"/>
      <c r="F1071" s="66"/>
      <c r="G1071" s="66"/>
      <c r="H1071" s="66"/>
      <c r="I1071" s="66"/>
      <c r="J1071" s="66"/>
      <c r="K1071" s="66"/>
      <c r="L1071" s="66"/>
      <c r="M1071" s="66"/>
      <c r="N1071" s="66"/>
      <c r="O1071" s="66" t="s">
        <v>845</v>
      </c>
      <c r="P1071" s="66"/>
      <c r="Q1071" s="66"/>
      <c r="R1071" s="66"/>
      <c r="S1071" s="66"/>
    </row>
    <row r="1072" spans="1:19" x14ac:dyDescent="0.25">
      <c r="A1072" s="15">
        <v>48</v>
      </c>
      <c r="B1072" s="66"/>
      <c r="C1072" s="66" t="s">
        <v>77</v>
      </c>
      <c r="D1072" s="66"/>
      <c r="E1072" s="66" t="s">
        <v>763</v>
      </c>
      <c r="F1072" s="66">
        <v>12</v>
      </c>
      <c r="G1072" s="66"/>
      <c r="H1072" s="66">
        <v>10</v>
      </c>
      <c r="I1072" s="66">
        <v>12.416666666666666</v>
      </c>
      <c r="J1072" s="66" t="s">
        <v>850</v>
      </c>
      <c r="K1072" s="66"/>
      <c r="L1072" s="66"/>
      <c r="M1072" s="66"/>
      <c r="N1072" s="66"/>
      <c r="O1072" s="66" t="s">
        <v>849</v>
      </c>
      <c r="P1072" s="66"/>
      <c r="Q1072" s="66">
        <v>1</v>
      </c>
      <c r="R1072" s="66">
        <v>311</v>
      </c>
      <c r="S1072" s="66"/>
    </row>
    <row r="1073" spans="1:19" x14ac:dyDescent="0.25">
      <c r="A1073" s="15">
        <v>48</v>
      </c>
      <c r="B1073" s="66"/>
      <c r="C1073" s="66">
        <v>2429</v>
      </c>
      <c r="D1073" s="66"/>
      <c r="E1073" s="66" t="s">
        <v>763</v>
      </c>
      <c r="F1073" s="66">
        <v>12</v>
      </c>
      <c r="G1073" s="66"/>
      <c r="H1073" s="66"/>
      <c r="I1073" s="66">
        <v>26.666666666666668</v>
      </c>
      <c r="J1073" s="66" t="s">
        <v>850</v>
      </c>
      <c r="K1073" s="66"/>
      <c r="L1073" s="66"/>
      <c r="M1073" s="66"/>
      <c r="N1073" s="66"/>
      <c r="O1073" s="66" t="s">
        <v>852</v>
      </c>
      <c r="P1073" s="66"/>
      <c r="Q1073" s="66">
        <v>1</v>
      </c>
      <c r="R1073" s="66">
        <v>487</v>
      </c>
      <c r="S1073" s="66"/>
    </row>
    <row r="1074" spans="1:19" x14ac:dyDescent="0.25">
      <c r="A1074" s="15">
        <v>48</v>
      </c>
      <c r="B1074" s="66"/>
      <c r="C1074" s="66">
        <v>2429</v>
      </c>
      <c r="D1074" s="66"/>
      <c r="E1074" s="66" t="s">
        <v>763</v>
      </c>
      <c r="F1074" s="66">
        <v>10</v>
      </c>
      <c r="G1074" s="66"/>
      <c r="H1074" s="66"/>
      <c r="I1074" s="66">
        <v>15.666666666666666</v>
      </c>
      <c r="J1074" s="66" t="s">
        <v>850</v>
      </c>
      <c r="K1074" s="66"/>
      <c r="L1074" s="66"/>
      <c r="M1074" s="66"/>
      <c r="N1074" s="66"/>
      <c r="O1074" s="66" t="s">
        <v>853</v>
      </c>
      <c r="P1074" s="66"/>
      <c r="Q1074" s="66">
        <v>1</v>
      </c>
      <c r="R1074" s="66">
        <v>488</v>
      </c>
      <c r="S1074" s="66"/>
    </row>
    <row r="1075" spans="1:19" x14ac:dyDescent="0.25">
      <c r="A1075" s="15">
        <v>48</v>
      </c>
      <c r="B1075" s="66"/>
      <c r="C1075" s="66">
        <v>2429</v>
      </c>
      <c r="D1075" s="66"/>
      <c r="E1075" s="66" t="s">
        <v>763</v>
      </c>
      <c r="F1075" s="66">
        <v>6</v>
      </c>
      <c r="G1075" s="66"/>
      <c r="H1075" s="66"/>
      <c r="I1075" s="66">
        <v>15.666666666666666</v>
      </c>
      <c r="J1075" s="66" t="s">
        <v>850</v>
      </c>
      <c r="K1075" s="66"/>
      <c r="L1075" s="66"/>
      <c r="M1075" s="66"/>
      <c r="N1075" s="66"/>
      <c r="O1075" s="66" t="s">
        <v>854</v>
      </c>
      <c r="P1075" s="66"/>
      <c r="Q1075" s="66">
        <v>1</v>
      </c>
      <c r="R1075" s="66">
        <v>489</v>
      </c>
      <c r="S1075" s="66"/>
    </row>
    <row r="1076" spans="1:19" x14ac:dyDescent="0.25">
      <c r="A1076" s="15">
        <v>48</v>
      </c>
      <c r="B1076" s="66"/>
      <c r="C1076" s="66">
        <v>2429</v>
      </c>
      <c r="D1076" s="66"/>
      <c r="E1076" s="66" t="s">
        <v>763</v>
      </c>
      <c r="F1076" s="66">
        <v>6</v>
      </c>
      <c r="G1076" s="66"/>
      <c r="H1076" s="66"/>
      <c r="I1076" s="66">
        <v>15.666666666666666</v>
      </c>
      <c r="J1076" s="66" t="s">
        <v>850</v>
      </c>
      <c r="K1076" s="66"/>
      <c r="L1076" s="66"/>
      <c r="M1076" s="66"/>
      <c r="N1076" s="66"/>
      <c r="O1076" s="66" t="s">
        <v>855</v>
      </c>
      <c r="P1076" s="66"/>
      <c r="Q1076" s="66">
        <v>1</v>
      </c>
      <c r="R1076" s="66">
        <v>490</v>
      </c>
      <c r="S1076" s="66"/>
    </row>
    <row r="1077" spans="1:19" x14ac:dyDescent="0.25">
      <c r="A1077" s="15">
        <v>48</v>
      </c>
      <c r="B1077" s="66"/>
      <c r="C1077" s="66">
        <v>2429</v>
      </c>
      <c r="D1077" s="66"/>
      <c r="E1077" s="66" t="s">
        <v>763</v>
      </c>
      <c r="F1077" s="66">
        <v>6</v>
      </c>
      <c r="G1077" s="66"/>
      <c r="H1077" s="66"/>
      <c r="I1077" s="66">
        <v>15.666666666666666</v>
      </c>
      <c r="J1077" s="66" t="s">
        <v>850</v>
      </c>
      <c r="K1077" s="66"/>
      <c r="L1077" s="66"/>
      <c r="M1077" s="66"/>
      <c r="N1077" s="66"/>
      <c r="O1077" s="66" t="s">
        <v>856</v>
      </c>
      <c r="P1077" s="66"/>
      <c r="Q1077" s="66">
        <v>1</v>
      </c>
      <c r="R1077" s="66">
        <v>491</v>
      </c>
      <c r="S1077" s="66"/>
    </row>
    <row r="1078" spans="1:19" x14ac:dyDescent="0.25">
      <c r="A1078" s="15">
        <v>48</v>
      </c>
      <c r="B1078" s="66"/>
      <c r="C1078" s="66">
        <v>2429</v>
      </c>
      <c r="D1078" s="66"/>
      <c r="E1078" s="66" t="s">
        <v>763</v>
      </c>
      <c r="F1078" s="66">
        <v>6</v>
      </c>
      <c r="G1078" s="66"/>
      <c r="H1078" s="66"/>
      <c r="I1078" s="66">
        <v>15.666666666666666</v>
      </c>
      <c r="J1078" s="66" t="s">
        <v>850</v>
      </c>
      <c r="K1078" s="66"/>
      <c r="L1078" s="66"/>
      <c r="M1078" s="66"/>
      <c r="N1078" s="66"/>
      <c r="O1078" s="66" t="s">
        <v>857</v>
      </c>
      <c r="P1078" s="66"/>
      <c r="Q1078" s="66">
        <v>1</v>
      </c>
      <c r="R1078" s="66">
        <v>492</v>
      </c>
      <c r="S1078" s="66"/>
    </row>
    <row r="1079" spans="1:19" x14ac:dyDescent="0.25">
      <c r="A1079" s="15">
        <v>48</v>
      </c>
      <c r="B1079" s="66"/>
      <c r="C1079" s="66">
        <v>2429</v>
      </c>
      <c r="D1079" s="66"/>
      <c r="E1079" s="66" t="s">
        <v>763</v>
      </c>
      <c r="F1079" s="66">
        <v>6</v>
      </c>
      <c r="G1079" s="66"/>
      <c r="H1079" s="66"/>
      <c r="I1079" s="66">
        <v>15.666666666666666</v>
      </c>
      <c r="J1079" s="66" t="s">
        <v>850</v>
      </c>
      <c r="K1079" s="66"/>
      <c r="L1079" s="66"/>
      <c r="M1079" s="66"/>
      <c r="N1079" s="66"/>
      <c r="O1079" s="66" t="s">
        <v>858</v>
      </c>
      <c r="P1079" s="66"/>
      <c r="Q1079" s="66">
        <v>1</v>
      </c>
      <c r="R1079" s="66">
        <v>493</v>
      </c>
      <c r="S1079" s="66"/>
    </row>
    <row r="1080" spans="1:19" x14ac:dyDescent="0.25">
      <c r="A1080" s="15">
        <v>48</v>
      </c>
      <c r="B1080" s="66"/>
      <c r="C1080" s="66">
        <v>2429</v>
      </c>
      <c r="D1080" s="66"/>
      <c r="E1080" s="66" t="s">
        <v>763</v>
      </c>
      <c r="F1080" s="66">
        <v>6</v>
      </c>
      <c r="G1080" s="66"/>
      <c r="H1080" s="66"/>
      <c r="I1080" s="66">
        <v>15.666666666666666</v>
      </c>
      <c r="J1080" s="66" t="s">
        <v>850</v>
      </c>
      <c r="K1080" s="66"/>
      <c r="L1080" s="66"/>
      <c r="M1080" s="66"/>
      <c r="N1080" s="66"/>
      <c r="O1080" s="66" t="s">
        <v>859</v>
      </c>
      <c r="P1080" s="66"/>
      <c r="Q1080" s="66">
        <v>1</v>
      </c>
      <c r="R1080" s="66">
        <v>494</v>
      </c>
      <c r="S1080" s="66"/>
    </row>
    <row r="1081" spans="1:19" x14ac:dyDescent="0.25">
      <c r="A1081" s="15">
        <v>48</v>
      </c>
      <c r="B1081" s="66"/>
      <c r="C1081" s="66">
        <v>2429</v>
      </c>
      <c r="D1081" s="66"/>
      <c r="E1081" s="66" t="s">
        <v>763</v>
      </c>
      <c r="F1081" s="66">
        <v>6</v>
      </c>
      <c r="G1081" s="66"/>
      <c r="H1081" s="66"/>
      <c r="I1081" s="66">
        <v>15.666666666666666</v>
      </c>
      <c r="J1081" s="66" t="s">
        <v>850</v>
      </c>
      <c r="K1081" s="66"/>
      <c r="L1081" s="66"/>
      <c r="M1081" s="66"/>
      <c r="N1081" s="66"/>
      <c r="O1081" s="66" t="s">
        <v>860</v>
      </c>
      <c r="P1081" s="66"/>
      <c r="Q1081" s="66">
        <v>1</v>
      </c>
      <c r="R1081" s="66">
        <v>495</v>
      </c>
      <c r="S1081" s="66"/>
    </row>
    <row r="1082" spans="1:19" x14ac:dyDescent="0.25">
      <c r="A1082" s="15">
        <v>48</v>
      </c>
      <c r="B1082" s="66"/>
      <c r="C1082" s="66">
        <v>2429</v>
      </c>
      <c r="D1082" s="66"/>
      <c r="E1082" s="66" t="s">
        <v>763</v>
      </c>
      <c r="F1082" s="66">
        <v>6</v>
      </c>
      <c r="G1082" s="66"/>
      <c r="H1082" s="66"/>
      <c r="I1082" s="66">
        <v>15.666666666666666</v>
      </c>
      <c r="J1082" s="66" t="s">
        <v>850</v>
      </c>
      <c r="K1082" s="66"/>
      <c r="L1082" s="66"/>
      <c r="M1082" s="66"/>
      <c r="N1082" s="66"/>
      <c r="O1082" s="66" t="s">
        <v>861</v>
      </c>
      <c r="P1082" s="66"/>
      <c r="Q1082" s="66">
        <v>1</v>
      </c>
      <c r="R1082" s="66">
        <v>496</v>
      </c>
      <c r="S1082" s="66"/>
    </row>
    <row r="1083" spans="1:19" x14ac:dyDescent="0.25">
      <c r="A1083" s="15">
        <v>48</v>
      </c>
      <c r="B1083" s="66"/>
      <c r="C1083" s="66">
        <v>2429</v>
      </c>
      <c r="D1083" s="66"/>
      <c r="E1083" s="66" t="s">
        <v>763</v>
      </c>
      <c r="F1083" s="66">
        <v>6</v>
      </c>
      <c r="G1083" s="66"/>
      <c r="H1083" s="66"/>
      <c r="I1083" s="66">
        <v>15.666666666666666</v>
      </c>
      <c r="J1083" s="66" t="s">
        <v>850</v>
      </c>
      <c r="K1083" s="66"/>
      <c r="L1083" s="66"/>
      <c r="M1083" s="66"/>
      <c r="N1083" s="66"/>
      <c r="O1083" s="66" t="s">
        <v>862</v>
      </c>
      <c r="P1083" s="66"/>
      <c r="Q1083" s="66">
        <v>1</v>
      </c>
      <c r="R1083" s="66">
        <v>497</v>
      </c>
      <c r="S1083" s="66"/>
    </row>
    <row r="1084" spans="1:19" x14ac:dyDescent="0.25">
      <c r="A1084" s="15">
        <v>48</v>
      </c>
      <c r="B1084" s="66"/>
      <c r="C1084" s="66">
        <v>2429</v>
      </c>
      <c r="D1084" s="66"/>
      <c r="E1084" s="66" t="s">
        <v>763</v>
      </c>
      <c r="F1084" s="66">
        <v>10</v>
      </c>
      <c r="G1084" s="66"/>
      <c r="H1084" s="66"/>
      <c r="I1084" s="66">
        <v>10.583333333333334</v>
      </c>
      <c r="J1084" s="66" t="s">
        <v>850</v>
      </c>
      <c r="K1084" s="66"/>
      <c r="L1084" s="66"/>
      <c r="M1084" s="66"/>
      <c r="N1084" s="66"/>
      <c r="O1084" s="66" t="s">
        <v>863</v>
      </c>
      <c r="P1084" s="66"/>
      <c r="Q1084" s="66">
        <v>1</v>
      </c>
      <c r="R1084" s="66">
        <v>498</v>
      </c>
      <c r="S1084" s="66"/>
    </row>
    <row r="1085" spans="1:19" x14ac:dyDescent="0.25">
      <c r="A1085" s="15">
        <v>48</v>
      </c>
      <c r="B1085" s="66"/>
      <c r="C1085" s="66">
        <v>2429</v>
      </c>
      <c r="D1085" s="66"/>
      <c r="E1085" s="66" t="s">
        <v>763</v>
      </c>
      <c r="F1085" s="66" t="s">
        <v>868</v>
      </c>
      <c r="G1085" s="66"/>
      <c r="H1085" s="66">
        <v>0</v>
      </c>
      <c r="I1085" s="66">
        <v>10.833333333333332</v>
      </c>
      <c r="J1085" s="66" t="s">
        <v>866</v>
      </c>
      <c r="K1085" s="66"/>
      <c r="L1085" s="66"/>
      <c r="M1085" s="66"/>
      <c r="N1085" s="66"/>
      <c r="O1085" s="66" t="s">
        <v>865</v>
      </c>
      <c r="P1085" s="66"/>
      <c r="Q1085" s="66">
        <v>1</v>
      </c>
      <c r="R1085" s="66">
        <v>567</v>
      </c>
      <c r="S1085" s="66"/>
    </row>
    <row r="1086" spans="1:19" x14ac:dyDescent="0.25">
      <c r="A1086" s="15">
        <v>48</v>
      </c>
      <c r="B1086" s="66"/>
      <c r="C1086" s="66">
        <v>2429</v>
      </c>
      <c r="D1086" s="66"/>
      <c r="E1086" s="66" t="s">
        <v>763</v>
      </c>
      <c r="F1086" s="66">
        <v>1</v>
      </c>
      <c r="G1086" s="66"/>
      <c r="H1086" s="66" t="e">
        <v>#N/A</v>
      </c>
      <c r="I1086" s="66"/>
      <c r="J1086" s="66" t="s">
        <v>870</v>
      </c>
      <c r="K1086" s="66" t="s">
        <v>757</v>
      </c>
      <c r="L1086" s="66" t="s">
        <v>757</v>
      </c>
      <c r="M1086" s="66" t="s">
        <v>757</v>
      </c>
      <c r="N1086" s="66" t="s">
        <v>757</v>
      </c>
      <c r="O1086" s="66" t="s">
        <v>869</v>
      </c>
      <c r="P1086" s="66"/>
      <c r="Q1086" s="66">
        <v>1</v>
      </c>
      <c r="R1086" s="66">
        <v>719</v>
      </c>
      <c r="S1086" s="66"/>
    </row>
    <row r="1087" spans="1:19" x14ac:dyDescent="0.25">
      <c r="A1087" s="15">
        <v>48</v>
      </c>
      <c r="B1087" s="66"/>
      <c r="C1087" s="66">
        <v>2429</v>
      </c>
      <c r="D1087" s="66"/>
      <c r="E1087" s="66" t="s">
        <v>763</v>
      </c>
      <c r="F1087" s="66">
        <v>1</v>
      </c>
      <c r="G1087" s="66"/>
      <c r="H1087" s="66" t="e">
        <v>#N/A</v>
      </c>
      <c r="I1087" s="66"/>
      <c r="J1087" s="66" t="s">
        <v>870</v>
      </c>
      <c r="K1087" s="66" t="s">
        <v>757</v>
      </c>
      <c r="L1087" s="66" t="s">
        <v>757</v>
      </c>
      <c r="M1087" s="66" t="s">
        <v>757</v>
      </c>
      <c r="N1087" s="66" t="s">
        <v>757</v>
      </c>
      <c r="O1087" s="66" t="s">
        <v>871</v>
      </c>
      <c r="P1087" s="66"/>
      <c r="Q1087" s="66">
        <v>1</v>
      </c>
      <c r="R1087" s="66">
        <v>720</v>
      </c>
      <c r="S1087" s="66"/>
    </row>
    <row r="1088" spans="1:19" x14ac:dyDescent="0.25">
      <c r="A1088" s="15">
        <v>48</v>
      </c>
      <c r="B1088" s="66"/>
      <c r="C1088" s="66">
        <v>2429</v>
      </c>
      <c r="D1088" s="66"/>
      <c r="E1088" s="66" t="s">
        <v>763</v>
      </c>
      <c r="F1088" s="66">
        <v>1</v>
      </c>
      <c r="G1088" s="66"/>
      <c r="H1088" s="66" t="e">
        <v>#N/A</v>
      </c>
      <c r="I1088" s="66"/>
      <c r="J1088" s="66" t="s">
        <v>870</v>
      </c>
      <c r="K1088" s="66" t="s">
        <v>757</v>
      </c>
      <c r="L1088" s="66" t="s">
        <v>757</v>
      </c>
      <c r="M1088" s="66" t="s">
        <v>757</v>
      </c>
      <c r="N1088" s="66" t="s">
        <v>757</v>
      </c>
      <c r="O1088" s="66" t="s">
        <v>872</v>
      </c>
      <c r="P1088" s="66"/>
      <c r="Q1088" s="66">
        <v>1</v>
      </c>
      <c r="R1088" s="66">
        <v>721</v>
      </c>
      <c r="S1088" s="66"/>
    </row>
    <row r="1089" spans="1:19" x14ac:dyDescent="0.25">
      <c r="A1089" s="15">
        <v>48</v>
      </c>
      <c r="B1089" s="66"/>
      <c r="C1089" s="66">
        <v>2429</v>
      </c>
      <c r="D1089" s="66"/>
      <c r="E1089" s="66" t="s">
        <v>763</v>
      </c>
      <c r="F1089" s="66">
        <v>1</v>
      </c>
      <c r="G1089" s="66"/>
      <c r="H1089" s="66" t="e">
        <v>#N/A</v>
      </c>
      <c r="I1089" s="66"/>
      <c r="J1089" s="66" t="s">
        <v>870</v>
      </c>
      <c r="K1089" s="66" t="s">
        <v>757</v>
      </c>
      <c r="L1089" s="66" t="s">
        <v>757</v>
      </c>
      <c r="M1089" s="66" t="s">
        <v>757</v>
      </c>
      <c r="N1089" s="66" t="s">
        <v>757</v>
      </c>
      <c r="O1089" s="66" t="s">
        <v>873</v>
      </c>
      <c r="P1089" s="66"/>
      <c r="Q1089" s="66">
        <v>1</v>
      </c>
      <c r="R1089" s="66">
        <v>722</v>
      </c>
      <c r="S1089" s="66"/>
    </row>
    <row r="1090" spans="1:19" x14ac:dyDescent="0.25">
      <c r="A1090" s="15">
        <v>48</v>
      </c>
      <c r="B1090" s="66"/>
      <c r="C1090" s="66">
        <v>2429</v>
      </c>
      <c r="D1090" s="66"/>
      <c r="E1090" s="66" t="s">
        <v>763</v>
      </c>
      <c r="F1090" s="66">
        <v>1</v>
      </c>
      <c r="G1090" s="66"/>
      <c r="H1090" s="66" t="e">
        <v>#N/A</v>
      </c>
      <c r="I1090" s="66"/>
      <c r="J1090" s="66" t="s">
        <v>870</v>
      </c>
      <c r="K1090" s="66" t="s">
        <v>757</v>
      </c>
      <c r="L1090" s="66" t="s">
        <v>757</v>
      </c>
      <c r="M1090" s="66" t="s">
        <v>757</v>
      </c>
      <c r="N1090" s="66" t="s">
        <v>757</v>
      </c>
      <c r="O1090" s="66" t="s">
        <v>874</v>
      </c>
      <c r="P1090" s="66"/>
      <c r="Q1090" s="66">
        <v>1</v>
      </c>
      <c r="R1090" s="66">
        <v>723</v>
      </c>
      <c r="S1090" s="66"/>
    </row>
    <row r="1091" spans="1:19" x14ac:dyDescent="0.25">
      <c r="A1091" s="15">
        <v>48</v>
      </c>
      <c r="B1091" s="66"/>
      <c r="C1091" s="66">
        <v>2429</v>
      </c>
      <c r="D1091" s="66"/>
      <c r="E1091" s="66" t="s">
        <v>763</v>
      </c>
      <c r="F1091" s="66">
        <v>1</v>
      </c>
      <c r="G1091" s="66"/>
      <c r="H1091" s="66" t="e">
        <v>#N/A</v>
      </c>
      <c r="I1091" s="66"/>
      <c r="J1091" s="66" t="s">
        <v>870</v>
      </c>
      <c r="K1091" s="66" t="s">
        <v>757</v>
      </c>
      <c r="L1091" s="66" t="s">
        <v>757</v>
      </c>
      <c r="M1091" s="66" t="s">
        <v>757</v>
      </c>
      <c r="N1091" s="66" t="s">
        <v>757</v>
      </c>
      <c r="O1091" s="66" t="s">
        <v>875</v>
      </c>
      <c r="P1091" s="66"/>
      <c r="Q1091" s="66">
        <v>1</v>
      </c>
      <c r="R1091" s="66">
        <v>724</v>
      </c>
      <c r="S1091" s="66"/>
    </row>
    <row r="1092" spans="1:19" x14ac:dyDescent="0.25">
      <c r="A1092" s="15">
        <v>48</v>
      </c>
      <c r="B1092" s="66"/>
      <c r="C1092" s="66">
        <v>2429</v>
      </c>
      <c r="D1092" s="66"/>
      <c r="E1092" s="66" t="s">
        <v>763</v>
      </c>
      <c r="F1092" s="66">
        <v>1</v>
      </c>
      <c r="G1092" s="66"/>
      <c r="H1092" s="66" t="e">
        <v>#N/A</v>
      </c>
      <c r="I1092" s="66"/>
      <c r="J1092" s="66" t="s">
        <v>870</v>
      </c>
      <c r="K1092" s="66" t="s">
        <v>757</v>
      </c>
      <c r="L1092" s="66" t="s">
        <v>757</v>
      </c>
      <c r="M1092" s="66" t="s">
        <v>757</v>
      </c>
      <c r="N1092" s="66" t="s">
        <v>757</v>
      </c>
      <c r="O1092" s="66" t="s">
        <v>876</v>
      </c>
      <c r="P1092" s="66"/>
      <c r="Q1092" s="66">
        <v>1</v>
      </c>
      <c r="R1092" s="66">
        <v>725</v>
      </c>
      <c r="S1092" s="66"/>
    </row>
    <row r="1093" spans="1:19" x14ac:dyDescent="0.25">
      <c r="A1093" s="15">
        <v>48</v>
      </c>
      <c r="B1093" s="66"/>
      <c r="C1093" s="66">
        <v>2429</v>
      </c>
      <c r="D1093" s="66"/>
      <c r="E1093" s="66" t="s">
        <v>763</v>
      </c>
      <c r="F1093" s="66">
        <v>1</v>
      </c>
      <c r="G1093" s="66"/>
      <c r="H1093" s="66" t="e">
        <v>#N/A</v>
      </c>
      <c r="I1093" s="66"/>
      <c r="J1093" s="66" t="s">
        <v>870</v>
      </c>
      <c r="K1093" s="66" t="s">
        <v>757</v>
      </c>
      <c r="L1093" s="66" t="s">
        <v>757</v>
      </c>
      <c r="M1093" s="66" t="s">
        <v>757</v>
      </c>
      <c r="N1093" s="66" t="s">
        <v>757</v>
      </c>
      <c r="O1093" s="66" t="s">
        <v>877</v>
      </c>
      <c r="P1093" s="66"/>
      <c r="Q1093" s="66">
        <v>1</v>
      </c>
      <c r="R1093" s="66">
        <v>726</v>
      </c>
      <c r="S1093" s="66"/>
    </row>
    <row r="1094" spans="1:19" x14ac:dyDescent="0.25">
      <c r="A1094" s="15">
        <v>48</v>
      </c>
      <c r="B1094" s="66"/>
      <c r="C1094" s="66">
        <v>2429</v>
      </c>
      <c r="D1094" s="66"/>
      <c r="E1094" s="66" t="s">
        <v>763</v>
      </c>
      <c r="F1094" s="66">
        <v>1</v>
      </c>
      <c r="G1094" s="66"/>
      <c r="H1094" s="66" t="e">
        <v>#N/A</v>
      </c>
      <c r="I1094" s="66"/>
      <c r="J1094" s="66" t="s">
        <v>870</v>
      </c>
      <c r="K1094" s="66" t="s">
        <v>757</v>
      </c>
      <c r="L1094" s="66" t="s">
        <v>757</v>
      </c>
      <c r="M1094" s="66" t="s">
        <v>757</v>
      </c>
      <c r="N1094" s="66" t="s">
        <v>757</v>
      </c>
      <c r="O1094" s="66" t="s">
        <v>878</v>
      </c>
      <c r="P1094" s="66"/>
      <c r="Q1094" s="66">
        <v>1</v>
      </c>
      <c r="R1094" s="66">
        <v>727</v>
      </c>
      <c r="S1094" s="66"/>
    </row>
    <row r="1095" spans="1:19" x14ac:dyDescent="0.25">
      <c r="A1095" s="15">
        <v>48</v>
      </c>
      <c r="B1095" s="66"/>
      <c r="C1095" s="66">
        <v>2429</v>
      </c>
      <c r="D1095" s="66"/>
      <c r="E1095" s="66" t="s">
        <v>763</v>
      </c>
      <c r="F1095" s="66">
        <v>1</v>
      </c>
      <c r="G1095" s="66"/>
      <c r="H1095" s="66" t="e">
        <v>#N/A</v>
      </c>
      <c r="I1095" s="66"/>
      <c r="J1095" s="66" t="s">
        <v>870</v>
      </c>
      <c r="K1095" s="66" t="s">
        <v>757</v>
      </c>
      <c r="L1095" s="66" t="s">
        <v>757</v>
      </c>
      <c r="M1095" s="66" t="s">
        <v>757</v>
      </c>
      <c r="N1095" s="66" t="s">
        <v>757</v>
      </c>
      <c r="O1095" s="66" t="s">
        <v>879</v>
      </c>
      <c r="P1095" s="66"/>
      <c r="Q1095" s="66">
        <v>1</v>
      </c>
      <c r="R1095" s="66">
        <v>728</v>
      </c>
      <c r="S1095" s="66"/>
    </row>
    <row r="1096" spans="1:19" x14ac:dyDescent="0.25">
      <c r="A1096" s="15">
        <v>48</v>
      </c>
      <c r="B1096" s="66"/>
      <c r="C1096" s="66">
        <v>2429</v>
      </c>
      <c r="D1096" s="66"/>
      <c r="E1096" s="66" t="s">
        <v>763</v>
      </c>
      <c r="F1096" s="66">
        <v>1</v>
      </c>
      <c r="G1096" s="66"/>
      <c r="H1096" s="66" t="e">
        <v>#N/A</v>
      </c>
      <c r="I1096" s="66"/>
      <c r="J1096" s="66" t="s">
        <v>870</v>
      </c>
      <c r="K1096" s="66" t="s">
        <v>757</v>
      </c>
      <c r="L1096" s="66" t="s">
        <v>757</v>
      </c>
      <c r="M1096" s="66" t="s">
        <v>757</v>
      </c>
      <c r="N1096" s="66" t="s">
        <v>757</v>
      </c>
      <c r="O1096" s="66" t="s">
        <v>880</v>
      </c>
      <c r="P1096" s="66"/>
      <c r="Q1096" s="66">
        <v>1</v>
      </c>
      <c r="R1096" s="66">
        <v>729</v>
      </c>
      <c r="S1096" s="66"/>
    </row>
    <row r="1097" spans="1:19" x14ac:dyDescent="0.25">
      <c r="A1097" s="15">
        <v>48</v>
      </c>
      <c r="B1097" s="66"/>
      <c r="C1097" s="66">
        <v>2429</v>
      </c>
      <c r="D1097" s="66"/>
      <c r="E1097" s="66" t="s">
        <v>763</v>
      </c>
      <c r="F1097" s="66">
        <v>1</v>
      </c>
      <c r="G1097" s="66"/>
      <c r="H1097" s="66" t="e">
        <v>#N/A</v>
      </c>
      <c r="I1097" s="66"/>
      <c r="J1097" s="66" t="s">
        <v>870</v>
      </c>
      <c r="K1097" s="66" t="s">
        <v>757</v>
      </c>
      <c r="L1097" s="66" t="s">
        <v>757</v>
      </c>
      <c r="M1097" s="66" t="s">
        <v>757</v>
      </c>
      <c r="N1097" s="66" t="s">
        <v>757</v>
      </c>
      <c r="O1097" s="66" t="s">
        <v>881</v>
      </c>
      <c r="P1097" s="66"/>
      <c r="Q1097" s="66">
        <v>1</v>
      </c>
      <c r="R1097" s="66">
        <v>730</v>
      </c>
      <c r="S1097" s="66"/>
    </row>
    <row r="1098" spans="1:19" x14ac:dyDescent="0.25">
      <c r="A1098" s="15">
        <v>48</v>
      </c>
      <c r="B1098" s="66"/>
      <c r="C1098" s="66">
        <v>2429</v>
      </c>
      <c r="D1098" s="66"/>
      <c r="E1098" s="66" t="s">
        <v>763</v>
      </c>
      <c r="F1098" s="66">
        <v>0</v>
      </c>
      <c r="G1098" s="66"/>
      <c r="H1098" s="66">
        <v>3</v>
      </c>
      <c r="I1098" s="66" t="e">
        <v>#N/A</v>
      </c>
      <c r="J1098" s="66" t="s">
        <v>870</v>
      </c>
      <c r="K1098" s="66"/>
      <c r="L1098" s="66"/>
      <c r="M1098" s="66"/>
      <c r="N1098" s="66"/>
      <c r="O1098" s="66" t="s">
        <v>882</v>
      </c>
      <c r="P1098" s="66"/>
      <c r="Q1098" s="66">
        <v>1</v>
      </c>
      <c r="R1098" s="66">
        <v>946</v>
      </c>
      <c r="S1098" s="66"/>
    </row>
    <row r="1099" spans="1:19" x14ac:dyDescent="0.25">
      <c r="A1099" s="15">
        <v>48</v>
      </c>
      <c r="B1099" s="66"/>
      <c r="C1099" s="66">
        <v>2429</v>
      </c>
      <c r="D1099" s="66"/>
      <c r="E1099" s="66" t="s">
        <v>763</v>
      </c>
      <c r="F1099" s="66">
        <v>0</v>
      </c>
      <c r="G1099" s="66"/>
      <c r="H1099" s="66">
        <v>3</v>
      </c>
      <c r="I1099" s="66" t="e">
        <v>#N/A</v>
      </c>
      <c r="J1099" s="66" t="s">
        <v>870</v>
      </c>
      <c r="K1099" s="66"/>
      <c r="L1099" s="66"/>
      <c r="M1099" s="66"/>
      <c r="N1099" s="66"/>
      <c r="O1099" s="66" t="s">
        <v>883</v>
      </c>
      <c r="P1099" s="66"/>
      <c r="Q1099" s="66">
        <v>1</v>
      </c>
      <c r="R1099" s="66">
        <v>947</v>
      </c>
      <c r="S1099" s="66"/>
    </row>
    <row r="1100" spans="1:19" x14ac:dyDescent="0.25">
      <c r="A1100" s="15">
        <v>48</v>
      </c>
      <c r="B1100" s="66"/>
      <c r="C1100" s="66">
        <v>2429</v>
      </c>
      <c r="D1100" s="66"/>
      <c r="E1100" s="66" t="s">
        <v>763</v>
      </c>
      <c r="F1100" s="66">
        <v>0</v>
      </c>
      <c r="G1100" s="66"/>
      <c r="H1100" s="66">
        <v>3</v>
      </c>
      <c r="I1100" s="66" t="e">
        <v>#N/A</v>
      </c>
      <c r="J1100" s="66" t="s">
        <v>870</v>
      </c>
      <c r="K1100" s="66"/>
      <c r="L1100" s="66"/>
      <c r="M1100" s="66"/>
      <c r="N1100" s="66"/>
      <c r="O1100" s="66" t="s">
        <v>884</v>
      </c>
      <c r="P1100" s="66"/>
      <c r="Q1100" s="66">
        <v>1</v>
      </c>
      <c r="R1100" s="66">
        <v>948</v>
      </c>
      <c r="S1100" s="66"/>
    </row>
    <row r="1101" spans="1:19" x14ac:dyDescent="0.25">
      <c r="A1101" s="15">
        <v>48</v>
      </c>
      <c r="B1101" s="66"/>
      <c r="C1101" s="66">
        <v>2429</v>
      </c>
      <c r="D1101" s="66"/>
      <c r="E1101" s="66" t="s">
        <v>763</v>
      </c>
      <c r="F1101" s="66">
        <v>0</v>
      </c>
      <c r="G1101" s="66"/>
      <c r="H1101" s="66">
        <v>3</v>
      </c>
      <c r="I1101" s="66" t="e">
        <v>#N/A</v>
      </c>
      <c r="J1101" s="66" t="s">
        <v>870</v>
      </c>
      <c r="K1101" s="66"/>
      <c r="L1101" s="66"/>
      <c r="M1101" s="66"/>
      <c r="N1101" s="66"/>
      <c r="O1101" s="66" t="s">
        <v>885</v>
      </c>
      <c r="P1101" s="66"/>
      <c r="Q1101" s="66">
        <v>1</v>
      </c>
      <c r="R1101" s="66">
        <v>949</v>
      </c>
      <c r="S1101" s="66"/>
    </row>
    <row r="1102" spans="1:19" x14ac:dyDescent="0.25">
      <c r="A1102" s="15">
        <v>48</v>
      </c>
      <c r="B1102" s="66"/>
      <c r="C1102" s="66">
        <v>2429</v>
      </c>
      <c r="D1102" s="66"/>
      <c r="E1102" s="66" t="s">
        <v>763</v>
      </c>
      <c r="F1102" s="66">
        <v>0</v>
      </c>
      <c r="G1102" s="66"/>
      <c r="H1102" s="66">
        <v>3</v>
      </c>
      <c r="I1102" s="66" t="e">
        <v>#N/A</v>
      </c>
      <c r="J1102" s="66" t="s">
        <v>870</v>
      </c>
      <c r="K1102" s="66"/>
      <c r="L1102" s="66"/>
      <c r="M1102" s="66"/>
      <c r="N1102" s="66"/>
      <c r="O1102" s="66" t="s">
        <v>886</v>
      </c>
      <c r="P1102" s="66"/>
      <c r="Q1102" s="66">
        <v>1</v>
      </c>
      <c r="R1102" s="66">
        <v>950</v>
      </c>
      <c r="S1102" s="66"/>
    </row>
    <row r="1103" spans="1:19" x14ac:dyDescent="0.25">
      <c r="A1103" s="15">
        <v>48</v>
      </c>
      <c r="B1103" s="66"/>
      <c r="C1103" s="66">
        <v>2429</v>
      </c>
      <c r="D1103" s="66"/>
      <c r="E1103" s="66" t="s">
        <v>763</v>
      </c>
      <c r="F1103" s="66">
        <v>0</v>
      </c>
      <c r="G1103" s="66"/>
      <c r="H1103" s="66">
        <v>3</v>
      </c>
      <c r="I1103" s="66" t="e">
        <v>#N/A</v>
      </c>
      <c r="J1103" s="66" t="s">
        <v>870</v>
      </c>
      <c r="K1103" s="66"/>
      <c r="L1103" s="66"/>
      <c r="M1103" s="66"/>
      <c r="N1103" s="66"/>
      <c r="O1103" s="66" t="s">
        <v>887</v>
      </c>
      <c r="P1103" s="66"/>
      <c r="Q1103" s="66">
        <v>1</v>
      </c>
      <c r="R1103" s="66">
        <v>951</v>
      </c>
      <c r="S1103" s="66"/>
    </row>
    <row r="1104" spans="1:19" x14ac:dyDescent="0.25">
      <c r="A1104" s="15">
        <v>48</v>
      </c>
      <c r="B1104" s="66"/>
      <c r="C1104" s="66">
        <v>2429</v>
      </c>
      <c r="D1104" s="66"/>
      <c r="E1104" s="66" t="s">
        <v>763</v>
      </c>
      <c r="F1104" s="66">
        <v>0</v>
      </c>
      <c r="G1104" s="66"/>
      <c r="H1104" s="66">
        <v>3</v>
      </c>
      <c r="I1104" s="66" t="e">
        <v>#N/A</v>
      </c>
      <c r="J1104" s="66" t="s">
        <v>870</v>
      </c>
      <c r="K1104" s="66"/>
      <c r="L1104" s="66"/>
      <c r="M1104" s="66"/>
      <c r="N1104" s="66"/>
      <c r="O1104" s="66" t="s">
        <v>888</v>
      </c>
      <c r="P1104" s="66"/>
      <c r="Q1104" s="66">
        <v>1</v>
      </c>
      <c r="R1104" s="66">
        <v>952</v>
      </c>
      <c r="S1104" s="66"/>
    </row>
    <row r="1105" spans="1:19" x14ac:dyDescent="0.25">
      <c r="A1105" s="15">
        <v>48</v>
      </c>
      <c r="B1105" s="66"/>
      <c r="C1105" s="66">
        <v>2429</v>
      </c>
      <c r="D1105" s="66"/>
      <c r="E1105" s="66" t="s">
        <v>763</v>
      </c>
      <c r="F1105" s="66">
        <v>0</v>
      </c>
      <c r="G1105" s="66"/>
      <c r="H1105" s="66">
        <v>3</v>
      </c>
      <c r="I1105" s="66" t="e">
        <v>#N/A</v>
      </c>
      <c r="J1105" s="66" t="s">
        <v>870</v>
      </c>
      <c r="K1105" s="66"/>
      <c r="L1105" s="66"/>
      <c r="M1105" s="66"/>
      <c r="N1105" s="66"/>
      <c r="O1105" s="66" t="s">
        <v>889</v>
      </c>
      <c r="P1105" s="66"/>
      <c r="Q1105" s="66">
        <v>1</v>
      </c>
      <c r="R1105" s="66">
        <v>953</v>
      </c>
      <c r="S1105" s="66"/>
    </row>
    <row r="1106" spans="1:19" x14ac:dyDescent="0.25">
      <c r="A1106" s="15">
        <v>48</v>
      </c>
      <c r="B1106" s="66"/>
      <c r="C1106" s="66">
        <v>2429</v>
      </c>
      <c r="D1106" s="66"/>
      <c r="E1106" s="66" t="s">
        <v>763</v>
      </c>
      <c r="F1106" s="66">
        <v>0</v>
      </c>
      <c r="G1106" s="66"/>
      <c r="H1106" s="66">
        <v>3</v>
      </c>
      <c r="I1106" s="66" t="e">
        <v>#N/A</v>
      </c>
      <c r="J1106" s="66" t="s">
        <v>870</v>
      </c>
      <c r="K1106" s="66"/>
      <c r="L1106" s="66"/>
      <c r="M1106" s="66"/>
      <c r="N1106" s="66"/>
      <c r="O1106" s="66" t="s">
        <v>890</v>
      </c>
      <c r="P1106" s="66"/>
      <c r="Q1106" s="66">
        <v>1</v>
      </c>
      <c r="R1106" s="66">
        <v>954</v>
      </c>
      <c r="S1106" s="66"/>
    </row>
    <row r="1107" spans="1:19" x14ac:dyDescent="0.25">
      <c r="A1107" s="15">
        <v>48</v>
      </c>
      <c r="B1107" s="66"/>
      <c r="C1107" s="66">
        <v>2429</v>
      </c>
      <c r="D1107" s="66"/>
      <c r="E1107" s="66" t="s">
        <v>763</v>
      </c>
      <c r="F1107" s="66">
        <v>0</v>
      </c>
      <c r="G1107" s="66"/>
      <c r="H1107" s="66">
        <v>3</v>
      </c>
      <c r="I1107" s="66" t="e">
        <v>#N/A</v>
      </c>
      <c r="J1107" s="66" t="s">
        <v>870</v>
      </c>
      <c r="K1107" s="66"/>
      <c r="L1107" s="66"/>
      <c r="M1107" s="66"/>
      <c r="N1107" s="66"/>
      <c r="O1107" s="66" t="s">
        <v>891</v>
      </c>
      <c r="P1107" s="66"/>
      <c r="Q1107" s="66">
        <v>1</v>
      </c>
      <c r="R1107" s="66">
        <v>955</v>
      </c>
      <c r="S1107" s="66"/>
    </row>
    <row r="1108" spans="1:19" x14ac:dyDescent="0.25">
      <c r="A1108" s="15">
        <v>48</v>
      </c>
      <c r="B1108" s="66"/>
      <c r="C1108" s="66">
        <v>2429</v>
      </c>
      <c r="D1108" s="66"/>
      <c r="E1108" s="66" t="s">
        <v>763</v>
      </c>
      <c r="F1108" s="66">
        <v>0</v>
      </c>
      <c r="G1108" s="66"/>
      <c r="H1108" s="66">
        <v>3</v>
      </c>
      <c r="I1108" s="66" t="e">
        <v>#N/A</v>
      </c>
      <c r="J1108" s="66" t="s">
        <v>870</v>
      </c>
      <c r="K1108" s="66"/>
      <c r="L1108" s="66"/>
      <c r="M1108" s="66"/>
      <c r="N1108" s="66"/>
      <c r="O1108" s="66" t="s">
        <v>892</v>
      </c>
      <c r="P1108" s="66"/>
      <c r="Q1108" s="66">
        <v>1</v>
      </c>
      <c r="R1108" s="66">
        <v>956</v>
      </c>
      <c r="S1108" s="66"/>
    </row>
    <row r="1109" spans="1:19" x14ac:dyDescent="0.25">
      <c r="A1109" s="15">
        <v>48</v>
      </c>
      <c r="B1109" s="66"/>
      <c r="C1109" s="66">
        <v>2429</v>
      </c>
      <c r="D1109" s="66"/>
      <c r="E1109" s="66" t="s">
        <v>763</v>
      </c>
      <c r="F1109" s="66">
        <v>0</v>
      </c>
      <c r="G1109" s="66"/>
      <c r="H1109" s="66">
        <v>3</v>
      </c>
      <c r="I1109" s="66" t="e">
        <v>#N/A</v>
      </c>
      <c r="J1109" s="66" t="s">
        <v>870</v>
      </c>
      <c r="K1109" s="66"/>
      <c r="L1109" s="66"/>
      <c r="M1109" s="66"/>
      <c r="N1109" s="66"/>
      <c r="O1109" s="66" t="s">
        <v>893</v>
      </c>
      <c r="P1109" s="66"/>
      <c r="Q1109" s="66">
        <v>1</v>
      </c>
      <c r="R1109" s="66">
        <v>957</v>
      </c>
      <c r="S1109" s="66"/>
    </row>
    <row r="1110" spans="1:19" x14ac:dyDescent="0.25">
      <c r="A1110" s="15">
        <v>48</v>
      </c>
      <c r="B1110" s="66"/>
      <c r="C1110" s="66">
        <v>2429</v>
      </c>
      <c r="D1110" s="66"/>
      <c r="E1110" s="66" t="s">
        <v>763</v>
      </c>
      <c r="F1110" s="66">
        <v>3</v>
      </c>
      <c r="G1110" s="66"/>
      <c r="H1110" s="66">
        <v>3</v>
      </c>
      <c r="I1110" s="66" t="e">
        <v>#N/A</v>
      </c>
      <c r="J1110" s="66" t="s">
        <v>870</v>
      </c>
      <c r="K1110" s="66"/>
      <c r="L1110" s="66"/>
      <c r="M1110" s="66"/>
      <c r="N1110" s="66"/>
      <c r="O1110" s="66" t="s">
        <v>894</v>
      </c>
      <c r="P1110" s="66"/>
      <c r="Q1110" s="66">
        <v>1</v>
      </c>
      <c r="R1110" s="66">
        <v>1173</v>
      </c>
      <c r="S1110" s="66"/>
    </row>
    <row r="1111" spans="1:19" x14ac:dyDescent="0.25">
      <c r="A1111" s="15">
        <v>48</v>
      </c>
      <c r="B1111" s="66"/>
      <c r="C1111" s="66">
        <v>2429</v>
      </c>
      <c r="D1111" s="66"/>
      <c r="E1111" s="66" t="s">
        <v>763</v>
      </c>
      <c r="F1111" s="66">
        <v>3</v>
      </c>
      <c r="G1111" s="66"/>
      <c r="H1111" s="66">
        <v>3</v>
      </c>
      <c r="I1111" s="66" t="e">
        <v>#N/A</v>
      </c>
      <c r="J1111" s="66" t="s">
        <v>870</v>
      </c>
      <c r="K1111" s="66"/>
      <c r="L1111" s="66"/>
      <c r="M1111" s="66"/>
      <c r="N1111" s="66"/>
      <c r="O1111" s="66" t="s">
        <v>895</v>
      </c>
      <c r="P1111" s="66"/>
      <c r="Q1111" s="66">
        <v>1</v>
      </c>
      <c r="R1111" s="66">
        <v>1174</v>
      </c>
      <c r="S1111" s="66"/>
    </row>
    <row r="1112" spans="1:19" x14ac:dyDescent="0.25">
      <c r="A1112" s="15">
        <v>48</v>
      </c>
      <c r="B1112" s="66"/>
      <c r="C1112" s="66">
        <v>2429</v>
      </c>
      <c r="D1112" s="66"/>
      <c r="E1112" s="66" t="s">
        <v>763</v>
      </c>
      <c r="F1112" s="66">
        <v>3</v>
      </c>
      <c r="G1112" s="66"/>
      <c r="H1112" s="66">
        <v>3</v>
      </c>
      <c r="I1112" s="66" t="e">
        <v>#N/A</v>
      </c>
      <c r="J1112" s="66" t="s">
        <v>870</v>
      </c>
      <c r="K1112" s="66"/>
      <c r="L1112" s="66"/>
      <c r="M1112" s="66"/>
      <c r="N1112" s="66"/>
      <c r="O1112" s="66" t="s">
        <v>896</v>
      </c>
      <c r="P1112" s="66"/>
      <c r="Q1112" s="66">
        <v>1</v>
      </c>
      <c r="R1112" s="66">
        <v>1175</v>
      </c>
      <c r="S1112" s="66"/>
    </row>
    <row r="1113" spans="1:19" x14ac:dyDescent="0.25">
      <c r="A1113" s="15">
        <v>48</v>
      </c>
      <c r="B1113" s="66"/>
      <c r="C1113" s="66">
        <v>2429</v>
      </c>
      <c r="D1113" s="66"/>
      <c r="E1113" s="66" t="s">
        <v>763</v>
      </c>
      <c r="F1113" s="66">
        <v>3</v>
      </c>
      <c r="G1113" s="66"/>
      <c r="H1113" s="66">
        <v>3</v>
      </c>
      <c r="I1113" s="66" t="e">
        <v>#N/A</v>
      </c>
      <c r="J1113" s="66" t="s">
        <v>870</v>
      </c>
      <c r="K1113" s="66"/>
      <c r="L1113" s="66"/>
      <c r="M1113" s="66"/>
      <c r="N1113" s="66"/>
      <c r="O1113" s="66" t="s">
        <v>897</v>
      </c>
      <c r="P1113" s="66"/>
      <c r="Q1113" s="66">
        <v>1</v>
      </c>
      <c r="R1113" s="66">
        <v>1176</v>
      </c>
      <c r="S1113" s="66"/>
    </row>
    <row r="1114" spans="1:19" x14ac:dyDescent="0.25">
      <c r="A1114" s="15">
        <v>48</v>
      </c>
      <c r="B1114" s="66"/>
      <c r="C1114" s="66">
        <v>2429</v>
      </c>
      <c r="D1114" s="66"/>
      <c r="E1114" s="66" t="s">
        <v>763</v>
      </c>
      <c r="F1114" s="66">
        <v>3</v>
      </c>
      <c r="G1114" s="66"/>
      <c r="H1114" s="66">
        <v>3</v>
      </c>
      <c r="I1114" s="66" t="e">
        <v>#N/A</v>
      </c>
      <c r="J1114" s="66" t="s">
        <v>870</v>
      </c>
      <c r="K1114" s="66"/>
      <c r="L1114" s="66"/>
      <c r="M1114" s="66"/>
      <c r="N1114" s="66"/>
      <c r="O1114" s="66" t="s">
        <v>898</v>
      </c>
      <c r="P1114" s="66"/>
      <c r="Q1114" s="66">
        <v>1</v>
      </c>
      <c r="R1114" s="66">
        <v>1177</v>
      </c>
      <c r="S1114" s="66"/>
    </row>
    <row r="1115" spans="1:19" x14ac:dyDescent="0.25">
      <c r="A1115" s="15">
        <v>48</v>
      </c>
      <c r="B1115" s="66"/>
      <c r="C1115" s="66">
        <v>2429</v>
      </c>
      <c r="D1115" s="66"/>
      <c r="E1115" s="66" t="s">
        <v>763</v>
      </c>
      <c r="F1115" s="66">
        <v>3</v>
      </c>
      <c r="G1115" s="66"/>
      <c r="H1115" s="66">
        <v>3</v>
      </c>
      <c r="I1115" s="66" t="e">
        <v>#N/A</v>
      </c>
      <c r="J1115" s="66" t="s">
        <v>870</v>
      </c>
      <c r="K1115" s="66"/>
      <c r="L1115" s="66"/>
      <c r="M1115" s="66"/>
      <c r="N1115" s="66"/>
      <c r="O1115" s="66" t="s">
        <v>899</v>
      </c>
      <c r="P1115" s="66"/>
      <c r="Q1115" s="66">
        <v>1</v>
      </c>
      <c r="R1115" s="66">
        <v>1178</v>
      </c>
      <c r="S1115" s="66"/>
    </row>
    <row r="1116" spans="1:19" x14ac:dyDescent="0.25">
      <c r="A1116" s="15">
        <v>48</v>
      </c>
      <c r="B1116" s="66"/>
      <c r="C1116" s="66">
        <v>2429</v>
      </c>
      <c r="D1116" s="66"/>
      <c r="E1116" s="66" t="s">
        <v>763</v>
      </c>
      <c r="F1116" s="66">
        <v>3</v>
      </c>
      <c r="G1116" s="66"/>
      <c r="H1116" s="66">
        <v>3</v>
      </c>
      <c r="I1116" s="66" t="e">
        <v>#N/A</v>
      </c>
      <c r="J1116" s="66" t="s">
        <v>870</v>
      </c>
      <c r="K1116" s="66"/>
      <c r="L1116" s="66"/>
      <c r="M1116" s="66"/>
      <c r="N1116" s="66"/>
      <c r="O1116" s="66" t="s">
        <v>900</v>
      </c>
      <c r="P1116" s="66"/>
      <c r="Q1116" s="66">
        <v>1</v>
      </c>
      <c r="R1116" s="66">
        <v>1179</v>
      </c>
      <c r="S1116" s="66"/>
    </row>
    <row r="1117" spans="1:19" x14ac:dyDescent="0.25">
      <c r="A1117" s="15">
        <v>48</v>
      </c>
      <c r="B1117" s="66"/>
      <c r="C1117" s="66">
        <v>2429</v>
      </c>
      <c r="D1117" s="66"/>
      <c r="E1117" s="66" t="s">
        <v>763</v>
      </c>
      <c r="F1117" s="66">
        <v>3</v>
      </c>
      <c r="G1117" s="66"/>
      <c r="H1117" s="66">
        <v>3</v>
      </c>
      <c r="I1117" s="66" t="e">
        <v>#N/A</v>
      </c>
      <c r="J1117" s="66" t="s">
        <v>870</v>
      </c>
      <c r="K1117" s="66"/>
      <c r="L1117" s="66"/>
      <c r="M1117" s="66"/>
      <c r="N1117" s="66"/>
      <c r="O1117" s="66" t="s">
        <v>901</v>
      </c>
      <c r="P1117" s="66"/>
      <c r="Q1117" s="66">
        <v>1</v>
      </c>
      <c r="R1117" s="66">
        <v>1180</v>
      </c>
      <c r="S1117" s="66"/>
    </row>
    <row r="1118" spans="1:19" x14ac:dyDescent="0.25">
      <c r="A1118" s="15">
        <v>48</v>
      </c>
      <c r="B1118" s="66"/>
      <c r="C1118" s="66">
        <v>2429</v>
      </c>
      <c r="D1118" s="66"/>
      <c r="E1118" s="66" t="s">
        <v>763</v>
      </c>
      <c r="F1118" s="66">
        <v>3</v>
      </c>
      <c r="G1118" s="66"/>
      <c r="H1118" s="66">
        <v>3</v>
      </c>
      <c r="I1118" s="66" t="e">
        <v>#N/A</v>
      </c>
      <c r="J1118" s="66" t="s">
        <v>870</v>
      </c>
      <c r="K1118" s="66"/>
      <c r="L1118" s="66"/>
      <c r="M1118" s="66"/>
      <c r="N1118" s="66"/>
      <c r="O1118" s="66" t="s">
        <v>902</v>
      </c>
      <c r="P1118" s="66"/>
      <c r="Q1118" s="66">
        <v>1</v>
      </c>
      <c r="R1118" s="66">
        <v>1181</v>
      </c>
      <c r="S1118" s="66"/>
    </row>
    <row r="1119" spans="1:19" x14ac:dyDescent="0.25">
      <c r="A1119" s="15">
        <v>48</v>
      </c>
      <c r="B1119" s="66"/>
      <c r="C1119" s="66">
        <v>2429</v>
      </c>
      <c r="D1119" s="66"/>
      <c r="E1119" s="66" t="s">
        <v>763</v>
      </c>
      <c r="F1119" s="66">
        <v>3</v>
      </c>
      <c r="G1119" s="66"/>
      <c r="H1119" s="66">
        <v>3</v>
      </c>
      <c r="I1119" s="66" t="e">
        <v>#N/A</v>
      </c>
      <c r="J1119" s="66" t="s">
        <v>870</v>
      </c>
      <c r="K1119" s="66"/>
      <c r="L1119" s="66"/>
      <c r="M1119" s="66"/>
      <c r="N1119" s="66"/>
      <c r="O1119" s="66" t="s">
        <v>903</v>
      </c>
      <c r="P1119" s="66"/>
      <c r="Q1119" s="66">
        <v>1</v>
      </c>
      <c r="R1119" s="66">
        <v>1182</v>
      </c>
      <c r="S1119" s="66"/>
    </row>
    <row r="1120" spans="1:19" x14ac:dyDescent="0.25">
      <c r="A1120" s="15">
        <v>48</v>
      </c>
      <c r="B1120" s="66"/>
      <c r="C1120" s="66">
        <v>2429</v>
      </c>
      <c r="D1120" s="66"/>
      <c r="E1120" s="66" t="s">
        <v>763</v>
      </c>
      <c r="F1120" s="66">
        <v>3</v>
      </c>
      <c r="G1120" s="66"/>
      <c r="H1120" s="66">
        <v>3</v>
      </c>
      <c r="I1120" s="66" t="e">
        <v>#N/A</v>
      </c>
      <c r="J1120" s="66" t="s">
        <v>870</v>
      </c>
      <c r="K1120" s="66"/>
      <c r="L1120" s="66"/>
      <c r="M1120" s="66"/>
      <c r="N1120" s="66"/>
      <c r="O1120" s="66" t="s">
        <v>904</v>
      </c>
      <c r="P1120" s="66"/>
      <c r="Q1120" s="66">
        <v>1</v>
      </c>
      <c r="R1120" s="66">
        <v>1183</v>
      </c>
      <c r="S1120" s="66"/>
    </row>
    <row r="1121" spans="1:19" x14ac:dyDescent="0.25">
      <c r="A1121" s="15">
        <v>48</v>
      </c>
      <c r="B1121" s="66"/>
      <c r="C1121" s="66">
        <v>2429</v>
      </c>
      <c r="D1121" s="66"/>
      <c r="E1121" s="66" t="s">
        <v>763</v>
      </c>
      <c r="F1121" s="66">
        <v>3</v>
      </c>
      <c r="G1121" s="66"/>
      <c r="H1121" s="66">
        <v>3</v>
      </c>
      <c r="I1121" s="66" t="e">
        <v>#N/A</v>
      </c>
      <c r="J1121" s="66" t="s">
        <v>870</v>
      </c>
      <c r="K1121" s="66"/>
      <c r="L1121" s="66"/>
      <c r="M1121" s="66"/>
      <c r="N1121" s="66"/>
      <c r="O1121" s="66" t="s">
        <v>905</v>
      </c>
      <c r="P1121" s="66"/>
      <c r="Q1121" s="66">
        <v>1</v>
      </c>
      <c r="R1121" s="66">
        <v>1184</v>
      </c>
      <c r="S1121" s="66"/>
    </row>
    <row r="1122" spans="1:19" x14ac:dyDescent="0.25">
      <c r="A1122" s="15">
        <v>48</v>
      </c>
      <c r="B1122" s="66"/>
      <c r="C1122" s="66">
        <v>2429</v>
      </c>
      <c r="D1122" s="66"/>
      <c r="E1122" s="66" t="s">
        <v>763</v>
      </c>
      <c r="F1122" s="66">
        <v>3</v>
      </c>
      <c r="G1122" s="66"/>
      <c r="H1122" s="66" t="e">
        <v>#N/A</v>
      </c>
      <c r="I1122" s="66"/>
      <c r="J1122" s="66" t="s">
        <v>870</v>
      </c>
      <c r="K1122" s="66"/>
      <c r="L1122" s="66"/>
      <c r="M1122" s="66"/>
      <c r="N1122" s="66"/>
      <c r="O1122" s="66" t="s">
        <v>906</v>
      </c>
      <c r="P1122" s="66"/>
      <c r="Q1122" s="66">
        <v>1</v>
      </c>
      <c r="R1122" s="66">
        <v>1291</v>
      </c>
      <c r="S1122" s="66"/>
    </row>
    <row r="1123" spans="1:19" x14ac:dyDescent="0.25">
      <c r="A1123" s="15">
        <v>48</v>
      </c>
      <c r="B1123" s="66"/>
      <c r="C1123" s="66">
        <v>2429</v>
      </c>
      <c r="D1123" s="66"/>
      <c r="E1123" s="66" t="s">
        <v>763</v>
      </c>
      <c r="F1123" s="66">
        <v>5</v>
      </c>
      <c r="G1123" s="66"/>
      <c r="H1123" s="66" t="e">
        <v>#N/A</v>
      </c>
      <c r="I1123" s="66"/>
      <c r="J1123" s="66" t="s">
        <v>870</v>
      </c>
      <c r="K1123" s="66"/>
      <c r="L1123" s="66"/>
      <c r="M1123" s="66"/>
      <c r="N1123" s="66"/>
      <c r="O1123" s="66" t="s">
        <v>908</v>
      </c>
      <c r="P1123" s="66"/>
      <c r="Q1123" s="66">
        <v>1</v>
      </c>
      <c r="R1123" s="66">
        <v>1467</v>
      </c>
      <c r="S1123" s="66"/>
    </row>
    <row r="1124" spans="1:19" x14ac:dyDescent="0.25">
      <c r="A1124" s="15">
        <v>48</v>
      </c>
      <c r="B1124" s="66"/>
      <c r="C1124" s="66">
        <v>2429</v>
      </c>
      <c r="D1124" s="66"/>
      <c r="E1124" s="66" t="s">
        <v>763</v>
      </c>
      <c r="F1124" s="66">
        <v>5</v>
      </c>
      <c r="G1124" s="66"/>
      <c r="H1124" s="66" t="e">
        <v>#N/A</v>
      </c>
      <c r="I1124" s="66"/>
      <c r="J1124" s="66" t="s">
        <v>870</v>
      </c>
      <c r="K1124" s="66"/>
      <c r="L1124" s="66"/>
      <c r="M1124" s="66"/>
      <c r="N1124" s="66"/>
      <c r="O1124" s="66" t="s">
        <v>909</v>
      </c>
      <c r="P1124" s="66"/>
      <c r="Q1124" s="66">
        <v>1</v>
      </c>
      <c r="R1124" s="66">
        <v>1468</v>
      </c>
      <c r="S1124" s="66"/>
    </row>
    <row r="1125" spans="1:19" x14ac:dyDescent="0.25">
      <c r="A1125" s="15">
        <v>48</v>
      </c>
      <c r="B1125" s="66"/>
      <c r="C1125" s="66">
        <v>2429</v>
      </c>
      <c r="D1125" s="66"/>
      <c r="E1125" s="66" t="s">
        <v>763</v>
      </c>
      <c r="F1125" s="66">
        <v>5</v>
      </c>
      <c r="G1125" s="66"/>
      <c r="H1125" s="66" t="e">
        <v>#N/A</v>
      </c>
      <c r="I1125" s="66"/>
      <c r="J1125" s="66" t="s">
        <v>870</v>
      </c>
      <c r="K1125" s="66"/>
      <c r="L1125" s="66"/>
      <c r="M1125" s="66"/>
      <c r="N1125" s="66"/>
      <c r="O1125" s="66" t="s">
        <v>910</v>
      </c>
      <c r="P1125" s="66"/>
      <c r="Q1125" s="66">
        <v>1</v>
      </c>
      <c r="R1125" s="66">
        <v>1469</v>
      </c>
      <c r="S1125" s="66"/>
    </row>
    <row r="1126" spans="1:19" x14ac:dyDescent="0.25">
      <c r="A1126" s="15">
        <v>48</v>
      </c>
      <c r="B1126" s="66"/>
      <c r="C1126" s="66">
        <v>2429</v>
      </c>
      <c r="D1126" s="66"/>
      <c r="E1126" s="66" t="s">
        <v>763</v>
      </c>
      <c r="F1126" s="66">
        <v>5</v>
      </c>
      <c r="G1126" s="66"/>
      <c r="H1126" s="66" t="e">
        <v>#N/A</v>
      </c>
      <c r="I1126" s="66"/>
      <c r="J1126" s="66" t="s">
        <v>870</v>
      </c>
      <c r="K1126" s="66"/>
      <c r="L1126" s="66"/>
      <c r="M1126" s="66"/>
      <c r="N1126" s="66"/>
      <c r="O1126" s="66" t="s">
        <v>911</v>
      </c>
      <c r="P1126" s="66"/>
      <c r="Q1126" s="66">
        <v>1</v>
      </c>
      <c r="R1126" s="66">
        <v>1470</v>
      </c>
      <c r="S1126" s="66"/>
    </row>
    <row r="1127" spans="1:19" x14ac:dyDescent="0.25">
      <c r="A1127" s="15">
        <v>48</v>
      </c>
      <c r="B1127" s="66"/>
      <c r="C1127" s="66">
        <v>2429</v>
      </c>
      <c r="D1127" s="66"/>
      <c r="E1127" s="66" t="s">
        <v>763</v>
      </c>
      <c r="F1127" s="66">
        <v>5</v>
      </c>
      <c r="G1127" s="66"/>
      <c r="H1127" s="66" t="e">
        <v>#N/A</v>
      </c>
      <c r="I1127" s="66"/>
      <c r="J1127" s="66" t="s">
        <v>870</v>
      </c>
      <c r="K1127" s="66"/>
      <c r="L1127" s="66"/>
      <c r="M1127" s="66"/>
      <c r="N1127" s="66"/>
      <c r="O1127" s="66" t="s">
        <v>912</v>
      </c>
      <c r="P1127" s="66"/>
      <c r="Q1127" s="66">
        <v>1</v>
      </c>
      <c r="R1127" s="66">
        <v>1471</v>
      </c>
      <c r="S1127" s="66"/>
    </row>
    <row r="1128" spans="1:19" x14ac:dyDescent="0.25">
      <c r="A1128" s="15">
        <v>48</v>
      </c>
      <c r="B1128" s="66"/>
      <c r="C1128" s="66">
        <v>2429</v>
      </c>
      <c r="D1128" s="66"/>
      <c r="E1128" s="66" t="s">
        <v>763</v>
      </c>
      <c r="F1128" s="66">
        <v>5</v>
      </c>
      <c r="G1128" s="66"/>
      <c r="H1128" s="66" t="e">
        <v>#N/A</v>
      </c>
      <c r="I1128" s="66"/>
      <c r="J1128" s="66" t="s">
        <v>870</v>
      </c>
      <c r="K1128" s="66"/>
      <c r="L1128" s="66"/>
      <c r="M1128" s="66"/>
      <c r="N1128" s="66"/>
      <c r="O1128" s="66" t="s">
        <v>913</v>
      </c>
      <c r="P1128" s="66"/>
      <c r="Q1128" s="66">
        <v>1</v>
      </c>
      <c r="R1128" s="66">
        <v>1472</v>
      </c>
      <c r="S1128" s="66"/>
    </row>
    <row r="1129" spans="1:19" x14ac:dyDescent="0.25">
      <c r="A1129" s="15">
        <v>48</v>
      </c>
      <c r="B1129" s="66"/>
      <c r="C1129" s="66">
        <v>2429</v>
      </c>
      <c r="D1129" s="66"/>
      <c r="E1129" s="66" t="s">
        <v>763</v>
      </c>
      <c r="F1129" s="66">
        <v>5</v>
      </c>
      <c r="G1129" s="66"/>
      <c r="H1129" s="66" t="e">
        <v>#N/A</v>
      </c>
      <c r="I1129" s="66"/>
      <c r="J1129" s="66" t="s">
        <v>870</v>
      </c>
      <c r="K1129" s="66"/>
      <c r="L1129" s="66"/>
      <c r="M1129" s="66"/>
      <c r="N1129" s="66"/>
      <c r="O1129" s="66" t="s">
        <v>914</v>
      </c>
      <c r="P1129" s="66"/>
      <c r="Q1129" s="66">
        <v>1</v>
      </c>
      <c r="R1129" s="66">
        <v>1473</v>
      </c>
      <c r="S1129" s="66"/>
    </row>
    <row r="1130" spans="1:19" x14ac:dyDescent="0.25">
      <c r="A1130" s="15">
        <v>48</v>
      </c>
      <c r="B1130" s="66"/>
      <c r="C1130" s="66">
        <v>2429</v>
      </c>
      <c r="D1130" s="66"/>
      <c r="E1130" s="66" t="s">
        <v>763</v>
      </c>
      <c r="F1130" s="66">
        <v>5</v>
      </c>
      <c r="G1130" s="66"/>
      <c r="H1130" s="66" t="e">
        <v>#N/A</v>
      </c>
      <c r="I1130" s="66"/>
      <c r="J1130" s="66" t="s">
        <v>870</v>
      </c>
      <c r="K1130" s="66"/>
      <c r="L1130" s="66"/>
      <c r="M1130" s="66"/>
      <c r="N1130" s="66"/>
      <c r="O1130" s="66" t="s">
        <v>915</v>
      </c>
      <c r="P1130" s="66"/>
      <c r="Q1130" s="66">
        <v>1</v>
      </c>
      <c r="R1130" s="66">
        <v>1474</v>
      </c>
      <c r="S1130" s="66"/>
    </row>
    <row r="1131" spans="1:19" x14ac:dyDescent="0.25">
      <c r="A1131" s="15">
        <v>48</v>
      </c>
      <c r="B1131" s="66"/>
      <c r="C1131" s="66">
        <v>2429</v>
      </c>
      <c r="D1131" s="66"/>
      <c r="E1131" s="66" t="s">
        <v>763</v>
      </c>
      <c r="F1131" s="66">
        <v>5</v>
      </c>
      <c r="G1131" s="66"/>
      <c r="H1131" s="66" t="e">
        <v>#N/A</v>
      </c>
      <c r="I1131" s="66"/>
      <c r="J1131" s="66" t="s">
        <v>870</v>
      </c>
      <c r="K1131" s="66"/>
      <c r="L1131" s="66"/>
      <c r="M1131" s="66"/>
      <c r="N1131" s="66"/>
      <c r="O1131" s="66" t="s">
        <v>916</v>
      </c>
      <c r="P1131" s="66"/>
      <c r="Q1131" s="66">
        <v>1</v>
      </c>
      <c r="R1131" s="66">
        <v>1475</v>
      </c>
      <c r="S1131" s="66"/>
    </row>
    <row r="1132" spans="1:19" x14ac:dyDescent="0.25">
      <c r="A1132" s="15">
        <v>48</v>
      </c>
      <c r="B1132" s="66"/>
      <c r="C1132" s="66">
        <v>2429</v>
      </c>
      <c r="D1132" s="66"/>
      <c r="E1132" s="66" t="s">
        <v>763</v>
      </c>
      <c r="F1132" s="66">
        <v>5</v>
      </c>
      <c r="G1132" s="66"/>
      <c r="H1132" s="66" t="e">
        <v>#N/A</v>
      </c>
      <c r="I1132" s="66"/>
      <c r="J1132" s="66" t="s">
        <v>870</v>
      </c>
      <c r="K1132" s="66"/>
      <c r="L1132" s="66"/>
      <c r="M1132" s="66"/>
      <c r="N1132" s="66"/>
      <c r="O1132" s="66" t="s">
        <v>917</v>
      </c>
      <c r="P1132" s="66"/>
      <c r="Q1132" s="66">
        <v>1</v>
      </c>
      <c r="R1132" s="66">
        <v>1476</v>
      </c>
      <c r="S1132" s="66"/>
    </row>
    <row r="1133" spans="1:19" x14ac:dyDescent="0.25">
      <c r="A1133" s="15">
        <v>48</v>
      </c>
      <c r="B1133" s="66"/>
      <c r="C1133" s="66">
        <v>2429</v>
      </c>
      <c r="D1133" s="66"/>
      <c r="E1133" s="66" t="s">
        <v>763</v>
      </c>
      <c r="F1133" s="66">
        <v>5</v>
      </c>
      <c r="G1133" s="66"/>
      <c r="H1133" s="66" t="e">
        <v>#N/A</v>
      </c>
      <c r="I1133" s="66"/>
      <c r="J1133" s="66" t="s">
        <v>870</v>
      </c>
      <c r="K1133" s="66"/>
      <c r="L1133" s="66"/>
      <c r="M1133" s="66"/>
      <c r="N1133" s="66"/>
      <c r="O1133" s="66" t="s">
        <v>918</v>
      </c>
      <c r="P1133" s="66"/>
      <c r="Q1133" s="66">
        <v>1</v>
      </c>
      <c r="R1133" s="66">
        <v>1477</v>
      </c>
      <c r="S1133" s="66"/>
    </row>
    <row r="1134" spans="1:19" x14ac:dyDescent="0.25">
      <c r="A1134" s="15">
        <v>48</v>
      </c>
      <c r="B1134" s="66"/>
      <c r="C1134" s="66">
        <v>2429</v>
      </c>
      <c r="D1134" s="66"/>
      <c r="E1134" s="66" t="s">
        <v>763</v>
      </c>
      <c r="F1134" s="66">
        <v>5</v>
      </c>
      <c r="G1134" s="66"/>
      <c r="H1134" s="66" t="e">
        <v>#N/A</v>
      </c>
      <c r="I1134" s="66"/>
      <c r="J1134" s="66" t="s">
        <v>870</v>
      </c>
      <c r="K1134" s="66"/>
      <c r="L1134" s="66"/>
      <c r="M1134" s="66"/>
      <c r="N1134" s="66"/>
      <c r="O1134" s="66" t="s">
        <v>919</v>
      </c>
      <c r="P1134" s="66"/>
      <c r="Q1134" s="66">
        <v>1</v>
      </c>
      <c r="R1134" s="66">
        <v>1478</v>
      </c>
      <c r="S1134" s="66"/>
    </row>
    <row r="1135" spans="1:19" x14ac:dyDescent="0.25">
      <c r="A1135" s="15">
        <v>49</v>
      </c>
      <c r="B1135" s="66"/>
      <c r="C1135" s="66"/>
      <c r="D1135" s="66"/>
      <c r="E1135" s="66"/>
      <c r="F1135" s="66"/>
      <c r="G1135" s="66"/>
      <c r="H1135" s="66"/>
      <c r="I1135" s="66"/>
      <c r="J1135" s="66"/>
      <c r="K1135" s="66"/>
      <c r="L1135" s="66"/>
      <c r="M1135" s="66"/>
      <c r="N1135" s="66"/>
      <c r="O1135" s="66"/>
      <c r="P1135" s="66"/>
      <c r="Q1135" s="66"/>
      <c r="R1135" s="66"/>
      <c r="S1135" s="66"/>
    </row>
    <row r="1136" spans="1:19" x14ac:dyDescent="0.25">
      <c r="A1136" s="15">
        <v>49</v>
      </c>
      <c r="B1136" s="66"/>
      <c r="C1136" s="66"/>
      <c r="D1136" s="66"/>
      <c r="E1136" s="66"/>
      <c r="F1136" s="66"/>
      <c r="G1136" s="66"/>
      <c r="H1136" s="66"/>
      <c r="I1136" s="66"/>
      <c r="J1136" s="66"/>
      <c r="K1136" s="66"/>
      <c r="L1136" s="66"/>
      <c r="M1136" s="66"/>
      <c r="N1136" s="66"/>
      <c r="O1136" s="66" t="s">
        <v>807</v>
      </c>
      <c r="P1136" s="66"/>
      <c r="Q1136" s="66"/>
      <c r="R1136" s="66"/>
      <c r="S1136" s="66"/>
    </row>
    <row r="1137" spans="1:19" x14ac:dyDescent="0.25">
      <c r="A1137" s="15">
        <v>49</v>
      </c>
      <c r="B1137" s="66"/>
      <c r="C1137" s="66"/>
      <c r="D1137" s="66"/>
      <c r="E1137" s="66"/>
      <c r="F1137" s="66"/>
      <c r="G1137" s="66"/>
      <c r="H1137" s="66"/>
      <c r="I1137" s="66"/>
      <c r="J1137" s="66"/>
      <c r="K1137" s="66"/>
      <c r="L1137" s="66"/>
      <c r="M1137" s="66"/>
      <c r="N1137" s="66"/>
      <c r="O1137" s="66" t="s">
        <v>839</v>
      </c>
      <c r="P1137" s="66"/>
      <c r="Q1137" s="66"/>
      <c r="R1137" s="66"/>
      <c r="S1137" s="66"/>
    </row>
    <row r="1138" spans="1:19" x14ac:dyDescent="0.25">
      <c r="A1138" s="15">
        <v>49</v>
      </c>
      <c r="B1138" s="66"/>
      <c r="C1138" s="66"/>
      <c r="D1138" s="66"/>
      <c r="E1138" s="66"/>
      <c r="F1138" s="66"/>
      <c r="G1138" s="66"/>
      <c r="H1138" s="66"/>
      <c r="I1138" s="66"/>
      <c r="J1138" s="66"/>
      <c r="K1138" s="66"/>
      <c r="L1138" s="66"/>
      <c r="M1138" s="66"/>
      <c r="N1138" s="66"/>
      <c r="O1138" s="66" t="s">
        <v>842</v>
      </c>
      <c r="P1138" s="66"/>
      <c r="Q1138" s="66"/>
      <c r="R1138" s="66"/>
      <c r="S1138" s="66"/>
    </row>
    <row r="1139" spans="1:19" x14ac:dyDescent="0.25">
      <c r="A1139" s="15">
        <v>49</v>
      </c>
      <c r="B1139" s="66"/>
      <c r="C1139" s="66" t="s">
        <v>77</v>
      </c>
      <c r="D1139" s="66"/>
      <c r="E1139" s="66" t="s">
        <v>763</v>
      </c>
      <c r="F1139" s="66">
        <v>6</v>
      </c>
      <c r="G1139" s="66"/>
      <c r="H1139" s="66">
        <v>7</v>
      </c>
      <c r="I1139" s="66">
        <v>9.6666666666666679</v>
      </c>
      <c r="J1139" s="66" t="s">
        <v>850</v>
      </c>
      <c r="K1139" s="66"/>
      <c r="L1139" s="66"/>
      <c r="M1139" s="66"/>
      <c r="N1139" s="66"/>
      <c r="O1139" s="66" t="s">
        <v>849</v>
      </c>
      <c r="P1139" s="66"/>
      <c r="Q1139" s="66">
        <v>1</v>
      </c>
      <c r="R1139" s="66">
        <v>312</v>
      </c>
      <c r="S1139" s="66"/>
    </row>
    <row r="1140" spans="1:19" x14ac:dyDescent="0.25">
      <c r="A1140" s="15">
        <v>49</v>
      </c>
      <c r="B1140" s="66"/>
      <c r="C1140" s="66">
        <v>2429</v>
      </c>
      <c r="D1140" s="66"/>
      <c r="E1140" s="66" t="s">
        <v>763</v>
      </c>
      <c r="F1140" s="66">
        <v>6</v>
      </c>
      <c r="G1140" s="66"/>
      <c r="H1140" s="66"/>
      <c r="I1140" s="66">
        <v>19.583333333333332</v>
      </c>
      <c r="J1140" s="66" t="s">
        <v>850</v>
      </c>
      <c r="K1140" s="66"/>
      <c r="L1140" s="66"/>
      <c r="M1140" s="66"/>
      <c r="N1140" s="66"/>
      <c r="O1140" s="66" t="s">
        <v>852</v>
      </c>
      <c r="P1140" s="66"/>
      <c r="Q1140" s="66">
        <v>1</v>
      </c>
      <c r="R1140" s="66">
        <v>499</v>
      </c>
      <c r="S1140" s="66"/>
    </row>
    <row r="1141" spans="1:19" x14ac:dyDescent="0.25">
      <c r="A1141" s="15">
        <v>49</v>
      </c>
      <c r="B1141" s="66"/>
      <c r="C1141" s="66">
        <v>2429</v>
      </c>
      <c r="D1141" s="66"/>
      <c r="E1141" s="66" t="s">
        <v>763</v>
      </c>
      <c r="F1141" s="66">
        <v>1</v>
      </c>
      <c r="G1141" s="66"/>
      <c r="H1141" s="66" t="e">
        <v>#N/A</v>
      </c>
      <c r="I1141" s="66"/>
      <c r="J1141" s="66" t="s">
        <v>870</v>
      </c>
      <c r="K1141" s="66" t="s">
        <v>757</v>
      </c>
      <c r="L1141" s="66" t="s">
        <v>757</v>
      </c>
      <c r="M1141" s="66" t="s">
        <v>757</v>
      </c>
      <c r="N1141" s="66" t="s">
        <v>757</v>
      </c>
      <c r="O1141" s="66" t="s">
        <v>869</v>
      </c>
      <c r="P1141" s="66"/>
      <c r="Q1141" s="66">
        <v>1</v>
      </c>
      <c r="R1141" s="66">
        <v>731</v>
      </c>
      <c r="S1141" s="66"/>
    </row>
    <row r="1142" spans="1:19" x14ac:dyDescent="0.25">
      <c r="A1142" s="15">
        <v>49</v>
      </c>
      <c r="B1142" s="66"/>
      <c r="C1142" s="66">
        <v>2429</v>
      </c>
      <c r="D1142" s="66"/>
      <c r="E1142" s="66" t="s">
        <v>763</v>
      </c>
      <c r="F1142" s="66">
        <v>0</v>
      </c>
      <c r="G1142" s="66"/>
      <c r="H1142" s="66">
        <v>3</v>
      </c>
      <c r="I1142" s="66" t="e">
        <v>#N/A</v>
      </c>
      <c r="J1142" s="66" t="s">
        <v>870</v>
      </c>
      <c r="K1142" s="66"/>
      <c r="L1142" s="66"/>
      <c r="M1142" s="66"/>
      <c r="N1142" s="66"/>
      <c r="O1142" s="66" t="s">
        <v>882</v>
      </c>
      <c r="P1142" s="66"/>
      <c r="Q1142" s="66">
        <v>1</v>
      </c>
      <c r="R1142" s="66">
        <v>958</v>
      </c>
      <c r="S1142" s="66"/>
    </row>
    <row r="1143" spans="1:19" x14ac:dyDescent="0.25">
      <c r="A1143" s="15">
        <v>49</v>
      </c>
      <c r="B1143" s="66"/>
      <c r="C1143" s="66">
        <v>2429</v>
      </c>
      <c r="D1143" s="66"/>
      <c r="E1143" s="66" t="s">
        <v>763</v>
      </c>
      <c r="F1143" s="66">
        <v>3</v>
      </c>
      <c r="G1143" s="66"/>
      <c r="H1143" s="66">
        <v>3</v>
      </c>
      <c r="I1143" s="66" t="e">
        <v>#N/A</v>
      </c>
      <c r="J1143" s="66" t="s">
        <v>870</v>
      </c>
      <c r="K1143" s="66"/>
      <c r="L1143" s="66"/>
      <c r="M1143" s="66"/>
      <c r="N1143" s="66"/>
      <c r="O1143" s="66" t="s">
        <v>894</v>
      </c>
      <c r="P1143" s="66"/>
      <c r="Q1143" s="66">
        <v>1</v>
      </c>
      <c r="R1143" s="66">
        <v>1185</v>
      </c>
      <c r="S1143" s="66"/>
    </row>
    <row r="1144" spans="1:19" x14ac:dyDescent="0.25">
      <c r="A1144" s="15">
        <v>49</v>
      </c>
      <c r="B1144" s="66"/>
      <c r="C1144" s="66">
        <v>2429</v>
      </c>
      <c r="D1144" s="66"/>
      <c r="E1144" s="66" t="s">
        <v>763</v>
      </c>
      <c r="F1144" s="66">
        <v>3</v>
      </c>
      <c r="G1144" s="66"/>
      <c r="H1144" s="66" t="e">
        <v>#N/A</v>
      </c>
      <c r="I1144" s="66"/>
      <c r="J1144" s="66" t="s">
        <v>870</v>
      </c>
      <c r="K1144" s="66"/>
      <c r="L1144" s="66"/>
      <c r="M1144" s="66"/>
      <c r="N1144" s="66"/>
      <c r="O1144" s="66" t="s">
        <v>906</v>
      </c>
      <c r="P1144" s="66"/>
      <c r="Q1144" s="66">
        <v>1</v>
      </c>
      <c r="R1144" s="66">
        <v>1292</v>
      </c>
      <c r="S1144" s="66"/>
    </row>
    <row r="1145" spans="1:19" x14ac:dyDescent="0.25">
      <c r="A1145" s="15">
        <v>49</v>
      </c>
      <c r="B1145" s="66"/>
      <c r="C1145" s="66">
        <v>2429</v>
      </c>
      <c r="D1145" s="66"/>
      <c r="E1145" s="66" t="s">
        <v>763</v>
      </c>
      <c r="F1145" s="66">
        <v>5</v>
      </c>
      <c r="G1145" s="66"/>
      <c r="H1145" s="66" t="e">
        <v>#N/A</v>
      </c>
      <c r="I1145" s="66"/>
      <c r="J1145" s="66" t="s">
        <v>870</v>
      </c>
      <c r="K1145" s="66"/>
      <c r="L1145" s="66"/>
      <c r="M1145" s="66"/>
      <c r="N1145" s="66"/>
      <c r="O1145" s="66" t="s">
        <v>908</v>
      </c>
      <c r="P1145" s="66"/>
      <c r="Q1145" s="66">
        <v>1</v>
      </c>
      <c r="R1145" s="66">
        <v>1479</v>
      </c>
      <c r="S1145" s="66"/>
    </row>
    <row r="1146" spans="1:19" x14ac:dyDescent="0.25">
      <c r="A1146" s="15">
        <v>50</v>
      </c>
      <c r="B1146" s="66"/>
      <c r="C1146" s="66"/>
      <c r="D1146" s="66"/>
      <c r="E1146" s="66"/>
      <c r="F1146" s="66"/>
      <c r="G1146" s="66"/>
      <c r="H1146" s="66"/>
      <c r="I1146" s="66"/>
      <c r="J1146" s="66"/>
      <c r="K1146" s="66"/>
      <c r="L1146" s="66"/>
      <c r="M1146" s="66"/>
      <c r="N1146" s="66"/>
      <c r="O1146" s="66"/>
      <c r="P1146" s="66"/>
      <c r="Q1146" s="66"/>
      <c r="R1146" s="66"/>
      <c r="S1146" s="66"/>
    </row>
    <row r="1147" spans="1:19" x14ac:dyDescent="0.25">
      <c r="A1147" s="15">
        <v>50</v>
      </c>
      <c r="B1147" s="66"/>
      <c r="C1147" s="66"/>
      <c r="D1147" s="66"/>
      <c r="E1147" s="66"/>
      <c r="F1147" s="66"/>
      <c r="G1147" s="66"/>
      <c r="H1147" s="66"/>
      <c r="I1147" s="66"/>
      <c r="J1147" s="66"/>
      <c r="K1147" s="66"/>
      <c r="L1147" s="66"/>
      <c r="M1147" s="66"/>
      <c r="N1147" s="66"/>
      <c r="O1147" s="66" t="s">
        <v>809</v>
      </c>
      <c r="P1147" s="66"/>
      <c r="Q1147" s="66"/>
      <c r="R1147" s="66"/>
      <c r="S1147" s="66"/>
    </row>
    <row r="1148" spans="1:19" x14ac:dyDescent="0.25">
      <c r="A1148" s="15">
        <v>50</v>
      </c>
      <c r="B1148" s="66"/>
      <c r="C1148" s="66"/>
      <c r="D1148" s="66"/>
      <c r="E1148" s="66"/>
      <c r="F1148" s="66"/>
      <c r="G1148" s="66"/>
      <c r="H1148" s="66"/>
      <c r="I1148" s="66"/>
      <c r="J1148" s="66"/>
      <c r="K1148" s="66"/>
      <c r="L1148" s="66"/>
      <c r="M1148" s="66"/>
      <c r="N1148" s="66"/>
      <c r="O1148" s="66" t="s">
        <v>835</v>
      </c>
      <c r="P1148" s="66"/>
      <c r="Q1148" s="66"/>
      <c r="R1148" s="66"/>
      <c r="S1148" s="66"/>
    </row>
    <row r="1149" spans="1:19" x14ac:dyDescent="0.25">
      <c r="A1149" s="15">
        <v>50</v>
      </c>
      <c r="B1149" s="66"/>
      <c r="C1149" s="66"/>
      <c r="D1149" s="66"/>
      <c r="E1149" s="66"/>
      <c r="F1149" s="66"/>
      <c r="G1149" s="66"/>
      <c r="H1149" s="66"/>
      <c r="I1149" s="66"/>
      <c r="J1149" s="66"/>
      <c r="K1149" s="66"/>
      <c r="L1149" s="66"/>
      <c r="M1149" s="66"/>
      <c r="N1149" s="66"/>
      <c r="O1149" s="66" t="s">
        <v>844</v>
      </c>
      <c r="P1149" s="66"/>
      <c r="Q1149" s="66"/>
      <c r="R1149" s="66"/>
      <c r="S1149" s="66"/>
    </row>
    <row r="1150" spans="1:19" x14ac:dyDescent="0.25">
      <c r="A1150" s="15">
        <v>50</v>
      </c>
      <c r="B1150" s="66"/>
      <c r="C1150" s="66" t="s">
        <v>77</v>
      </c>
      <c r="D1150" s="66"/>
      <c r="E1150" s="66" t="s">
        <v>763</v>
      </c>
      <c r="F1150" s="66">
        <v>6</v>
      </c>
      <c r="G1150" s="66"/>
      <c r="H1150" s="66">
        <v>7</v>
      </c>
      <c r="I1150" s="66">
        <v>8.6666666666666679</v>
      </c>
      <c r="J1150" s="66" t="s">
        <v>850</v>
      </c>
      <c r="K1150" s="66"/>
      <c r="L1150" s="66"/>
      <c r="M1150" s="66"/>
      <c r="N1150" s="66"/>
      <c r="O1150" s="66" t="s">
        <v>849</v>
      </c>
      <c r="P1150" s="66"/>
      <c r="Q1150" s="66">
        <v>1</v>
      </c>
      <c r="R1150" s="66">
        <v>314</v>
      </c>
      <c r="S1150" s="66"/>
    </row>
    <row r="1151" spans="1:19" x14ac:dyDescent="0.25">
      <c r="A1151" s="15">
        <v>50</v>
      </c>
      <c r="B1151" s="66"/>
      <c r="C1151" s="66">
        <v>2429</v>
      </c>
      <c r="D1151" s="66"/>
      <c r="E1151" s="66" t="s">
        <v>763</v>
      </c>
      <c r="F1151" s="66">
        <v>6</v>
      </c>
      <c r="G1151" s="66"/>
      <c r="H1151" s="66"/>
      <c r="I1151" s="66">
        <v>12.25</v>
      </c>
      <c r="J1151" s="66" t="s">
        <v>850</v>
      </c>
      <c r="K1151" s="66"/>
      <c r="L1151" s="66"/>
      <c r="M1151" s="66"/>
      <c r="N1151" s="66"/>
      <c r="O1151" s="66" t="s">
        <v>852</v>
      </c>
      <c r="P1151" s="66"/>
      <c r="Q1151" s="66">
        <v>1</v>
      </c>
      <c r="R1151" s="66">
        <v>501</v>
      </c>
      <c r="S1151" s="66"/>
    </row>
    <row r="1152" spans="1:19" x14ac:dyDescent="0.25">
      <c r="A1152" s="15">
        <v>50</v>
      </c>
      <c r="B1152" s="66"/>
      <c r="C1152" s="66">
        <v>2429</v>
      </c>
      <c r="D1152" s="66"/>
      <c r="E1152" s="66" t="s">
        <v>763</v>
      </c>
      <c r="F1152" s="66">
        <v>1</v>
      </c>
      <c r="G1152" s="66"/>
      <c r="H1152" s="66" t="e">
        <v>#N/A</v>
      </c>
      <c r="I1152" s="66"/>
      <c r="J1152" s="66" t="s">
        <v>870</v>
      </c>
      <c r="K1152" s="66" t="s">
        <v>757</v>
      </c>
      <c r="L1152" s="66" t="s">
        <v>757</v>
      </c>
      <c r="M1152" s="66" t="s">
        <v>757</v>
      </c>
      <c r="N1152" s="66" t="s">
        <v>757</v>
      </c>
      <c r="O1152" s="66" t="s">
        <v>869</v>
      </c>
      <c r="P1152" s="66"/>
      <c r="Q1152" s="66">
        <v>1</v>
      </c>
      <c r="R1152" s="66">
        <v>733</v>
      </c>
      <c r="S1152" s="66"/>
    </row>
    <row r="1153" spans="1:19" x14ac:dyDescent="0.25">
      <c r="A1153" s="15">
        <v>50</v>
      </c>
      <c r="B1153" s="66"/>
      <c r="C1153" s="66">
        <v>2429</v>
      </c>
      <c r="D1153" s="66"/>
      <c r="E1153" s="66" t="s">
        <v>763</v>
      </c>
      <c r="F1153" s="66">
        <v>0</v>
      </c>
      <c r="G1153" s="66"/>
      <c r="H1153" s="66">
        <v>3</v>
      </c>
      <c r="I1153" s="66" t="e">
        <v>#N/A</v>
      </c>
      <c r="J1153" s="66" t="s">
        <v>870</v>
      </c>
      <c r="K1153" s="66"/>
      <c r="L1153" s="66"/>
      <c r="M1153" s="66"/>
      <c r="N1153" s="66"/>
      <c r="O1153" s="66" t="s">
        <v>882</v>
      </c>
      <c r="P1153" s="66"/>
      <c r="Q1153" s="66">
        <v>1</v>
      </c>
      <c r="R1153" s="66">
        <v>960</v>
      </c>
      <c r="S1153" s="66"/>
    </row>
    <row r="1154" spans="1:19" x14ac:dyDescent="0.25">
      <c r="A1154" s="15">
        <v>50</v>
      </c>
      <c r="B1154" s="66"/>
      <c r="C1154" s="66">
        <v>2429</v>
      </c>
      <c r="D1154" s="66"/>
      <c r="E1154" s="66" t="s">
        <v>763</v>
      </c>
      <c r="F1154" s="66">
        <v>3</v>
      </c>
      <c r="G1154" s="66"/>
      <c r="H1154" s="66">
        <v>3</v>
      </c>
      <c r="I1154" s="66" t="e">
        <v>#N/A</v>
      </c>
      <c r="J1154" s="66" t="s">
        <v>870</v>
      </c>
      <c r="K1154" s="66"/>
      <c r="L1154" s="66"/>
      <c r="M1154" s="66"/>
      <c r="N1154" s="66"/>
      <c r="O1154" s="66" t="s">
        <v>894</v>
      </c>
      <c r="P1154" s="66"/>
      <c r="Q1154" s="66">
        <v>1</v>
      </c>
      <c r="R1154" s="66">
        <v>1187</v>
      </c>
      <c r="S1154" s="66"/>
    </row>
    <row r="1155" spans="1:19" x14ac:dyDescent="0.25">
      <c r="A1155" s="15">
        <v>50</v>
      </c>
      <c r="B1155" s="66"/>
      <c r="C1155" s="66">
        <v>2429</v>
      </c>
      <c r="D1155" s="66"/>
      <c r="E1155" s="66" t="s">
        <v>763</v>
      </c>
      <c r="F1155" s="66">
        <v>3</v>
      </c>
      <c r="G1155" s="66"/>
      <c r="H1155" s="66" t="e">
        <v>#N/A</v>
      </c>
      <c r="I1155" s="66"/>
      <c r="J1155" s="66" t="s">
        <v>870</v>
      </c>
      <c r="K1155" s="66"/>
      <c r="L1155" s="66"/>
      <c r="M1155" s="66"/>
      <c r="N1155" s="66"/>
      <c r="O1155" s="66" t="s">
        <v>906</v>
      </c>
      <c r="P1155" s="66"/>
      <c r="Q1155" s="66">
        <v>1</v>
      </c>
      <c r="R1155" s="66">
        <v>1294</v>
      </c>
      <c r="S1155" s="66"/>
    </row>
    <row r="1156" spans="1:19" x14ac:dyDescent="0.25">
      <c r="A1156" s="15">
        <v>50</v>
      </c>
      <c r="B1156" s="66"/>
      <c r="C1156" s="66">
        <v>2429</v>
      </c>
      <c r="D1156" s="66"/>
      <c r="E1156" s="66" t="s">
        <v>763</v>
      </c>
      <c r="F1156" s="66">
        <v>5</v>
      </c>
      <c r="G1156" s="66"/>
      <c r="H1156" s="66" t="e">
        <v>#N/A</v>
      </c>
      <c r="I1156" s="66"/>
      <c r="J1156" s="66" t="s">
        <v>870</v>
      </c>
      <c r="K1156" s="66"/>
      <c r="L1156" s="66"/>
      <c r="M1156" s="66"/>
      <c r="N1156" s="66"/>
      <c r="O1156" s="66" t="s">
        <v>908</v>
      </c>
      <c r="P1156" s="66"/>
      <c r="Q1156" s="66">
        <v>1</v>
      </c>
      <c r="R1156" s="66">
        <v>1481</v>
      </c>
      <c r="S1156" s="66"/>
    </row>
    <row r="1157" spans="1:19" x14ac:dyDescent="0.25">
      <c r="A1157" s="15">
        <v>51</v>
      </c>
      <c r="B1157" s="66"/>
      <c r="C1157" s="66"/>
      <c r="D1157" s="66"/>
      <c r="E1157" s="66"/>
      <c r="F1157" s="66"/>
      <c r="G1157" s="66"/>
      <c r="H1157" s="66"/>
      <c r="I1157" s="66"/>
      <c r="J1157" s="66"/>
      <c r="K1157" s="66"/>
      <c r="L1157" s="66"/>
      <c r="M1157" s="66"/>
      <c r="N1157" s="66"/>
      <c r="O1157" s="66"/>
      <c r="P1157" s="66"/>
      <c r="Q1157" s="66"/>
      <c r="R1157" s="66"/>
      <c r="S1157" s="66"/>
    </row>
    <row r="1158" spans="1:19" x14ac:dyDescent="0.25">
      <c r="A1158" s="15">
        <v>51</v>
      </c>
      <c r="B1158" s="66"/>
      <c r="C1158" s="66"/>
      <c r="D1158" s="66"/>
      <c r="E1158" s="66"/>
      <c r="F1158" s="66"/>
      <c r="G1158" s="66"/>
      <c r="H1158" s="66"/>
      <c r="I1158" s="66"/>
      <c r="J1158" s="66"/>
      <c r="K1158" s="66"/>
      <c r="L1158" s="66"/>
      <c r="M1158" s="66"/>
      <c r="N1158" s="66"/>
      <c r="O1158" s="66" t="s">
        <v>810</v>
      </c>
      <c r="P1158" s="66"/>
      <c r="Q1158" s="66"/>
      <c r="R1158" s="66"/>
      <c r="S1158" s="66"/>
    </row>
    <row r="1159" spans="1:19" x14ac:dyDescent="0.25">
      <c r="A1159" s="15">
        <v>51</v>
      </c>
      <c r="B1159" s="66"/>
      <c r="C1159" s="66"/>
      <c r="D1159" s="66"/>
      <c r="E1159" s="66"/>
      <c r="F1159" s="66"/>
      <c r="G1159" s="66"/>
      <c r="H1159" s="66"/>
      <c r="I1159" s="66"/>
      <c r="J1159" s="66"/>
      <c r="K1159" s="66"/>
      <c r="L1159" s="66"/>
      <c r="M1159" s="66"/>
      <c r="N1159" s="66"/>
      <c r="O1159" s="66" t="s">
        <v>835</v>
      </c>
      <c r="P1159" s="66"/>
      <c r="Q1159" s="66"/>
      <c r="R1159" s="66"/>
      <c r="S1159" s="66"/>
    </row>
    <row r="1160" spans="1:19" x14ac:dyDescent="0.25">
      <c r="A1160" s="15">
        <v>51</v>
      </c>
      <c r="B1160" s="66"/>
      <c r="C1160" s="66"/>
      <c r="D1160" s="66"/>
      <c r="E1160" s="66"/>
      <c r="F1160" s="66"/>
      <c r="G1160" s="66"/>
      <c r="H1160" s="66"/>
      <c r="I1160" s="66"/>
      <c r="J1160" s="66"/>
      <c r="K1160" s="66"/>
      <c r="L1160" s="66"/>
      <c r="M1160" s="66"/>
      <c r="N1160" s="66"/>
      <c r="O1160" s="66" t="s">
        <v>842</v>
      </c>
      <c r="P1160" s="66"/>
      <c r="Q1160" s="66"/>
      <c r="R1160" s="66"/>
      <c r="S1160" s="66"/>
    </row>
    <row r="1161" spans="1:19" x14ac:dyDescent="0.25">
      <c r="A1161" s="15">
        <v>51</v>
      </c>
      <c r="B1161" s="66"/>
      <c r="C1161" s="66" t="s">
        <v>77</v>
      </c>
      <c r="D1161" s="66"/>
      <c r="E1161" s="66" t="s">
        <v>763</v>
      </c>
      <c r="F1161" s="66">
        <v>6</v>
      </c>
      <c r="G1161" s="66"/>
      <c r="H1161" s="66">
        <v>7</v>
      </c>
      <c r="I1161" s="66">
        <v>7.666666666666667</v>
      </c>
      <c r="J1161" s="66" t="s">
        <v>850</v>
      </c>
      <c r="K1161" s="66"/>
      <c r="L1161" s="66"/>
      <c r="M1161" s="66"/>
      <c r="N1161" s="66"/>
      <c r="O1161" s="66" t="s">
        <v>849</v>
      </c>
      <c r="P1161" s="66"/>
      <c r="Q1161" s="66">
        <v>1</v>
      </c>
      <c r="R1161" s="66">
        <v>315</v>
      </c>
      <c r="S1161" s="66"/>
    </row>
    <row r="1162" spans="1:19" x14ac:dyDescent="0.25">
      <c r="A1162" s="15">
        <v>51</v>
      </c>
      <c r="B1162" s="66"/>
      <c r="C1162" s="66">
        <v>2429</v>
      </c>
      <c r="D1162" s="66"/>
      <c r="E1162" s="66" t="s">
        <v>763</v>
      </c>
      <c r="F1162" s="66">
        <v>6</v>
      </c>
      <c r="G1162" s="66"/>
      <c r="H1162" s="66"/>
      <c r="I1162" s="66">
        <v>19.583333333333332</v>
      </c>
      <c r="J1162" s="66" t="s">
        <v>850</v>
      </c>
      <c r="K1162" s="66"/>
      <c r="L1162" s="66"/>
      <c r="M1162" s="66"/>
      <c r="N1162" s="66"/>
      <c r="O1162" s="66" t="s">
        <v>852</v>
      </c>
      <c r="P1162" s="66"/>
      <c r="Q1162" s="66">
        <v>1</v>
      </c>
      <c r="R1162" s="66">
        <v>502</v>
      </c>
      <c r="S1162" s="66"/>
    </row>
    <row r="1163" spans="1:19" x14ac:dyDescent="0.25">
      <c r="A1163" s="15">
        <v>51</v>
      </c>
      <c r="B1163" s="66"/>
      <c r="C1163" s="66">
        <v>2429</v>
      </c>
      <c r="D1163" s="66"/>
      <c r="E1163" s="66" t="s">
        <v>763</v>
      </c>
      <c r="F1163" s="66">
        <v>1</v>
      </c>
      <c r="G1163" s="66"/>
      <c r="H1163" s="66" t="e">
        <v>#N/A</v>
      </c>
      <c r="I1163" s="66"/>
      <c r="J1163" s="66" t="s">
        <v>870</v>
      </c>
      <c r="K1163" s="66" t="s">
        <v>757</v>
      </c>
      <c r="L1163" s="66" t="s">
        <v>757</v>
      </c>
      <c r="M1163" s="66" t="s">
        <v>757</v>
      </c>
      <c r="N1163" s="66" t="s">
        <v>757</v>
      </c>
      <c r="O1163" s="66" t="s">
        <v>869</v>
      </c>
      <c r="P1163" s="66"/>
      <c r="Q1163" s="66">
        <v>1</v>
      </c>
      <c r="R1163" s="66">
        <v>734</v>
      </c>
      <c r="S1163" s="66"/>
    </row>
    <row r="1164" spans="1:19" x14ac:dyDescent="0.25">
      <c r="A1164" s="15">
        <v>51</v>
      </c>
      <c r="B1164" s="66"/>
      <c r="C1164" s="66">
        <v>2429</v>
      </c>
      <c r="D1164" s="66"/>
      <c r="E1164" s="66" t="s">
        <v>763</v>
      </c>
      <c r="F1164" s="66">
        <v>0</v>
      </c>
      <c r="G1164" s="66"/>
      <c r="H1164" s="66">
        <v>3</v>
      </c>
      <c r="I1164" s="66" t="e">
        <v>#N/A</v>
      </c>
      <c r="J1164" s="66" t="s">
        <v>870</v>
      </c>
      <c r="K1164" s="66"/>
      <c r="L1164" s="66"/>
      <c r="M1164" s="66"/>
      <c r="N1164" s="66"/>
      <c r="O1164" s="66" t="s">
        <v>882</v>
      </c>
      <c r="P1164" s="66"/>
      <c r="Q1164" s="66">
        <v>1</v>
      </c>
      <c r="R1164" s="66">
        <v>961</v>
      </c>
      <c r="S1164" s="66"/>
    </row>
    <row r="1165" spans="1:19" x14ac:dyDescent="0.25">
      <c r="A1165" s="15">
        <v>51</v>
      </c>
      <c r="B1165" s="66"/>
      <c r="C1165" s="66">
        <v>2429</v>
      </c>
      <c r="D1165" s="66"/>
      <c r="E1165" s="66" t="s">
        <v>763</v>
      </c>
      <c r="F1165" s="66">
        <v>3</v>
      </c>
      <c r="G1165" s="66"/>
      <c r="H1165" s="66">
        <v>3</v>
      </c>
      <c r="I1165" s="66" t="e">
        <v>#N/A</v>
      </c>
      <c r="J1165" s="66" t="s">
        <v>870</v>
      </c>
      <c r="K1165" s="66"/>
      <c r="L1165" s="66"/>
      <c r="M1165" s="66"/>
      <c r="N1165" s="66"/>
      <c r="O1165" s="66" t="s">
        <v>894</v>
      </c>
      <c r="P1165" s="66"/>
      <c r="Q1165" s="66">
        <v>1</v>
      </c>
      <c r="R1165" s="66">
        <v>1188</v>
      </c>
      <c r="S1165" s="66"/>
    </row>
    <row r="1166" spans="1:19" x14ac:dyDescent="0.25">
      <c r="A1166" s="15">
        <v>51</v>
      </c>
      <c r="B1166" s="66"/>
      <c r="C1166" s="66">
        <v>2429</v>
      </c>
      <c r="D1166" s="66"/>
      <c r="E1166" s="66" t="s">
        <v>763</v>
      </c>
      <c r="F1166" s="66">
        <v>3</v>
      </c>
      <c r="G1166" s="66"/>
      <c r="H1166" s="66" t="e">
        <v>#N/A</v>
      </c>
      <c r="I1166" s="66"/>
      <c r="J1166" s="66" t="s">
        <v>870</v>
      </c>
      <c r="K1166" s="66"/>
      <c r="L1166" s="66"/>
      <c r="M1166" s="66"/>
      <c r="N1166" s="66"/>
      <c r="O1166" s="66" t="s">
        <v>906</v>
      </c>
      <c r="P1166" s="66"/>
      <c r="Q1166" s="66">
        <v>1</v>
      </c>
      <c r="R1166" s="66">
        <v>1295</v>
      </c>
      <c r="S1166" s="66"/>
    </row>
    <row r="1167" spans="1:19" x14ac:dyDescent="0.25">
      <c r="A1167" s="15">
        <v>51</v>
      </c>
      <c r="B1167" s="66"/>
      <c r="C1167" s="66">
        <v>2429</v>
      </c>
      <c r="D1167" s="66"/>
      <c r="E1167" s="66" t="s">
        <v>763</v>
      </c>
      <c r="F1167" s="66">
        <v>5</v>
      </c>
      <c r="G1167" s="66"/>
      <c r="H1167" s="66" t="e">
        <v>#N/A</v>
      </c>
      <c r="I1167" s="66"/>
      <c r="J1167" s="66" t="s">
        <v>870</v>
      </c>
      <c r="K1167" s="66"/>
      <c r="L1167" s="66"/>
      <c r="M1167" s="66"/>
      <c r="N1167" s="66"/>
      <c r="O1167" s="66" t="s">
        <v>908</v>
      </c>
      <c r="P1167" s="66"/>
      <c r="Q1167" s="66">
        <v>1</v>
      </c>
      <c r="R1167" s="66">
        <v>1482</v>
      </c>
      <c r="S1167" s="66"/>
    </row>
    <row r="1168" spans="1:19" x14ac:dyDescent="0.25">
      <c r="A1168" s="15">
        <v>52</v>
      </c>
      <c r="B1168" s="66"/>
      <c r="C1168" s="66"/>
      <c r="D1168" s="66"/>
      <c r="E1168" s="66"/>
      <c r="F1168" s="66"/>
      <c r="G1168" s="66"/>
      <c r="H1168" s="66"/>
      <c r="I1168" s="66"/>
      <c r="J1168" s="66"/>
      <c r="K1168" s="66"/>
      <c r="L1168" s="66"/>
      <c r="M1168" s="66"/>
      <c r="N1168" s="66"/>
      <c r="O1168" s="66"/>
      <c r="P1168" s="66"/>
      <c r="Q1168" s="66"/>
      <c r="R1168" s="66"/>
      <c r="S1168" s="66"/>
    </row>
    <row r="1169" spans="1:19" x14ac:dyDescent="0.25">
      <c r="A1169" s="15">
        <v>52</v>
      </c>
      <c r="B1169" s="66"/>
      <c r="C1169" s="66"/>
      <c r="D1169" s="66"/>
      <c r="E1169" s="66"/>
      <c r="F1169" s="66"/>
      <c r="G1169" s="66"/>
      <c r="H1169" s="66"/>
      <c r="I1169" s="66"/>
      <c r="J1169" s="66"/>
      <c r="K1169" s="66"/>
      <c r="L1169" s="66"/>
      <c r="M1169" s="66"/>
      <c r="N1169" s="66"/>
      <c r="O1169" s="66" t="s">
        <v>811</v>
      </c>
      <c r="P1169" s="66"/>
      <c r="Q1169" s="66"/>
      <c r="R1169" s="66"/>
      <c r="S1169" s="66"/>
    </row>
    <row r="1170" spans="1:19" x14ac:dyDescent="0.25">
      <c r="A1170" s="15">
        <v>52</v>
      </c>
      <c r="B1170" s="66"/>
      <c r="C1170" s="66"/>
      <c r="D1170" s="66"/>
      <c r="E1170" s="66"/>
      <c r="F1170" s="66"/>
      <c r="G1170" s="66"/>
      <c r="H1170" s="66"/>
      <c r="I1170" s="66"/>
      <c r="J1170" s="66"/>
      <c r="K1170" s="66"/>
      <c r="L1170" s="66"/>
      <c r="M1170" s="66"/>
      <c r="N1170" s="66"/>
      <c r="O1170" s="66" t="s">
        <v>840</v>
      </c>
      <c r="P1170" s="66"/>
      <c r="Q1170" s="66"/>
      <c r="R1170" s="66"/>
      <c r="S1170" s="66"/>
    </row>
    <row r="1171" spans="1:19" x14ac:dyDescent="0.25">
      <c r="A1171" s="15">
        <v>52</v>
      </c>
      <c r="B1171" s="66"/>
      <c r="C1171" s="66"/>
      <c r="D1171" s="66"/>
      <c r="E1171" s="66"/>
      <c r="F1171" s="66"/>
      <c r="G1171" s="66"/>
      <c r="H1171" s="66"/>
      <c r="I1171" s="66"/>
      <c r="J1171" s="66"/>
      <c r="K1171" s="66"/>
      <c r="L1171" s="66"/>
      <c r="M1171" s="66"/>
      <c r="N1171" s="66"/>
      <c r="O1171" s="66" t="s">
        <v>843</v>
      </c>
      <c r="P1171" s="66"/>
      <c r="Q1171" s="66"/>
      <c r="R1171" s="66"/>
      <c r="S1171" s="66"/>
    </row>
    <row r="1172" spans="1:19" x14ac:dyDescent="0.25">
      <c r="A1172" s="15">
        <v>52</v>
      </c>
      <c r="B1172" s="66"/>
      <c r="C1172" s="66" t="s">
        <v>77</v>
      </c>
      <c r="D1172" s="66"/>
      <c r="E1172" s="66" t="s">
        <v>763</v>
      </c>
      <c r="F1172" s="66">
        <v>8</v>
      </c>
      <c r="G1172" s="66"/>
      <c r="H1172" s="66">
        <v>7</v>
      </c>
      <c r="I1172" s="66">
        <v>7.666666666666667</v>
      </c>
      <c r="J1172" s="66" t="s">
        <v>850</v>
      </c>
      <c r="K1172" s="66"/>
      <c r="L1172" s="66"/>
      <c r="M1172" s="66"/>
      <c r="N1172" s="66"/>
      <c r="O1172" s="66" t="s">
        <v>849</v>
      </c>
      <c r="P1172" s="66"/>
      <c r="Q1172" s="66">
        <v>1</v>
      </c>
      <c r="R1172" s="66">
        <v>316</v>
      </c>
      <c r="S1172" s="66"/>
    </row>
    <row r="1173" spans="1:19" x14ac:dyDescent="0.25">
      <c r="A1173" s="15">
        <v>52</v>
      </c>
      <c r="B1173" s="66"/>
      <c r="C1173" s="66">
        <v>2429</v>
      </c>
      <c r="D1173" s="66"/>
      <c r="E1173" s="66" t="s">
        <v>763</v>
      </c>
      <c r="F1173" s="66">
        <v>8</v>
      </c>
      <c r="G1173" s="66"/>
      <c r="H1173" s="66"/>
      <c r="I1173" s="66">
        <v>21.583333333333332</v>
      </c>
      <c r="J1173" s="66" t="s">
        <v>850</v>
      </c>
      <c r="K1173" s="66"/>
      <c r="L1173" s="66"/>
      <c r="M1173" s="66"/>
      <c r="N1173" s="66"/>
      <c r="O1173" s="66" t="s">
        <v>852</v>
      </c>
      <c r="P1173" s="66"/>
      <c r="Q1173" s="66">
        <v>1</v>
      </c>
      <c r="R1173" s="66">
        <v>503</v>
      </c>
      <c r="S1173" s="66"/>
    </row>
    <row r="1174" spans="1:19" x14ac:dyDescent="0.25">
      <c r="A1174" s="15">
        <v>52</v>
      </c>
      <c r="B1174" s="66"/>
      <c r="C1174" s="66">
        <v>2429</v>
      </c>
      <c r="D1174" s="66"/>
      <c r="E1174" s="66" t="s">
        <v>763</v>
      </c>
      <c r="F1174" s="66">
        <v>1</v>
      </c>
      <c r="G1174" s="66"/>
      <c r="H1174" s="66" t="e">
        <v>#N/A</v>
      </c>
      <c r="I1174" s="66"/>
      <c r="J1174" s="66" t="s">
        <v>870</v>
      </c>
      <c r="K1174" s="66" t="s">
        <v>757</v>
      </c>
      <c r="L1174" s="66" t="s">
        <v>757</v>
      </c>
      <c r="M1174" s="66" t="s">
        <v>757</v>
      </c>
      <c r="N1174" s="66" t="s">
        <v>757</v>
      </c>
      <c r="O1174" s="66" t="s">
        <v>869</v>
      </c>
      <c r="P1174" s="66"/>
      <c r="Q1174" s="66">
        <v>1</v>
      </c>
      <c r="R1174" s="66">
        <v>735</v>
      </c>
      <c r="S1174" s="66"/>
    </row>
    <row r="1175" spans="1:19" x14ac:dyDescent="0.25">
      <c r="A1175" s="15">
        <v>52</v>
      </c>
      <c r="B1175" s="66"/>
      <c r="C1175" s="66">
        <v>2429</v>
      </c>
      <c r="D1175" s="66"/>
      <c r="E1175" s="66" t="s">
        <v>763</v>
      </c>
      <c r="F1175" s="66">
        <v>0</v>
      </c>
      <c r="G1175" s="66"/>
      <c r="H1175" s="66">
        <v>3</v>
      </c>
      <c r="I1175" s="66" t="e">
        <v>#N/A</v>
      </c>
      <c r="J1175" s="66" t="s">
        <v>870</v>
      </c>
      <c r="K1175" s="66"/>
      <c r="L1175" s="66"/>
      <c r="M1175" s="66"/>
      <c r="N1175" s="66"/>
      <c r="O1175" s="66" t="s">
        <v>882</v>
      </c>
      <c r="P1175" s="66"/>
      <c r="Q1175" s="66">
        <v>1</v>
      </c>
      <c r="R1175" s="66">
        <v>962</v>
      </c>
      <c r="S1175" s="66"/>
    </row>
    <row r="1176" spans="1:19" x14ac:dyDescent="0.25">
      <c r="A1176" s="15">
        <v>52</v>
      </c>
      <c r="B1176" s="66"/>
      <c r="C1176" s="66">
        <v>2429</v>
      </c>
      <c r="D1176" s="66"/>
      <c r="E1176" s="66" t="s">
        <v>763</v>
      </c>
      <c r="F1176" s="66">
        <v>3</v>
      </c>
      <c r="G1176" s="66"/>
      <c r="H1176" s="66">
        <v>3</v>
      </c>
      <c r="I1176" s="66" t="e">
        <v>#N/A</v>
      </c>
      <c r="J1176" s="66" t="s">
        <v>870</v>
      </c>
      <c r="K1176" s="66"/>
      <c r="L1176" s="66"/>
      <c r="M1176" s="66"/>
      <c r="N1176" s="66"/>
      <c r="O1176" s="66" t="s">
        <v>894</v>
      </c>
      <c r="P1176" s="66"/>
      <c r="Q1176" s="66">
        <v>1</v>
      </c>
      <c r="R1176" s="66">
        <v>1189</v>
      </c>
      <c r="S1176" s="66"/>
    </row>
    <row r="1177" spans="1:19" x14ac:dyDescent="0.25">
      <c r="A1177" s="15">
        <v>52</v>
      </c>
      <c r="B1177" s="66"/>
      <c r="C1177" s="66">
        <v>2429</v>
      </c>
      <c r="D1177" s="66"/>
      <c r="E1177" s="66" t="s">
        <v>763</v>
      </c>
      <c r="F1177" s="66">
        <v>3</v>
      </c>
      <c r="G1177" s="66"/>
      <c r="H1177" s="66" t="e">
        <v>#N/A</v>
      </c>
      <c r="I1177" s="66"/>
      <c r="J1177" s="66" t="s">
        <v>870</v>
      </c>
      <c r="K1177" s="66"/>
      <c r="L1177" s="66"/>
      <c r="M1177" s="66"/>
      <c r="N1177" s="66"/>
      <c r="O1177" s="66" t="s">
        <v>906</v>
      </c>
      <c r="P1177" s="66"/>
      <c r="Q1177" s="66">
        <v>1</v>
      </c>
      <c r="R1177" s="66">
        <v>1296</v>
      </c>
      <c r="S1177" s="66"/>
    </row>
    <row r="1178" spans="1:19" x14ac:dyDescent="0.25">
      <c r="A1178" s="15">
        <v>52</v>
      </c>
      <c r="B1178" s="66"/>
      <c r="C1178" s="66">
        <v>2429</v>
      </c>
      <c r="D1178" s="66"/>
      <c r="E1178" s="66" t="s">
        <v>763</v>
      </c>
      <c r="F1178" s="66">
        <v>5</v>
      </c>
      <c r="G1178" s="66"/>
      <c r="H1178" s="66" t="e">
        <v>#N/A</v>
      </c>
      <c r="I1178" s="66"/>
      <c r="J1178" s="66" t="s">
        <v>870</v>
      </c>
      <c r="K1178" s="66"/>
      <c r="L1178" s="66"/>
      <c r="M1178" s="66"/>
      <c r="N1178" s="66"/>
      <c r="O1178" s="66" t="s">
        <v>908</v>
      </c>
      <c r="P1178" s="66"/>
      <c r="Q1178" s="66">
        <v>1</v>
      </c>
      <c r="R1178" s="66">
        <v>1483</v>
      </c>
      <c r="S1178" s="66"/>
    </row>
    <row r="1179" spans="1:19" x14ac:dyDescent="0.25">
      <c r="A1179" s="15">
        <v>53</v>
      </c>
      <c r="B1179" s="66"/>
      <c r="C1179" s="66"/>
      <c r="D1179" s="66"/>
      <c r="E1179" s="66"/>
      <c r="F1179" s="66"/>
      <c r="G1179" s="66"/>
      <c r="H1179" s="66"/>
      <c r="I1179" s="66"/>
      <c r="J1179" s="66"/>
      <c r="K1179" s="66"/>
      <c r="L1179" s="66"/>
      <c r="M1179" s="66"/>
      <c r="N1179" s="66"/>
      <c r="O1179" s="66"/>
      <c r="P1179" s="66"/>
      <c r="Q1179" s="66"/>
      <c r="R1179" s="66"/>
      <c r="S1179" s="66"/>
    </row>
    <row r="1180" spans="1:19" x14ac:dyDescent="0.25">
      <c r="A1180" s="15">
        <v>53</v>
      </c>
      <c r="B1180" s="66"/>
      <c r="C1180" s="66"/>
      <c r="D1180" s="66"/>
      <c r="E1180" s="66"/>
      <c r="F1180" s="66"/>
      <c r="G1180" s="66"/>
      <c r="H1180" s="66"/>
      <c r="I1180" s="66"/>
      <c r="J1180" s="66"/>
      <c r="K1180" s="66"/>
      <c r="L1180" s="66"/>
      <c r="M1180" s="66"/>
      <c r="N1180" s="66"/>
      <c r="O1180" s="66" t="s">
        <v>812</v>
      </c>
      <c r="P1180" s="66"/>
      <c r="Q1180" s="66"/>
      <c r="R1180" s="66"/>
      <c r="S1180" s="66"/>
    </row>
    <row r="1181" spans="1:19" x14ac:dyDescent="0.25">
      <c r="A1181" s="15">
        <v>53</v>
      </c>
      <c r="B1181" s="66"/>
      <c r="C1181" s="66"/>
      <c r="D1181" s="66"/>
      <c r="E1181" s="66"/>
      <c r="F1181" s="66"/>
      <c r="G1181" s="66"/>
      <c r="H1181" s="66"/>
      <c r="I1181" s="66"/>
      <c r="J1181" s="66"/>
      <c r="K1181" s="66"/>
      <c r="L1181" s="66"/>
      <c r="M1181" s="66"/>
      <c r="N1181" s="66"/>
      <c r="O1181" s="66" t="s">
        <v>840</v>
      </c>
      <c r="P1181" s="66"/>
      <c r="Q1181" s="66"/>
      <c r="R1181" s="66"/>
      <c r="S1181" s="66"/>
    </row>
    <row r="1182" spans="1:19" x14ac:dyDescent="0.25">
      <c r="A1182" s="15">
        <v>53</v>
      </c>
      <c r="B1182" s="66"/>
      <c r="C1182" s="66"/>
      <c r="D1182" s="66"/>
      <c r="E1182" s="66"/>
      <c r="F1182" s="66"/>
      <c r="G1182" s="66"/>
      <c r="H1182" s="66"/>
      <c r="I1182" s="66"/>
      <c r="J1182" s="66"/>
      <c r="K1182" s="66"/>
      <c r="L1182" s="66"/>
      <c r="M1182" s="66"/>
      <c r="N1182" s="66"/>
      <c r="O1182" s="66" t="s">
        <v>843</v>
      </c>
      <c r="P1182" s="66"/>
      <c r="Q1182" s="66"/>
      <c r="R1182" s="66"/>
      <c r="S1182" s="66"/>
    </row>
    <row r="1183" spans="1:19" x14ac:dyDescent="0.25">
      <c r="A1183" s="15">
        <v>53</v>
      </c>
      <c r="B1183" s="66"/>
      <c r="C1183" s="66" t="s">
        <v>77</v>
      </c>
      <c r="D1183" s="66"/>
      <c r="E1183" s="66" t="s">
        <v>763</v>
      </c>
      <c r="F1183" s="66">
        <v>8</v>
      </c>
      <c r="G1183" s="66"/>
      <c r="H1183" s="66">
        <v>7</v>
      </c>
      <c r="I1183" s="66">
        <v>7.666666666666667</v>
      </c>
      <c r="J1183" s="66" t="s">
        <v>850</v>
      </c>
      <c r="K1183" s="66"/>
      <c r="L1183" s="66"/>
      <c r="M1183" s="66"/>
      <c r="N1183" s="66"/>
      <c r="O1183" s="66" t="s">
        <v>849</v>
      </c>
      <c r="P1183" s="66"/>
      <c r="Q1183" s="66">
        <v>1</v>
      </c>
      <c r="R1183" s="66">
        <v>317</v>
      </c>
      <c r="S1183" s="66"/>
    </row>
    <row r="1184" spans="1:19" x14ac:dyDescent="0.25">
      <c r="A1184" s="15">
        <v>53</v>
      </c>
      <c r="B1184" s="66"/>
      <c r="C1184" s="66">
        <v>2429</v>
      </c>
      <c r="D1184" s="66"/>
      <c r="E1184" s="66" t="s">
        <v>763</v>
      </c>
      <c r="F1184" s="66">
        <v>8</v>
      </c>
      <c r="G1184" s="66"/>
      <c r="H1184" s="66"/>
      <c r="I1184" s="66">
        <v>21.583333333333332</v>
      </c>
      <c r="J1184" s="66" t="s">
        <v>850</v>
      </c>
      <c r="K1184" s="66"/>
      <c r="L1184" s="66"/>
      <c r="M1184" s="66"/>
      <c r="N1184" s="66"/>
      <c r="O1184" s="66" t="s">
        <v>852</v>
      </c>
      <c r="P1184" s="66"/>
      <c r="Q1184" s="66">
        <v>1</v>
      </c>
      <c r="R1184" s="66">
        <v>504</v>
      </c>
      <c r="S1184" s="66"/>
    </row>
    <row r="1185" spans="1:19" x14ac:dyDescent="0.25">
      <c r="A1185" s="15">
        <v>53</v>
      </c>
      <c r="B1185" s="66"/>
      <c r="C1185" s="66">
        <v>2429</v>
      </c>
      <c r="D1185" s="66"/>
      <c r="E1185" s="66" t="s">
        <v>763</v>
      </c>
      <c r="F1185" s="66">
        <v>1</v>
      </c>
      <c r="G1185" s="66"/>
      <c r="H1185" s="66" t="e">
        <v>#N/A</v>
      </c>
      <c r="I1185" s="66"/>
      <c r="J1185" s="66" t="s">
        <v>870</v>
      </c>
      <c r="K1185" s="66" t="s">
        <v>757</v>
      </c>
      <c r="L1185" s="66" t="s">
        <v>757</v>
      </c>
      <c r="M1185" s="66" t="s">
        <v>757</v>
      </c>
      <c r="N1185" s="66" t="s">
        <v>757</v>
      </c>
      <c r="O1185" s="66" t="s">
        <v>869</v>
      </c>
      <c r="P1185" s="66"/>
      <c r="Q1185" s="66">
        <v>1</v>
      </c>
      <c r="R1185" s="66">
        <v>736</v>
      </c>
      <c r="S1185" s="66"/>
    </row>
    <row r="1186" spans="1:19" x14ac:dyDescent="0.25">
      <c r="A1186" s="15">
        <v>53</v>
      </c>
      <c r="B1186" s="66"/>
      <c r="C1186" s="66">
        <v>2429</v>
      </c>
      <c r="D1186" s="66"/>
      <c r="E1186" s="66" t="s">
        <v>763</v>
      </c>
      <c r="F1186" s="66">
        <v>0</v>
      </c>
      <c r="G1186" s="66"/>
      <c r="H1186" s="66">
        <v>3</v>
      </c>
      <c r="I1186" s="66" t="e">
        <v>#N/A</v>
      </c>
      <c r="J1186" s="66" t="s">
        <v>870</v>
      </c>
      <c r="K1186" s="66"/>
      <c r="L1186" s="66"/>
      <c r="M1186" s="66"/>
      <c r="N1186" s="66"/>
      <c r="O1186" s="66" t="s">
        <v>882</v>
      </c>
      <c r="P1186" s="66"/>
      <c r="Q1186" s="66">
        <v>1</v>
      </c>
      <c r="R1186" s="66">
        <v>963</v>
      </c>
      <c r="S1186" s="66"/>
    </row>
    <row r="1187" spans="1:19" x14ac:dyDescent="0.25">
      <c r="A1187" s="15">
        <v>53</v>
      </c>
      <c r="B1187" s="66"/>
      <c r="C1187" s="66">
        <v>2429</v>
      </c>
      <c r="D1187" s="66"/>
      <c r="E1187" s="66" t="s">
        <v>763</v>
      </c>
      <c r="F1187" s="66">
        <v>3</v>
      </c>
      <c r="G1187" s="66"/>
      <c r="H1187" s="66">
        <v>3</v>
      </c>
      <c r="I1187" s="66" t="e">
        <v>#N/A</v>
      </c>
      <c r="J1187" s="66" t="s">
        <v>870</v>
      </c>
      <c r="K1187" s="66"/>
      <c r="L1187" s="66"/>
      <c r="M1187" s="66"/>
      <c r="N1187" s="66"/>
      <c r="O1187" s="66" t="s">
        <v>894</v>
      </c>
      <c r="P1187" s="66"/>
      <c r="Q1187" s="66">
        <v>1</v>
      </c>
      <c r="R1187" s="66">
        <v>1190</v>
      </c>
      <c r="S1187" s="66"/>
    </row>
    <row r="1188" spans="1:19" x14ac:dyDescent="0.25">
      <c r="A1188" s="15">
        <v>53</v>
      </c>
      <c r="B1188" s="66"/>
      <c r="C1188" s="66">
        <v>2429</v>
      </c>
      <c r="D1188" s="66"/>
      <c r="E1188" s="66" t="s">
        <v>763</v>
      </c>
      <c r="F1188" s="66">
        <v>3</v>
      </c>
      <c r="G1188" s="66"/>
      <c r="H1188" s="66" t="e">
        <v>#N/A</v>
      </c>
      <c r="I1188" s="66"/>
      <c r="J1188" s="66" t="s">
        <v>870</v>
      </c>
      <c r="K1188" s="66"/>
      <c r="L1188" s="66"/>
      <c r="M1188" s="66"/>
      <c r="N1188" s="66"/>
      <c r="O1188" s="66" t="s">
        <v>906</v>
      </c>
      <c r="P1188" s="66"/>
      <c r="Q1188" s="66">
        <v>1</v>
      </c>
      <c r="R1188" s="66">
        <v>1297</v>
      </c>
      <c r="S1188" s="66"/>
    </row>
    <row r="1189" spans="1:19" x14ac:dyDescent="0.25">
      <c r="A1189" s="15">
        <v>53</v>
      </c>
      <c r="B1189" s="66"/>
      <c r="C1189" s="66">
        <v>2429</v>
      </c>
      <c r="D1189" s="66"/>
      <c r="E1189" s="66" t="s">
        <v>763</v>
      </c>
      <c r="F1189" s="66">
        <v>5</v>
      </c>
      <c r="G1189" s="66"/>
      <c r="H1189" s="66" t="e">
        <v>#N/A</v>
      </c>
      <c r="I1189" s="66"/>
      <c r="J1189" s="66" t="s">
        <v>870</v>
      </c>
      <c r="K1189" s="66"/>
      <c r="L1189" s="66"/>
      <c r="M1189" s="66"/>
      <c r="N1189" s="66"/>
      <c r="O1189" s="66" t="s">
        <v>908</v>
      </c>
      <c r="P1189" s="66"/>
      <c r="Q1189" s="66">
        <v>1</v>
      </c>
      <c r="R1189" s="66">
        <v>1484</v>
      </c>
      <c r="S1189" s="66"/>
    </row>
    <row r="1190" spans="1:19" x14ac:dyDescent="0.25">
      <c r="A1190" s="15">
        <v>54</v>
      </c>
      <c r="B1190" s="66"/>
      <c r="C1190" s="66"/>
      <c r="D1190" s="66"/>
      <c r="E1190" s="66"/>
      <c r="F1190" s="66"/>
      <c r="G1190" s="66"/>
      <c r="H1190" s="66"/>
      <c r="I1190" s="66"/>
      <c r="J1190" s="66"/>
      <c r="K1190" s="66"/>
      <c r="L1190" s="66"/>
      <c r="M1190" s="66"/>
      <c r="N1190" s="66"/>
      <c r="O1190" s="66"/>
      <c r="P1190" s="66"/>
      <c r="Q1190" s="66"/>
      <c r="R1190" s="66"/>
      <c r="S1190" s="66"/>
    </row>
    <row r="1191" spans="1:19" x14ac:dyDescent="0.25">
      <c r="A1191" s="15">
        <v>54</v>
      </c>
      <c r="B1191" s="66"/>
      <c r="C1191" s="66"/>
      <c r="D1191" s="66"/>
      <c r="E1191" s="66"/>
      <c r="F1191" s="66"/>
      <c r="G1191" s="66"/>
      <c r="H1191" s="66"/>
      <c r="I1191" s="66"/>
      <c r="J1191" s="66"/>
      <c r="K1191" s="66"/>
      <c r="L1191" s="66"/>
      <c r="M1191" s="66"/>
      <c r="N1191" s="66"/>
      <c r="O1191" s="66" t="s">
        <v>813</v>
      </c>
      <c r="P1191" s="66"/>
      <c r="Q1191" s="66"/>
      <c r="R1191" s="66"/>
      <c r="S1191" s="66"/>
    </row>
    <row r="1192" spans="1:19" x14ac:dyDescent="0.25">
      <c r="A1192" s="15">
        <v>54</v>
      </c>
      <c r="B1192" s="66"/>
      <c r="C1192" s="66"/>
      <c r="D1192" s="66"/>
      <c r="E1192" s="66"/>
      <c r="F1192" s="66"/>
      <c r="G1192" s="66"/>
      <c r="H1192" s="66"/>
      <c r="I1192" s="66"/>
      <c r="J1192" s="66"/>
      <c r="K1192" s="66"/>
      <c r="L1192" s="66"/>
      <c r="M1192" s="66"/>
      <c r="N1192" s="66"/>
      <c r="O1192" s="66" t="s">
        <v>840</v>
      </c>
      <c r="P1192" s="66"/>
      <c r="Q1192" s="66"/>
      <c r="R1192" s="66"/>
      <c r="S1192" s="66"/>
    </row>
    <row r="1193" spans="1:19" x14ac:dyDescent="0.25">
      <c r="A1193" s="15">
        <v>54</v>
      </c>
      <c r="B1193" s="66"/>
      <c r="C1193" s="66"/>
      <c r="D1193" s="66"/>
      <c r="E1193" s="66"/>
      <c r="F1193" s="66"/>
      <c r="G1193" s="66"/>
      <c r="H1193" s="66"/>
      <c r="I1193" s="66"/>
      <c r="J1193" s="66"/>
      <c r="K1193" s="66"/>
      <c r="L1193" s="66"/>
      <c r="M1193" s="66"/>
      <c r="N1193" s="66"/>
      <c r="O1193" s="66" t="s">
        <v>843</v>
      </c>
      <c r="P1193" s="66"/>
      <c r="Q1193" s="66"/>
      <c r="R1193" s="66"/>
      <c r="S1193" s="66"/>
    </row>
    <row r="1194" spans="1:19" x14ac:dyDescent="0.25">
      <c r="A1194" s="15">
        <v>54</v>
      </c>
      <c r="B1194" s="66"/>
      <c r="C1194" s="66" t="s">
        <v>77</v>
      </c>
      <c r="D1194" s="66"/>
      <c r="E1194" s="66" t="s">
        <v>763</v>
      </c>
      <c r="F1194" s="66">
        <v>8</v>
      </c>
      <c r="G1194" s="66"/>
      <c r="H1194" s="66">
        <v>7</v>
      </c>
      <c r="I1194" s="66">
        <v>7.666666666666667</v>
      </c>
      <c r="J1194" s="66" t="s">
        <v>850</v>
      </c>
      <c r="K1194" s="66"/>
      <c r="L1194" s="66"/>
      <c r="M1194" s="66"/>
      <c r="N1194" s="66"/>
      <c r="O1194" s="66" t="s">
        <v>849</v>
      </c>
      <c r="P1194" s="66"/>
      <c r="Q1194" s="66">
        <v>1</v>
      </c>
      <c r="R1194" s="66">
        <v>318</v>
      </c>
      <c r="S1194" s="66"/>
    </row>
    <row r="1195" spans="1:19" x14ac:dyDescent="0.25">
      <c r="A1195" s="15">
        <v>54</v>
      </c>
      <c r="B1195" s="66"/>
      <c r="C1195" s="66">
        <v>2429</v>
      </c>
      <c r="D1195" s="66"/>
      <c r="E1195" s="66" t="s">
        <v>763</v>
      </c>
      <c r="F1195" s="66">
        <v>8</v>
      </c>
      <c r="G1195" s="66"/>
      <c r="H1195" s="66"/>
      <c r="I1195" s="66">
        <v>21.583333333333332</v>
      </c>
      <c r="J1195" s="66" t="s">
        <v>850</v>
      </c>
      <c r="K1195" s="66"/>
      <c r="L1195" s="66"/>
      <c r="M1195" s="66"/>
      <c r="N1195" s="66"/>
      <c r="O1195" s="66" t="s">
        <v>852</v>
      </c>
      <c r="P1195" s="66"/>
      <c r="Q1195" s="66">
        <v>1</v>
      </c>
      <c r="R1195" s="66">
        <v>505</v>
      </c>
      <c r="S1195" s="66"/>
    </row>
    <row r="1196" spans="1:19" x14ac:dyDescent="0.25">
      <c r="A1196" s="15">
        <v>54</v>
      </c>
      <c r="B1196" s="66"/>
      <c r="C1196" s="66">
        <v>2429</v>
      </c>
      <c r="D1196" s="66"/>
      <c r="E1196" s="66" t="s">
        <v>763</v>
      </c>
      <c r="F1196" s="66">
        <v>1</v>
      </c>
      <c r="G1196" s="66"/>
      <c r="H1196" s="66" t="e">
        <v>#N/A</v>
      </c>
      <c r="I1196" s="66"/>
      <c r="J1196" s="66" t="s">
        <v>870</v>
      </c>
      <c r="K1196" s="66" t="s">
        <v>757</v>
      </c>
      <c r="L1196" s="66" t="s">
        <v>757</v>
      </c>
      <c r="M1196" s="66" t="s">
        <v>757</v>
      </c>
      <c r="N1196" s="66" t="s">
        <v>757</v>
      </c>
      <c r="O1196" s="66" t="s">
        <v>869</v>
      </c>
      <c r="P1196" s="66"/>
      <c r="Q1196" s="66">
        <v>1</v>
      </c>
      <c r="R1196" s="66">
        <v>737</v>
      </c>
      <c r="S1196" s="66"/>
    </row>
    <row r="1197" spans="1:19" x14ac:dyDescent="0.25">
      <c r="A1197" s="15">
        <v>54</v>
      </c>
      <c r="B1197" s="66"/>
      <c r="C1197" s="66">
        <v>2429</v>
      </c>
      <c r="D1197" s="66"/>
      <c r="E1197" s="66" t="s">
        <v>763</v>
      </c>
      <c r="F1197" s="66">
        <v>0</v>
      </c>
      <c r="G1197" s="66"/>
      <c r="H1197" s="66">
        <v>3</v>
      </c>
      <c r="I1197" s="66" t="e">
        <v>#N/A</v>
      </c>
      <c r="J1197" s="66" t="s">
        <v>870</v>
      </c>
      <c r="K1197" s="66"/>
      <c r="L1197" s="66"/>
      <c r="M1197" s="66"/>
      <c r="N1197" s="66"/>
      <c r="O1197" s="66" t="s">
        <v>882</v>
      </c>
      <c r="P1197" s="66"/>
      <c r="Q1197" s="66">
        <v>1</v>
      </c>
      <c r="R1197" s="66">
        <v>964</v>
      </c>
      <c r="S1197" s="66"/>
    </row>
    <row r="1198" spans="1:19" x14ac:dyDescent="0.25">
      <c r="A1198" s="15">
        <v>54</v>
      </c>
      <c r="B1198" s="66"/>
      <c r="C1198" s="66">
        <v>2429</v>
      </c>
      <c r="D1198" s="66"/>
      <c r="E1198" s="66" t="s">
        <v>763</v>
      </c>
      <c r="F1198" s="66">
        <v>3</v>
      </c>
      <c r="G1198" s="66"/>
      <c r="H1198" s="66">
        <v>3</v>
      </c>
      <c r="I1198" s="66" t="e">
        <v>#N/A</v>
      </c>
      <c r="J1198" s="66" t="s">
        <v>870</v>
      </c>
      <c r="K1198" s="66"/>
      <c r="L1198" s="66"/>
      <c r="M1198" s="66"/>
      <c r="N1198" s="66"/>
      <c r="O1198" s="66" t="s">
        <v>894</v>
      </c>
      <c r="P1198" s="66"/>
      <c r="Q1198" s="66">
        <v>1</v>
      </c>
      <c r="R1198" s="66">
        <v>1191</v>
      </c>
      <c r="S1198" s="66"/>
    </row>
    <row r="1199" spans="1:19" x14ac:dyDescent="0.25">
      <c r="A1199" s="15">
        <v>54</v>
      </c>
      <c r="B1199" s="66"/>
      <c r="C1199" s="66">
        <v>2429</v>
      </c>
      <c r="D1199" s="66"/>
      <c r="E1199" s="66" t="s">
        <v>763</v>
      </c>
      <c r="F1199" s="66">
        <v>3</v>
      </c>
      <c r="G1199" s="66"/>
      <c r="H1199" s="66" t="e">
        <v>#N/A</v>
      </c>
      <c r="I1199" s="66"/>
      <c r="J1199" s="66" t="s">
        <v>870</v>
      </c>
      <c r="K1199" s="66"/>
      <c r="L1199" s="66"/>
      <c r="M1199" s="66"/>
      <c r="N1199" s="66"/>
      <c r="O1199" s="66" t="s">
        <v>906</v>
      </c>
      <c r="P1199" s="66"/>
      <c r="Q1199" s="66">
        <v>1</v>
      </c>
      <c r="R1199" s="66">
        <v>1298</v>
      </c>
      <c r="S1199" s="66"/>
    </row>
    <row r="1200" spans="1:19" x14ac:dyDescent="0.25">
      <c r="A1200" s="15">
        <v>54</v>
      </c>
      <c r="B1200" s="66"/>
      <c r="C1200" s="66">
        <v>2429</v>
      </c>
      <c r="D1200" s="66"/>
      <c r="E1200" s="66" t="s">
        <v>763</v>
      </c>
      <c r="F1200" s="66">
        <v>5</v>
      </c>
      <c r="G1200" s="66"/>
      <c r="H1200" s="66" t="e">
        <v>#N/A</v>
      </c>
      <c r="I1200" s="66"/>
      <c r="J1200" s="66" t="s">
        <v>870</v>
      </c>
      <c r="K1200" s="66"/>
      <c r="L1200" s="66"/>
      <c r="M1200" s="66"/>
      <c r="N1200" s="66"/>
      <c r="O1200" s="66" t="s">
        <v>908</v>
      </c>
      <c r="P1200" s="66"/>
      <c r="Q1200" s="66">
        <v>1</v>
      </c>
      <c r="R1200" s="66">
        <v>1485</v>
      </c>
      <c r="S1200" s="66"/>
    </row>
    <row r="1201" spans="1:19" x14ac:dyDescent="0.25">
      <c r="A1201" s="15">
        <v>55</v>
      </c>
      <c r="B1201" s="66"/>
      <c r="C1201" s="66"/>
      <c r="D1201" s="66"/>
      <c r="E1201" s="66"/>
      <c r="F1201" s="66"/>
      <c r="G1201" s="66"/>
      <c r="H1201" s="66"/>
      <c r="I1201" s="66"/>
      <c r="J1201" s="66"/>
      <c r="K1201" s="66"/>
      <c r="L1201" s="66"/>
      <c r="M1201" s="66"/>
      <c r="N1201" s="66"/>
      <c r="O1201" s="66"/>
      <c r="P1201" s="66"/>
      <c r="Q1201" s="66"/>
      <c r="R1201" s="66"/>
      <c r="S1201" s="66"/>
    </row>
    <row r="1202" spans="1:19" x14ac:dyDescent="0.25">
      <c r="A1202" s="15">
        <v>55</v>
      </c>
      <c r="B1202" s="66"/>
      <c r="C1202" s="66"/>
      <c r="D1202" s="66"/>
      <c r="E1202" s="66"/>
      <c r="F1202" s="66"/>
      <c r="G1202" s="66"/>
      <c r="H1202" s="66"/>
      <c r="I1202" s="66"/>
      <c r="J1202" s="66"/>
      <c r="K1202" s="66"/>
      <c r="L1202" s="66"/>
      <c r="M1202" s="66"/>
      <c r="N1202" s="66"/>
      <c r="O1202" s="66" t="s">
        <v>814</v>
      </c>
      <c r="P1202" s="66"/>
      <c r="Q1202" s="66"/>
      <c r="R1202" s="66"/>
      <c r="S1202" s="66"/>
    </row>
    <row r="1203" spans="1:19" x14ac:dyDescent="0.25">
      <c r="A1203" s="15">
        <v>55</v>
      </c>
      <c r="B1203" s="66"/>
      <c r="C1203" s="66"/>
      <c r="D1203" s="66"/>
      <c r="E1203" s="66"/>
      <c r="F1203" s="66"/>
      <c r="G1203" s="66"/>
      <c r="H1203" s="66"/>
      <c r="I1203" s="66"/>
      <c r="J1203" s="66"/>
      <c r="K1203" s="66"/>
      <c r="L1203" s="66"/>
      <c r="M1203" s="66"/>
      <c r="N1203" s="66"/>
      <c r="O1203" s="66" t="s">
        <v>840</v>
      </c>
      <c r="P1203" s="66"/>
      <c r="Q1203" s="66"/>
      <c r="R1203" s="66"/>
      <c r="S1203" s="66"/>
    </row>
    <row r="1204" spans="1:19" x14ac:dyDescent="0.25">
      <c r="A1204" s="15">
        <v>55</v>
      </c>
      <c r="B1204" s="66"/>
      <c r="C1204" s="66"/>
      <c r="D1204" s="66"/>
      <c r="E1204" s="66"/>
      <c r="F1204" s="66"/>
      <c r="G1204" s="66"/>
      <c r="H1204" s="66"/>
      <c r="I1204" s="66"/>
      <c r="J1204" s="66"/>
      <c r="K1204" s="66"/>
      <c r="L1204" s="66"/>
      <c r="M1204" s="66"/>
      <c r="N1204" s="66"/>
      <c r="O1204" s="66" t="s">
        <v>843</v>
      </c>
      <c r="P1204" s="66"/>
      <c r="Q1204" s="66"/>
      <c r="R1204" s="66"/>
      <c r="S1204" s="66"/>
    </row>
    <row r="1205" spans="1:19" x14ac:dyDescent="0.25">
      <c r="A1205" s="15">
        <v>55</v>
      </c>
      <c r="B1205" s="66"/>
      <c r="C1205" s="66" t="s">
        <v>77</v>
      </c>
      <c r="D1205" s="66"/>
      <c r="E1205" s="66" t="s">
        <v>763</v>
      </c>
      <c r="F1205" s="66">
        <v>8</v>
      </c>
      <c r="G1205" s="66"/>
      <c r="H1205" s="66">
        <v>7</v>
      </c>
      <c r="I1205" s="66">
        <v>7.666666666666667</v>
      </c>
      <c r="J1205" s="66" t="s">
        <v>850</v>
      </c>
      <c r="K1205" s="66"/>
      <c r="L1205" s="66"/>
      <c r="M1205" s="66"/>
      <c r="N1205" s="66"/>
      <c r="O1205" s="66" t="s">
        <v>849</v>
      </c>
      <c r="P1205" s="66"/>
      <c r="Q1205" s="66">
        <v>1</v>
      </c>
      <c r="R1205" s="66">
        <v>319</v>
      </c>
      <c r="S1205" s="66"/>
    </row>
    <row r="1206" spans="1:19" x14ac:dyDescent="0.25">
      <c r="A1206" s="15">
        <v>55</v>
      </c>
      <c r="B1206" s="66"/>
      <c r="C1206" s="66">
        <v>2429</v>
      </c>
      <c r="D1206" s="66"/>
      <c r="E1206" s="66" t="s">
        <v>763</v>
      </c>
      <c r="F1206" s="66">
        <v>8</v>
      </c>
      <c r="G1206" s="66"/>
      <c r="H1206" s="66"/>
      <c r="I1206" s="66">
        <v>21.583333333333332</v>
      </c>
      <c r="J1206" s="66" t="s">
        <v>850</v>
      </c>
      <c r="K1206" s="66"/>
      <c r="L1206" s="66"/>
      <c r="M1206" s="66"/>
      <c r="N1206" s="66"/>
      <c r="O1206" s="66" t="s">
        <v>852</v>
      </c>
      <c r="P1206" s="66"/>
      <c r="Q1206" s="66">
        <v>1</v>
      </c>
      <c r="R1206" s="66">
        <v>506</v>
      </c>
      <c r="S1206" s="66"/>
    </row>
    <row r="1207" spans="1:19" x14ac:dyDescent="0.25">
      <c r="A1207" s="15">
        <v>55</v>
      </c>
      <c r="B1207" s="66"/>
      <c r="C1207" s="66">
        <v>2429</v>
      </c>
      <c r="D1207" s="66"/>
      <c r="E1207" s="66" t="s">
        <v>763</v>
      </c>
      <c r="F1207" s="66">
        <v>1</v>
      </c>
      <c r="G1207" s="66"/>
      <c r="H1207" s="66" t="e">
        <v>#N/A</v>
      </c>
      <c r="I1207" s="66"/>
      <c r="J1207" s="66" t="s">
        <v>870</v>
      </c>
      <c r="K1207" s="66" t="s">
        <v>757</v>
      </c>
      <c r="L1207" s="66" t="s">
        <v>757</v>
      </c>
      <c r="M1207" s="66" t="s">
        <v>757</v>
      </c>
      <c r="N1207" s="66" t="s">
        <v>757</v>
      </c>
      <c r="O1207" s="66" t="s">
        <v>869</v>
      </c>
      <c r="P1207" s="66"/>
      <c r="Q1207" s="66">
        <v>1</v>
      </c>
      <c r="R1207" s="66">
        <v>738</v>
      </c>
      <c r="S1207" s="66"/>
    </row>
    <row r="1208" spans="1:19" x14ac:dyDescent="0.25">
      <c r="A1208" s="15">
        <v>55</v>
      </c>
      <c r="B1208" s="66"/>
      <c r="C1208" s="66">
        <v>2429</v>
      </c>
      <c r="D1208" s="66"/>
      <c r="E1208" s="66" t="s">
        <v>763</v>
      </c>
      <c r="F1208" s="66">
        <v>0</v>
      </c>
      <c r="G1208" s="66"/>
      <c r="H1208" s="66">
        <v>3</v>
      </c>
      <c r="I1208" s="66" t="e">
        <v>#N/A</v>
      </c>
      <c r="J1208" s="66" t="s">
        <v>870</v>
      </c>
      <c r="K1208" s="66"/>
      <c r="L1208" s="66"/>
      <c r="M1208" s="66"/>
      <c r="N1208" s="66"/>
      <c r="O1208" s="66" t="s">
        <v>882</v>
      </c>
      <c r="P1208" s="66"/>
      <c r="Q1208" s="66">
        <v>1</v>
      </c>
      <c r="R1208" s="66">
        <v>965</v>
      </c>
      <c r="S1208" s="66"/>
    </row>
    <row r="1209" spans="1:19" x14ac:dyDescent="0.25">
      <c r="A1209" s="15">
        <v>55</v>
      </c>
      <c r="B1209" s="66"/>
      <c r="C1209" s="66">
        <v>2429</v>
      </c>
      <c r="D1209" s="66"/>
      <c r="E1209" s="66" t="s">
        <v>763</v>
      </c>
      <c r="F1209" s="66">
        <v>3</v>
      </c>
      <c r="G1209" s="66"/>
      <c r="H1209" s="66">
        <v>3</v>
      </c>
      <c r="I1209" s="66" t="e">
        <v>#N/A</v>
      </c>
      <c r="J1209" s="66" t="s">
        <v>870</v>
      </c>
      <c r="K1209" s="66"/>
      <c r="L1209" s="66"/>
      <c r="M1209" s="66"/>
      <c r="N1209" s="66"/>
      <c r="O1209" s="66" t="s">
        <v>894</v>
      </c>
      <c r="P1209" s="66"/>
      <c r="Q1209" s="66">
        <v>1</v>
      </c>
      <c r="R1209" s="66">
        <v>1192</v>
      </c>
      <c r="S1209" s="66"/>
    </row>
    <row r="1210" spans="1:19" x14ac:dyDescent="0.25">
      <c r="A1210" s="15">
        <v>55</v>
      </c>
      <c r="B1210" s="66"/>
      <c r="C1210" s="66">
        <v>2429</v>
      </c>
      <c r="D1210" s="66"/>
      <c r="E1210" s="66" t="s">
        <v>763</v>
      </c>
      <c r="F1210" s="66">
        <v>3</v>
      </c>
      <c r="G1210" s="66"/>
      <c r="H1210" s="66" t="e">
        <v>#N/A</v>
      </c>
      <c r="I1210" s="66"/>
      <c r="J1210" s="66" t="s">
        <v>870</v>
      </c>
      <c r="K1210" s="66"/>
      <c r="L1210" s="66"/>
      <c r="M1210" s="66"/>
      <c r="N1210" s="66"/>
      <c r="O1210" s="66" t="s">
        <v>906</v>
      </c>
      <c r="P1210" s="66"/>
      <c r="Q1210" s="66">
        <v>1</v>
      </c>
      <c r="R1210" s="66">
        <v>1299</v>
      </c>
      <c r="S1210" s="66"/>
    </row>
    <row r="1211" spans="1:19" x14ac:dyDescent="0.25">
      <c r="A1211" s="15">
        <v>55</v>
      </c>
      <c r="B1211" s="66"/>
      <c r="C1211" s="66">
        <v>2429</v>
      </c>
      <c r="D1211" s="66"/>
      <c r="E1211" s="66" t="s">
        <v>763</v>
      </c>
      <c r="F1211" s="66">
        <v>5</v>
      </c>
      <c r="G1211" s="66"/>
      <c r="H1211" s="66" t="e">
        <v>#N/A</v>
      </c>
      <c r="I1211" s="66"/>
      <c r="J1211" s="66" t="s">
        <v>870</v>
      </c>
      <c r="K1211" s="66"/>
      <c r="L1211" s="66"/>
      <c r="M1211" s="66"/>
      <c r="N1211" s="66"/>
      <c r="O1211" s="66" t="s">
        <v>908</v>
      </c>
      <c r="P1211" s="66"/>
      <c r="Q1211" s="66">
        <v>1</v>
      </c>
      <c r="R1211" s="66">
        <v>1486</v>
      </c>
      <c r="S1211" s="66"/>
    </row>
    <row r="1212" spans="1:19" x14ac:dyDescent="0.25">
      <c r="A1212" s="15">
        <v>56</v>
      </c>
      <c r="B1212" s="66"/>
      <c r="C1212" s="66"/>
      <c r="D1212" s="66"/>
      <c r="E1212" s="66"/>
      <c r="F1212" s="66"/>
      <c r="G1212" s="66"/>
      <c r="H1212" s="66"/>
      <c r="I1212" s="66"/>
      <c r="J1212" s="66"/>
      <c r="K1212" s="66"/>
      <c r="L1212" s="66"/>
      <c r="M1212" s="66"/>
      <c r="N1212" s="66"/>
      <c r="O1212" s="66"/>
      <c r="P1212" s="66"/>
      <c r="Q1212" s="66"/>
      <c r="R1212" s="66"/>
      <c r="S1212" s="66"/>
    </row>
    <row r="1213" spans="1:19" x14ac:dyDescent="0.25">
      <c r="A1213" s="15">
        <v>56</v>
      </c>
      <c r="B1213" s="66"/>
      <c r="C1213" s="66"/>
      <c r="D1213" s="66"/>
      <c r="E1213" s="66"/>
      <c r="F1213" s="66"/>
      <c r="G1213" s="66"/>
      <c r="H1213" s="66"/>
      <c r="I1213" s="66"/>
      <c r="J1213" s="66"/>
      <c r="K1213" s="66"/>
      <c r="L1213" s="66"/>
      <c r="M1213" s="66"/>
      <c r="N1213" s="66"/>
      <c r="O1213" s="66" t="s">
        <v>815</v>
      </c>
      <c r="P1213" s="66"/>
      <c r="Q1213" s="66"/>
      <c r="R1213" s="66"/>
      <c r="S1213" s="66"/>
    </row>
    <row r="1214" spans="1:19" x14ac:dyDescent="0.25">
      <c r="A1214" s="15">
        <v>56</v>
      </c>
      <c r="B1214" s="66"/>
      <c r="C1214" s="66"/>
      <c r="D1214" s="66"/>
      <c r="E1214" s="66"/>
      <c r="F1214" s="66"/>
      <c r="G1214" s="66"/>
      <c r="H1214" s="66"/>
      <c r="I1214" s="66"/>
      <c r="J1214" s="66"/>
      <c r="K1214" s="66"/>
      <c r="L1214" s="66"/>
      <c r="M1214" s="66"/>
      <c r="N1214" s="66"/>
      <c r="O1214" s="66" t="s">
        <v>841</v>
      </c>
      <c r="P1214" s="66"/>
      <c r="Q1214" s="66"/>
      <c r="R1214" s="66"/>
      <c r="S1214" s="66"/>
    </row>
    <row r="1215" spans="1:19" x14ac:dyDescent="0.25">
      <c r="A1215" s="15">
        <v>56</v>
      </c>
      <c r="B1215" s="66"/>
      <c r="C1215" s="66"/>
      <c r="D1215" s="66"/>
      <c r="E1215" s="66"/>
      <c r="F1215" s="66"/>
      <c r="G1215" s="66"/>
      <c r="H1215" s="66"/>
      <c r="I1215" s="66"/>
      <c r="J1215" s="66"/>
      <c r="K1215" s="66"/>
      <c r="L1215" s="66"/>
      <c r="M1215" s="66"/>
      <c r="N1215" s="66"/>
      <c r="O1215" s="66" t="s">
        <v>842</v>
      </c>
      <c r="P1215" s="66"/>
      <c r="Q1215" s="66"/>
      <c r="R1215" s="66"/>
      <c r="S1215" s="66"/>
    </row>
    <row r="1216" spans="1:19" x14ac:dyDescent="0.25">
      <c r="A1216" s="15">
        <v>56</v>
      </c>
      <c r="B1216" s="66"/>
      <c r="C1216" s="66" t="s">
        <v>77</v>
      </c>
      <c r="D1216" s="66"/>
      <c r="E1216" s="66" t="s">
        <v>763</v>
      </c>
      <c r="F1216" s="66">
        <v>10</v>
      </c>
      <c r="G1216" s="66"/>
      <c r="H1216" s="66">
        <v>7</v>
      </c>
      <c r="I1216" s="66">
        <v>7.666666666666667</v>
      </c>
      <c r="J1216" s="66" t="s">
        <v>850</v>
      </c>
      <c r="K1216" s="66"/>
      <c r="L1216" s="66"/>
      <c r="M1216" s="66"/>
      <c r="N1216" s="66"/>
      <c r="O1216" s="66" t="s">
        <v>849</v>
      </c>
      <c r="P1216" s="66"/>
      <c r="Q1216" s="66">
        <v>1</v>
      </c>
      <c r="R1216" s="66">
        <v>320</v>
      </c>
      <c r="S1216" s="66"/>
    </row>
    <row r="1217" spans="1:19" x14ac:dyDescent="0.25">
      <c r="A1217" s="15">
        <v>56</v>
      </c>
      <c r="B1217" s="66"/>
      <c r="C1217" s="66">
        <v>2429</v>
      </c>
      <c r="D1217" s="66"/>
      <c r="E1217" s="66" t="s">
        <v>763</v>
      </c>
      <c r="F1217" s="66">
        <v>10</v>
      </c>
      <c r="G1217" s="66"/>
      <c r="H1217" s="66"/>
      <c r="I1217" s="66">
        <v>19.583333333333332</v>
      </c>
      <c r="J1217" s="66" t="s">
        <v>850</v>
      </c>
      <c r="K1217" s="66"/>
      <c r="L1217" s="66"/>
      <c r="M1217" s="66"/>
      <c r="N1217" s="66"/>
      <c r="O1217" s="66" t="s">
        <v>852</v>
      </c>
      <c r="P1217" s="66"/>
      <c r="Q1217" s="66">
        <v>1</v>
      </c>
      <c r="R1217" s="66">
        <v>507</v>
      </c>
      <c r="S1217" s="66"/>
    </row>
    <row r="1218" spans="1:19" x14ac:dyDescent="0.25">
      <c r="A1218" s="15">
        <v>56</v>
      </c>
      <c r="B1218" s="66"/>
      <c r="C1218" s="66">
        <v>2429</v>
      </c>
      <c r="D1218" s="66"/>
      <c r="E1218" s="66" t="s">
        <v>763</v>
      </c>
      <c r="F1218" s="66">
        <v>1</v>
      </c>
      <c r="G1218" s="66"/>
      <c r="H1218" s="66" t="e">
        <v>#N/A</v>
      </c>
      <c r="I1218" s="66"/>
      <c r="J1218" s="66" t="s">
        <v>870</v>
      </c>
      <c r="K1218" s="66" t="s">
        <v>757</v>
      </c>
      <c r="L1218" s="66" t="s">
        <v>757</v>
      </c>
      <c r="M1218" s="66" t="s">
        <v>757</v>
      </c>
      <c r="N1218" s="66" t="s">
        <v>757</v>
      </c>
      <c r="O1218" s="66" t="s">
        <v>869</v>
      </c>
      <c r="P1218" s="66"/>
      <c r="Q1218" s="66">
        <v>1</v>
      </c>
      <c r="R1218" s="66">
        <v>739</v>
      </c>
      <c r="S1218" s="66"/>
    </row>
    <row r="1219" spans="1:19" x14ac:dyDescent="0.25">
      <c r="A1219" s="15">
        <v>56</v>
      </c>
      <c r="B1219" s="66"/>
      <c r="C1219" s="66">
        <v>2429</v>
      </c>
      <c r="D1219" s="66"/>
      <c r="E1219" s="66" t="s">
        <v>763</v>
      </c>
      <c r="F1219" s="66">
        <v>0</v>
      </c>
      <c r="G1219" s="66"/>
      <c r="H1219" s="66">
        <v>3</v>
      </c>
      <c r="I1219" s="66" t="e">
        <v>#N/A</v>
      </c>
      <c r="J1219" s="66" t="s">
        <v>870</v>
      </c>
      <c r="K1219" s="66"/>
      <c r="L1219" s="66"/>
      <c r="M1219" s="66"/>
      <c r="N1219" s="66"/>
      <c r="O1219" s="66" t="s">
        <v>882</v>
      </c>
      <c r="P1219" s="66"/>
      <c r="Q1219" s="66">
        <v>1</v>
      </c>
      <c r="R1219" s="66">
        <v>966</v>
      </c>
      <c r="S1219" s="66"/>
    </row>
    <row r="1220" spans="1:19" x14ac:dyDescent="0.25">
      <c r="A1220" s="15">
        <v>56</v>
      </c>
      <c r="B1220" s="66"/>
      <c r="C1220" s="66">
        <v>2429</v>
      </c>
      <c r="D1220" s="66"/>
      <c r="E1220" s="66" t="s">
        <v>763</v>
      </c>
      <c r="F1220" s="66">
        <v>3</v>
      </c>
      <c r="G1220" s="66"/>
      <c r="H1220" s="66">
        <v>3</v>
      </c>
      <c r="I1220" s="66" t="e">
        <v>#N/A</v>
      </c>
      <c r="J1220" s="66" t="s">
        <v>870</v>
      </c>
      <c r="K1220" s="66"/>
      <c r="L1220" s="66"/>
      <c r="M1220" s="66"/>
      <c r="N1220" s="66"/>
      <c r="O1220" s="66" t="s">
        <v>894</v>
      </c>
      <c r="P1220" s="66"/>
      <c r="Q1220" s="66">
        <v>1</v>
      </c>
      <c r="R1220" s="66">
        <v>1193</v>
      </c>
      <c r="S1220" s="66"/>
    </row>
    <row r="1221" spans="1:19" x14ac:dyDescent="0.25">
      <c r="A1221" s="15">
        <v>56</v>
      </c>
      <c r="B1221" s="66"/>
      <c r="C1221" s="66">
        <v>2429</v>
      </c>
      <c r="D1221" s="66"/>
      <c r="E1221" s="66" t="s">
        <v>763</v>
      </c>
      <c r="F1221" s="66">
        <v>3</v>
      </c>
      <c r="G1221" s="66"/>
      <c r="H1221" s="66" t="e">
        <v>#N/A</v>
      </c>
      <c r="I1221" s="66"/>
      <c r="J1221" s="66" t="s">
        <v>870</v>
      </c>
      <c r="K1221" s="66"/>
      <c r="L1221" s="66"/>
      <c r="M1221" s="66"/>
      <c r="N1221" s="66"/>
      <c r="O1221" s="66" t="s">
        <v>906</v>
      </c>
      <c r="P1221" s="66"/>
      <c r="Q1221" s="66">
        <v>1</v>
      </c>
      <c r="R1221" s="66">
        <v>1300</v>
      </c>
      <c r="S1221" s="66"/>
    </row>
    <row r="1222" spans="1:19" x14ac:dyDescent="0.25">
      <c r="A1222" s="15">
        <v>56</v>
      </c>
      <c r="B1222" s="66"/>
      <c r="C1222" s="66">
        <v>2429</v>
      </c>
      <c r="D1222" s="66"/>
      <c r="E1222" s="66" t="s">
        <v>763</v>
      </c>
      <c r="F1222" s="66">
        <v>5</v>
      </c>
      <c r="G1222" s="66"/>
      <c r="H1222" s="66" t="e">
        <v>#N/A</v>
      </c>
      <c r="I1222" s="66"/>
      <c r="J1222" s="66" t="s">
        <v>870</v>
      </c>
      <c r="K1222" s="66"/>
      <c r="L1222" s="66"/>
      <c r="M1222" s="66"/>
      <c r="N1222" s="66"/>
      <c r="O1222" s="66" t="s">
        <v>908</v>
      </c>
      <c r="P1222" s="66"/>
      <c r="Q1222" s="66">
        <v>1</v>
      </c>
      <c r="R1222" s="66">
        <v>1487</v>
      </c>
      <c r="S1222" s="66"/>
    </row>
    <row r="1223" spans="1:19" x14ac:dyDescent="0.25">
      <c r="A1223" s="15">
        <v>57</v>
      </c>
      <c r="B1223" s="66"/>
      <c r="C1223" s="66"/>
      <c r="D1223" s="66"/>
      <c r="E1223" s="66"/>
      <c r="F1223" s="66"/>
      <c r="G1223" s="66"/>
      <c r="H1223" s="66"/>
      <c r="I1223" s="66"/>
      <c r="J1223" s="66"/>
      <c r="K1223" s="66"/>
      <c r="L1223" s="66"/>
      <c r="M1223" s="66"/>
      <c r="N1223" s="66"/>
      <c r="O1223" s="66"/>
      <c r="P1223" s="66"/>
      <c r="Q1223" s="66"/>
      <c r="R1223" s="66"/>
      <c r="S1223" s="66"/>
    </row>
    <row r="1224" spans="1:19" x14ac:dyDescent="0.25">
      <c r="A1224" s="15">
        <v>57</v>
      </c>
      <c r="B1224" s="66"/>
      <c r="C1224" s="66"/>
      <c r="D1224" s="66"/>
      <c r="E1224" s="66"/>
      <c r="F1224" s="66"/>
      <c r="G1224" s="66"/>
      <c r="H1224" s="66"/>
      <c r="I1224" s="66"/>
      <c r="J1224" s="66"/>
      <c r="K1224" s="66"/>
      <c r="L1224" s="66"/>
      <c r="M1224" s="66"/>
      <c r="N1224" s="66"/>
      <c r="O1224" s="66" t="s">
        <v>816</v>
      </c>
      <c r="P1224" s="66"/>
      <c r="Q1224" s="66"/>
      <c r="R1224" s="66"/>
      <c r="S1224" s="66"/>
    </row>
    <row r="1225" spans="1:19" x14ac:dyDescent="0.25">
      <c r="A1225" s="15">
        <v>57</v>
      </c>
      <c r="B1225" s="66"/>
      <c r="C1225" s="66"/>
      <c r="D1225" s="66"/>
      <c r="E1225" s="66"/>
      <c r="F1225" s="66"/>
      <c r="G1225" s="66"/>
      <c r="H1225" s="66"/>
      <c r="I1225" s="66"/>
      <c r="J1225" s="66"/>
      <c r="K1225" s="66"/>
      <c r="L1225" s="66"/>
      <c r="M1225" s="66"/>
      <c r="N1225" s="66"/>
      <c r="O1225" s="66" t="s">
        <v>835</v>
      </c>
      <c r="P1225" s="66"/>
      <c r="Q1225" s="66"/>
      <c r="R1225" s="66"/>
      <c r="S1225" s="66"/>
    </row>
    <row r="1226" spans="1:19" x14ac:dyDescent="0.25">
      <c r="A1226" s="15">
        <v>57</v>
      </c>
      <c r="B1226" s="66"/>
      <c r="C1226" s="66"/>
      <c r="D1226" s="66"/>
      <c r="E1226" s="66"/>
      <c r="F1226" s="66"/>
      <c r="G1226" s="66"/>
      <c r="H1226" s="66"/>
      <c r="I1226" s="66"/>
      <c r="J1226" s="66"/>
      <c r="K1226" s="66"/>
      <c r="L1226" s="66"/>
      <c r="M1226" s="66"/>
      <c r="N1226" s="66"/>
      <c r="O1226" s="66" t="s">
        <v>842</v>
      </c>
      <c r="P1226" s="66"/>
      <c r="Q1226" s="66"/>
      <c r="R1226" s="66"/>
      <c r="S1226" s="66"/>
    </row>
    <row r="1227" spans="1:19" x14ac:dyDescent="0.25">
      <c r="A1227" s="15">
        <v>57</v>
      </c>
      <c r="B1227" s="66"/>
      <c r="C1227" s="66" t="s">
        <v>77</v>
      </c>
      <c r="D1227" s="66"/>
      <c r="E1227" s="66" t="s">
        <v>763</v>
      </c>
      <c r="F1227" s="66">
        <v>6</v>
      </c>
      <c r="G1227" s="66"/>
      <c r="H1227" s="66">
        <v>7</v>
      </c>
      <c r="I1227" s="66">
        <v>9.1666666666666679</v>
      </c>
      <c r="J1227" s="66" t="s">
        <v>850</v>
      </c>
      <c r="K1227" s="66"/>
      <c r="L1227" s="66"/>
      <c r="M1227" s="66"/>
      <c r="N1227" s="66"/>
      <c r="O1227" s="66" t="s">
        <v>849</v>
      </c>
      <c r="P1227" s="66"/>
      <c r="Q1227" s="66">
        <v>1</v>
      </c>
      <c r="R1227" s="66">
        <v>321</v>
      </c>
      <c r="S1227" s="66"/>
    </row>
    <row r="1228" spans="1:19" x14ac:dyDescent="0.25">
      <c r="A1228" s="15">
        <v>57</v>
      </c>
      <c r="B1228" s="66"/>
      <c r="C1228" s="66">
        <v>2429</v>
      </c>
      <c r="D1228" s="66"/>
      <c r="E1228" s="66" t="s">
        <v>763</v>
      </c>
      <c r="F1228" s="66">
        <v>6</v>
      </c>
      <c r="G1228" s="66"/>
      <c r="H1228" s="66"/>
      <c r="I1228" s="66">
        <v>19.583333333333332</v>
      </c>
      <c r="J1228" s="66" t="s">
        <v>850</v>
      </c>
      <c r="K1228" s="66"/>
      <c r="L1228" s="66"/>
      <c r="M1228" s="66"/>
      <c r="N1228" s="66"/>
      <c r="O1228" s="66" t="s">
        <v>852</v>
      </c>
      <c r="P1228" s="66"/>
      <c r="Q1228" s="66">
        <v>1</v>
      </c>
      <c r="R1228" s="66">
        <v>508</v>
      </c>
      <c r="S1228" s="66"/>
    </row>
    <row r="1229" spans="1:19" x14ac:dyDescent="0.25">
      <c r="A1229" s="15">
        <v>57</v>
      </c>
      <c r="B1229" s="66"/>
      <c r="C1229" s="66">
        <v>2429</v>
      </c>
      <c r="D1229" s="66"/>
      <c r="E1229" s="66" t="s">
        <v>763</v>
      </c>
      <c r="F1229" s="66">
        <v>1</v>
      </c>
      <c r="G1229" s="66"/>
      <c r="H1229" s="66" t="e">
        <v>#N/A</v>
      </c>
      <c r="I1229" s="66"/>
      <c r="J1229" s="66" t="s">
        <v>870</v>
      </c>
      <c r="K1229" s="66" t="s">
        <v>757</v>
      </c>
      <c r="L1229" s="66" t="s">
        <v>757</v>
      </c>
      <c r="M1229" s="66" t="s">
        <v>757</v>
      </c>
      <c r="N1229" s="66" t="s">
        <v>757</v>
      </c>
      <c r="O1229" s="66" t="s">
        <v>869</v>
      </c>
      <c r="P1229" s="66"/>
      <c r="Q1229" s="66">
        <v>1</v>
      </c>
      <c r="R1229" s="66">
        <v>740</v>
      </c>
      <c r="S1229" s="66"/>
    </row>
    <row r="1230" spans="1:19" x14ac:dyDescent="0.25">
      <c r="A1230" s="15">
        <v>57</v>
      </c>
      <c r="B1230" s="66"/>
      <c r="C1230" s="66">
        <v>2429</v>
      </c>
      <c r="D1230" s="66"/>
      <c r="E1230" s="66" t="s">
        <v>763</v>
      </c>
      <c r="F1230" s="66">
        <v>0</v>
      </c>
      <c r="G1230" s="66"/>
      <c r="H1230" s="66">
        <v>3</v>
      </c>
      <c r="I1230" s="66" t="e">
        <v>#N/A</v>
      </c>
      <c r="J1230" s="66" t="s">
        <v>870</v>
      </c>
      <c r="K1230" s="66"/>
      <c r="L1230" s="66"/>
      <c r="M1230" s="66"/>
      <c r="N1230" s="66"/>
      <c r="O1230" s="66" t="s">
        <v>882</v>
      </c>
      <c r="P1230" s="66"/>
      <c r="Q1230" s="66">
        <v>1</v>
      </c>
      <c r="R1230" s="66">
        <v>967</v>
      </c>
      <c r="S1230" s="66"/>
    </row>
    <row r="1231" spans="1:19" x14ac:dyDescent="0.25">
      <c r="A1231" s="15">
        <v>57</v>
      </c>
      <c r="B1231" s="66"/>
      <c r="C1231" s="66">
        <v>2429</v>
      </c>
      <c r="D1231" s="66"/>
      <c r="E1231" s="66" t="s">
        <v>763</v>
      </c>
      <c r="F1231" s="66">
        <v>3</v>
      </c>
      <c r="G1231" s="66"/>
      <c r="H1231" s="66">
        <v>3</v>
      </c>
      <c r="I1231" s="66" t="e">
        <v>#N/A</v>
      </c>
      <c r="J1231" s="66" t="s">
        <v>870</v>
      </c>
      <c r="K1231" s="66"/>
      <c r="L1231" s="66"/>
      <c r="M1231" s="66"/>
      <c r="N1231" s="66"/>
      <c r="O1231" s="66" t="s">
        <v>894</v>
      </c>
      <c r="P1231" s="66"/>
      <c r="Q1231" s="66">
        <v>1</v>
      </c>
      <c r="R1231" s="66">
        <v>1194</v>
      </c>
      <c r="S1231" s="66"/>
    </row>
    <row r="1232" spans="1:19" x14ac:dyDescent="0.25">
      <c r="A1232" s="15">
        <v>57</v>
      </c>
      <c r="B1232" s="66"/>
      <c r="C1232" s="66">
        <v>2429</v>
      </c>
      <c r="D1232" s="66"/>
      <c r="E1232" s="66" t="s">
        <v>763</v>
      </c>
      <c r="F1232" s="66">
        <v>3</v>
      </c>
      <c r="G1232" s="66"/>
      <c r="H1232" s="66" t="e">
        <v>#N/A</v>
      </c>
      <c r="I1232" s="66"/>
      <c r="J1232" s="66" t="s">
        <v>870</v>
      </c>
      <c r="K1232" s="66"/>
      <c r="L1232" s="66"/>
      <c r="M1232" s="66"/>
      <c r="N1232" s="66"/>
      <c r="O1232" s="66" t="s">
        <v>906</v>
      </c>
      <c r="P1232" s="66"/>
      <c r="Q1232" s="66">
        <v>1</v>
      </c>
      <c r="R1232" s="66">
        <v>1301</v>
      </c>
      <c r="S1232" s="66"/>
    </row>
    <row r="1233" spans="1:19" x14ac:dyDescent="0.25">
      <c r="A1233" s="15">
        <v>57</v>
      </c>
      <c r="B1233" s="66"/>
      <c r="C1233" s="66">
        <v>2429</v>
      </c>
      <c r="D1233" s="66"/>
      <c r="E1233" s="66" t="s">
        <v>763</v>
      </c>
      <c r="F1233" s="66">
        <v>5</v>
      </c>
      <c r="G1233" s="66"/>
      <c r="H1233" s="66" t="e">
        <v>#N/A</v>
      </c>
      <c r="I1233" s="66"/>
      <c r="J1233" s="66" t="s">
        <v>870</v>
      </c>
      <c r="K1233" s="66"/>
      <c r="L1233" s="66"/>
      <c r="M1233" s="66"/>
      <c r="N1233" s="66"/>
      <c r="O1233" s="66" t="s">
        <v>908</v>
      </c>
      <c r="P1233" s="66"/>
      <c r="Q1233" s="66">
        <v>1</v>
      </c>
      <c r="R1233" s="66">
        <v>1488</v>
      </c>
      <c r="S1233" s="66"/>
    </row>
    <row r="1234" spans="1:19" x14ac:dyDescent="0.25">
      <c r="A1234" s="15">
        <v>58</v>
      </c>
      <c r="B1234" s="66"/>
      <c r="C1234" s="66"/>
      <c r="D1234" s="66"/>
      <c r="E1234" s="66"/>
      <c r="F1234" s="66"/>
      <c r="G1234" s="66"/>
      <c r="H1234" s="66"/>
      <c r="I1234" s="66"/>
      <c r="J1234" s="66"/>
      <c r="K1234" s="66"/>
      <c r="L1234" s="66"/>
      <c r="M1234" s="66"/>
      <c r="N1234" s="66"/>
      <c r="O1234" s="66"/>
      <c r="P1234" s="66"/>
      <c r="Q1234" s="66"/>
      <c r="R1234" s="66"/>
      <c r="S1234" s="66"/>
    </row>
    <row r="1235" spans="1:19" x14ac:dyDescent="0.25">
      <c r="A1235" s="15">
        <v>58</v>
      </c>
      <c r="B1235" s="66"/>
      <c r="C1235" s="66"/>
      <c r="D1235" s="66"/>
      <c r="E1235" s="66"/>
      <c r="F1235" s="66"/>
      <c r="G1235" s="66"/>
      <c r="H1235" s="66"/>
      <c r="I1235" s="66"/>
      <c r="J1235" s="66"/>
      <c r="K1235" s="66"/>
      <c r="L1235" s="66"/>
      <c r="M1235" s="66"/>
      <c r="N1235" s="66"/>
      <c r="O1235" s="66" t="s">
        <v>817</v>
      </c>
      <c r="P1235" s="66"/>
      <c r="Q1235" s="66"/>
      <c r="R1235" s="66"/>
      <c r="S1235" s="66"/>
    </row>
    <row r="1236" spans="1:19" x14ac:dyDescent="0.25">
      <c r="A1236" s="15">
        <v>58</v>
      </c>
      <c r="B1236" s="66"/>
      <c r="C1236" s="66"/>
      <c r="D1236" s="66"/>
      <c r="E1236" s="66"/>
      <c r="F1236" s="66"/>
      <c r="G1236" s="66"/>
      <c r="H1236" s="66"/>
      <c r="I1236" s="66"/>
      <c r="J1236" s="66"/>
      <c r="K1236" s="66"/>
      <c r="L1236" s="66"/>
      <c r="M1236" s="66"/>
      <c r="N1236" s="66"/>
      <c r="O1236" s="66" t="s">
        <v>835</v>
      </c>
      <c r="P1236" s="66"/>
      <c r="Q1236" s="66"/>
      <c r="R1236" s="66"/>
      <c r="S1236" s="66"/>
    </row>
    <row r="1237" spans="1:19" x14ac:dyDescent="0.25">
      <c r="A1237" s="15">
        <v>58</v>
      </c>
      <c r="B1237" s="66"/>
      <c r="C1237" s="66"/>
      <c r="D1237" s="66"/>
      <c r="E1237" s="66"/>
      <c r="F1237" s="66"/>
      <c r="G1237" s="66"/>
      <c r="H1237" s="66"/>
      <c r="I1237" s="66"/>
      <c r="J1237" s="66"/>
      <c r="K1237" s="66"/>
      <c r="L1237" s="66"/>
      <c r="M1237" s="66"/>
      <c r="N1237" s="66"/>
      <c r="O1237" s="66" t="s">
        <v>844</v>
      </c>
      <c r="P1237" s="66"/>
      <c r="Q1237" s="66"/>
      <c r="R1237" s="66"/>
      <c r="S1237" s="66"/>
    </row>
    <row r="1238" spans="1:19" x14ac:dyDescent="0.25">
      <c r="A1238" s="15">
        <v>58</v>
      </c>
      <c r="B1238" s="66"/>
      <c r="C1238" s="66" t="s">
        <v>77</v>
      </c>
      <c r="D1238" s="66"/>
      <c r="E1238" s="66" t="s">
        <v>763</v>
      </c>
      <c r="F1238" s="66">
        <v>6</v>
      </c>
      <c r="G1238" s="66"/>
      <c r="H1238" s="66">
        <v>7</v>
      </c>
      <c r="I1238" s="66">
        <v>8.1666666666666679</v>
      </c>
      <c r="J1238" s="66" t="s">
        <v>850</v>
      </c>
      <c r="K1238" s="66"/>
      <c r="L1238" s="66"/>
      <c r="M1238" s="66"/>
      <c r="N1238" s="66"/>
      <c r="O1238" s="66" t="s">
        <v>849</v>
      </c>
      <c r="P1238" s="66"/>
      <c r="Q1238" s="66">
        <v>1</v>
      </c>
      <c r="R1238" s="66">
        <v>322</v>
      </c>
      <c r="S1238" s="66"/>
    </row>
    <row r="1239" spans="1:19" x14ac:dyDescent="0.25">
      <c r="A1239" s="15">
        <v>58</v>
      </c>
      <c r="B1239" s="66"/>
      <c r="C1239" s="66">
        <v>2429</v>
      </c>
      <c r="D1239" s="66"/>
      <c r="E1239" s="66" t="s">
        <v>763</v>
      </c>
      <c r="F1239" s="66">
        <v>6</v>
      </c>
      <c r="G1239" s="66"/>
      <c r="H1239" s="66"/>
      <c r="I1239" s="66">
        <v>12.25</v>
      </c>
      <c r="J1239" s="66" t="s">
        <v>850</v>
      </c>
      <c r="K1239" s="66"/>
      <c r="L1239" s="66"/>
      <c r="M1239" s="66"/>
      <c r="N1239" s="66"/>
      <c r="O1239" s="66" t="s">
        <v>852</v>
      </c>
      <c r="P1239" s="66"/>
      <c r="Q1239" s="66">
        <v>1</v>
      </c>
      <c r="R1239" s="66">
        <v>509</v>
      </c>
      <c r="S1239" s="66"/>
    </row>
    <row r="1240" spans="1:19" x14ac:dyDescent="0.25">
      <c r="A1240" s="15">
        <v>58</v>
      </c>
      <c r="B1240" s="66"/>
      <c r="C1240" s="66">
        <v>2429</v>
      </c>
      <c r="D1240" s="66"/>
      <c r="E1240" s="66" t="s">
        <v>763</v>
      </c>
      <c r="F1240" s="66">
        <v>1</v>
      </c>
      <c r="G1240" s="66"/>
      <c r="H1240" s="66" t="e">
        <v>#N/A</v>
      </c>
      <c r="I1240" s="66"/>
      <c r="J1240" s="66" t="s">
        <v>870</v>
      </c>
      <c r="K1240" s="66" t="s">
        <v>757</v>
      </c>
      <c r="L1240" s="66" t="s">
        <v>757</v>
      </c>
      <c r="M1240" s="66" t="s">
        <v>757</v>
      </c>
      <c r="N1240" s="66" t="s">
        <v>757</v>
      </c>
      <c r="O1240" s="66" t="s">
        <v>869</v>
      </c>
      <c r="P1240" s="66"/>
      <c r="Q1240" s="66">
        <v>1</v>
      </c>
      <c r="R1240" s="66">
        <v>741</v>
      </c>
      <c r="S1240" s="66"/>
    </row>
    <row r="1241" spans="1:19" x14ac:dyDescent="0.25">
      <c r="A1241" s="15">
        <v>58</v>
      </c>
      <c r="B1241" s="66"/>
      <c r="C1241" s="66">
        <v>2429</v>
      </c>
      <c r="D1241" s="66"/>
      <c r="E1241" s="66" t="s">
        <v>763</v>
      </c>
      <c r="F1241" s="66">
        <v>0</v>
      </c>
      <c r="G1241" s="66"/>
      <c r="H1241" s="66">
        <v>3</v>
      </c>
      <c r="I1241" s="66" t="e">
        <v>#N/A</v>
      </c>
      <c r="J1241" s="66" t="s">
        <v>870</v>
      </c>
      <c r="K1241" s="66"/>
      <c r="L1241" s="66"/>
      <c r="M1241" s="66"/>
      <c r="N1241" s="66"/>
      <c r="O1241" s="66" t="s">
        <v>882</v>
      </c>
      <c r="P1241" s="66"/>
      <c r="Q1241" s="66">
        <v>1</v>
      </c>
      <c r="R1241" s="66">
        <v>968</v>
      </c>
      <c r="S1241" s="66"/>
    </row>
    <row r="1242" spans="1:19" x14ac:dyDescent="0.25">
      <c r="A1242" s="15">
        <v>58</v>
      </c>
      <c r="B1242" s="66"/>
      <c r="C1242" s="66">
        <v>2429</v>
      </c>
      <c r="D1242" s="66"/>
      <c r="E1242" s="66" t="s">
        <v>763</v>
      </c>
      <c r="F1242" s="66">
        <v>3</v>
      </c>
      <c r="G1242" s="66"/>
      <c r="H1242" s="66">
        <v>3</v>
      </c>
      <c r="I1242" s="66" t="e">
        <v>#N/A</v>
      </c>
      <c r="J1242" s="66" t="s">
        <v>870</v>
      </c>
      <c r="K1242" s="66"/>
      <c r="L1242" s="66"/>
      <c r="M1242" s="66"/>
      <c r="N1242" s="66"/>
      <c r="O1242" s="66" t="s">
        <v>894</v>
      </c>
      <c r="P1242" s="66"/>
      <c r="Q1242" s="66">
        <v>1</v>
      </c>
      <c r="R1242" s="66">
        <v>1195</v>
      </c>
      <c r="S1242" s="66"/>
    </row>
    <row r="1243" spans="1:19" x14ac:dyDescent="0.25">
      <c r="A1243" s="15">
        <v>58</v>
      </c>
      <c r="B1243" s="66"/>
      <c r="C1243" s="66">
        <v>2429</v>
      </c>
      <c r="D1243" s="66"/>
      <c r="E1243" s="66" t="s">
        <v>763</v>
      </c>
      <c r="F1243" s="66">
        <v>3</v>
      </c>
      <c r="G1243" s="66"/>
      <c r="H1243" s="66" t="e">
        <v>#N/A</v>
      </c>
      <c r="I1243" s="66"/>
      <c r="J1243" s="66" t="s">
        <v>870</v>
      </c>
      <c r="K1243" s="66"/>
      <c r="L1243" s="66"/>
      <c r="M1243" s="66"/>
      <c r="N1243" s="66"/>
      <c r="O1243" s="66" t="s">
        <v>906</v>
      </c>
      <c r="P1243" s="66"/>
      <c r="Q1243" s="66">
        <v>1</v>
      </c>
      <c r="R1243" s="66">
        <v>1302</v>
      </c>
      <c r="S1243" s="66"/>
    </row>
    <row r="1244" spans="1:19" x14ac:dyDescent="0.25">
      <c r="A1244" s="15">
        <v>58</v>
      </c>
      <c r="B1244" s="66"/>
      <c r="C1244" s="66">
        <v>2429</v>
      </c>
      <c r="D1244" s="66"/>
      <c r="E1244" s="66" t="s">
        <v>763</v>
      </c>
      <c r="F1244" s="66">
        <v>5</v>
      </c>
      <c r="G1244" s="66"/>
      <c r="H1244" s="66" t="e">
        <v>#N/A</v>
      </c>
      <c r="I1244" s="66"/>
      <c r="J1244" s="66" t="s">
        <v>870</v>
      </c>
      <c r="K1244" s="66"/>
      <c r="L1244" s="66"/>
      <c r="M1244" s="66"/>
      <c r="N1244" s="66"/>
      <c r="O1244" s="66" t="s">
        <v>908</v>
      </c>
      <c r="P1244" s="66"/>
      <c r="Q1244" s="66">
        <v>1</v>
      </c>
      <c r="R1244" s="66">
        <v>1489</v>
      </c>
      <c r="S1244" s="66"/>
    </row>
    <row r="1245" spans="1:19" x14ac:dyDescent="0.25">
      <c r="A1245" s="15">
        <v>59</v>
      </c>
      <c r="B1245" s="66"/>
      <c r="C1245" s="66"/>
      <c r="D1245" s="66"/>
      <c r="E1245" s="66"/>
      <c r="F1245" s="66"/>
      <c r="G1245" s="66"/>
      <c r="H1245" s="66"/>
      <c r="I1245" s="66"/>
      <c r="J1245" s="66"/>
      <c r="K1245" s="66"/>
      <c r="L1245" s="66"/>
      <c r="M1245" s="66"/>
      <c r="N1245" s="66"/>
      <c r="O1245" s="66"/>
      <c r="P1245" s="66"/>
      <c r="Q1245" s="66"/>
      <c r="R1245" s="66"/>
      <c r="S1245" s="66"/>
    </row>
    <row r="1246" spans="1:19" x14ac:dyDescent="0.25">
      <c r="A1246" s="15">
        <v>59</v>
      </c>
      <c r="B1246" s="66"/>
      <c r="C1246" s="66"/>
      <c r="D1246" s="66"/>
      <c r="E1246" s="66"/>
      <c r="F1246" s="66"/>
      <c r="G1246" s="66"/>
      <c r="H1246" s="66"/>
      <c r="I1246" s="66"/>
      <c r="J1246" s="66"/>
      <c r="K1246" s="66"/>
      <c r="L1246" s="66"/>
      <c r="M1246" s="66"/>
      <c r="N1246" s="66"/>
      <c r="O1246" s="66" t="s">
        <v>818</v>
      </c>
      <c r="P1246" s="66"/>
      <c r="Q1246" s="66"/>
      <c r="R1246" s="66"/>
      <c r="S1246" s="66"/>
    </row>
    <row r="1247" spans="1:19" x14ac:dyDescent="0.25">
      <c r="A1247" s="15">
        <v>59</v>
      </c>
      <c r="B1247" s="66"/>
      <c r="C1247" s="66"/>
      <c r="D1247" s="66"/>
      <c r="E1247" s="66"/>
      <c r="F1247" s="66"/>
      <c r="G1247" s="66"/>
      <c r="H1247" s="66"/>
      <c r="I1247" s="66"/>
      <c r="J1247" s="66"/>
      <c r="K1247" s="66"/>
      <c r="L1247" s="66"/>
      <c r="M1247" s="66"/>
      <c r="N1247" s="66"/>
      <c r="O1247" s="66" t="s">
        <v>835</v>
      </c>
      <c r="P1247" s="66"/>
      <c r="Q1247" s="66"/>
      <c r="R1247" s="66"/>
      <c r="S1247" s="66"/>
    </row>
    <row r="1248" spans="1:19" x14ac:dyDescent="0.25">
      <c r="A1248" s="15">
        <v>59</v>
      </c>
      <c r="B1248" s="66"/>
      <c r="C1248" s="66"/>
      <c r="D1248" s="66"/>
      <c r="E1248" s="66"/>
      <c r="F1248" s="66"/>
      <c r="G1248" s="66"/>
      <c r="H1248" s="66"/>
      <c r="I1248" s="66"/>
      <c r="J1248" s="66"/>
      <c r="K1248" s="66"/>
      <c r="L1248" s="66"/>
      <c r="M1248" s="66"/>
      <c r="N1248" s="66"/>
      <c r="O1248" s="66" t="s">
        <v>842</v>
      </c>
      <c r="P1248" s="66"/>
      <c r="Q1248" s="66"/>
      <c r="R1248" s="66"/>
      <c r="S1248" s="66"/>
    </row>
    <row r="1249" spans="1:19" x14ac:dyDescent="0.25">
      <c r="A1249" s="15">
        <v>59</v>
      </c>
      <c r="B1249" s="66"/>
      <c r="C1249" s="66" t="s">
        <v>77</v>
      </c>
      <c r="D1249" s="66"/>
      <c r="E1249" s="66" t="s">
        <v>763</v>
      </c>
      <c r="F1249" s="66">
        <v>6</v>
      </c>
      <c r="G1249" s="66"/>
      <c r="H1249" s="66">
        <v>7</v>
      </c>
      <c r="I1249" s="66">
        <v>7.666666666666667</v>
      </c>
      <c r="J1249" s="66" t="s">
        <v>850</v>
      </c>
      <c r="K1249" s="66"/>
      <c r="L1249" s="66"/>
      <c r="M1249" s="66"/>
      <c r="N1249" s="66"/>
      <c r="O1249" s="66" t="s">
        <v>849</v>
      </c>
      <c r="P1249" s="66"/>
      <c r="Q1249" s="66">
        <v>1</v>
      </c>
      <c r="R1249" s="66">
        <v>323</v>
      </c>
      <c r="S1249" s="66"/>
    </row>
    <row r="1250" spans="1:19" x14ac:dyDescent="0.25">
      <c r="A1250" s="15">
        <v>59</v>
      </c>
      <c r="B1250" s="66"/>
      <c r="C1250" s="66">
        <v>2429</v>
      </c>
      <c r="D1250" s="66"/>
      <c r="E1250" s="66" t="s">
        <v>763</v>
      </c>
      <c r="F1250" s="66">
        <v>6</v>
      </c>
      <c r="G1250" s="66"/>
      <c r="H1250" s="66"/>
      <c r="I1250" s="66">
        <v>19.583333333333332</v>
      </c>
      <c r="J1250" s="66" t="s">
        <v>850</v>
      </c>
      <c r="K1250" s="66"/>
      <c r="L1250" s="66"/>
      <c r="M1250" s="66"/>
      <c r="N1250" s="66"/>
      <c r="O1250" s="66" t="s">
        <v>852</v>
      </c>
      <c r="P1250" s="66"/>
      <c r="Q1250" s="66">
        <v>1</v>
      </c>
      <c r="R1250" s="66">
        <v>510</v>
      </c>
      <c r="S1250" s="66"/>
    </row>
    <row r="1251" spans="1:19" x14ac:dyDescent="0.25">
      <c r="A1251" s="15">
        <v>59</v>
      </c>
      <c r="B1251" s="66"/>
      <c r="C1251" s="66">
        <v>2429</v>
      </c>
      <c r="D1251" s="66"/>
      <c r="E1251" s="66" t="s">
        <v>763</v>
      </c>
      <c r="F1251" s="66">
        <v>1</v>
      </c>
      <c r="G1251" s="66"/>
      <c r="H1251" s="66" t="e">
        <v>#N/A</v>
      </c>
      <c r="I1251" s="66"/>
      <c r="J1251" s="66" t="s">
        <v>870</v>
      </c>
      <c r="K1251" s="66" t="s">
        <v>757</v>
      </c>
      <c r="L1251" s="66" t="s">
        <v>757</v>
      </c>
      <c r="M1251" s="66" t="s">
        <v>757</v>
      </c>
      <c r="N1251" s="66" t="s">
        <v>757</v>
      </c>
      <c r="O1251" s="66" t="s">
        <v>869</v>
      </c>
      <c r="P1251" s="66"/>
      <c r="Q1251" s="66">
        <v>1</v>
      </c>
      <c r="R1251" s="66">
        <v>742</v>
      </c>
      <c r="S1251" s="66"/>
    </row>
    <row r="1252" spans="1:19" x14ac:dyDescent="0.25">
      <c r="A1252" s="15">
        <v>59</v>
      </c>
      <c r="B1252" s="66"/>
      <c r="C1252" s="66">
        <v>2429</v>
      </c>
      <c r="D1252" s="66"/>
      <c r="E1252" s="66" t="s">
        <v>763</v>
      </c>
      <c r="F1252" s="66">
        <v>0</v>
      </c>
      <c r="G1252" s="66"/>
      <c r="H1252" s="66">
        <v>3</v>
      </c>
      <c r="I1252" s="66" t="e">
        <v>#N/A</v>
      </c>
      <c r="J1252" s="66" t="s">
        <v>870</v>
      </c>
      <c r="K1252" s="66"/>
      <c r="L1252" s="66"/>
      <c r="M1252" s="66"/>
      <c r="N1252" s="66"/>
      <c r="O1252" s="66" t="s">
        <v>882</v>
      </c>
      <c r="P1252" s="66"/>
      <c r="Q1252" s="66">
        <v>1</v>
      </c>
      <c r="R1252" s="66">
        <v>969</v>
      </c>
      <c r="S1252" s="66"/>
    </row>
    <row r="1253" spans="1:19" x14ac:dyDescent="0.25">
      <c r="A1253" s="15">
        <v>59</v>
      </c>
      <c r="B1253" s="66"/>
      <c r="C1253" s="66">
        <v>2429</v>
      </c>
      <c r="D1253" s="66"/>
      <c r="E1253" s="66" t="s">
        <v>763</v>
      </c>
      <c r="F1253" s="66">
        <v>3</v>
      </c>
      <c r="G1253" s="66"/>
      <c r="H1253" s="66">
        <v>3</v>
      </c>
      <c r="I1253" s="66" t="e">
        <v>#N/A</v>
      </c>
      <c r="J1253" s="66" t="s">
        <v>870</v>
      </c>
      <c r="K1253" s="66"/>
      <c r="L1253" s="66"/>
      <c r="M1253" s="66"/>
      <c r="N1253" s="66"/>
      <c r="O1253" s="66" t="s">
        <v>894</v>
      </c>
      <c r="P1253" s="66"/>
      <c r="Q1253" s="66">
        <v>1</v>
      </c>
      <c r="R1253" s="66">
        <v>1196</v>
      </c>
      <c r="S1253" s="66"/>
    </row>
    <row r="1254" spans="1:19" x14ac:dyDescent="0.25">
      <c r="A1254" s="15">
        <v>59</v>
      </c>
      <c r="B1254" s="66"/>
      <c r="C1254" s="66">
        <v>2429</v>
      </c>
      <c r="D1254" s="66"/>
      <c r="E1254" s="66" t="s">
        <v>763</v>
      </c>
      <c r="F1254" s="66">
        <v>3</v>
      </c>
      <c r="G1254" s="66"/>
      <c r="H1254" s="66" t="e">
        <v>#N/A</v>
      </c>
      <c r="I1254" s="66"/>
      <c r="J1254" s="66" t="s">
        <v>870</v>
      </c>
      <c r="K1254" s="66"/>
      <c r="L1254" s="66"/>
      <c r="M1254" s="66"/>
      <c r="N1254" s="66"/>
      <c r="O1254" s="66" t="s">
        <v>906</v>
      </c>
      <c r="P1254" s="66"/>
      <c r="Q1254" s="66">
        <v>1</v>
      </c>
      <c r="R1254" s="66">
        <v>1303</v>
      </c>
      <c r="S1254" s="66"/>
    </row>
    <row r="1255" spans="1:19" x14ac:dyDescent="0.25">
      <c r="A1255" s="15">
        <v>59</v>
      </c>
      <c r="B1255" s="66"/>
      <c r="C1255" s="66">
        <v>2429</v>
      </c>
      <c r="D1255" s="66"/>
      <c r="E1255" s="66" t="s">
        <v>763</v>
      </c>
      <c r="F1255" s="66">
        <v>5</v>
      </c>
      <c r="G1255" s="66"/>
      <c r="H1255" s="66" t="e">
        <v>#N/A</v>
      </c>
      <c r="I1255" s="66"/>
      <c r="J1255" s="66" t="s">
        <v>870</v>
      </c>
      <c r="K1255" s="66"/>
      <c r="L1255" s="66"/>
      <c r="M1255" s="66"/>
      <c r="N1255" s="66"/>
      <c r="O1255" s="66" t="s">
        <v>908</v>
      </c>
      <c r="P1255" s="66"/>
      <c r="Q1255" s="66">
        <v>1</v>
      </c>
      <c r="R1255" s="66">
        <v>1490</v>
      </c>
      <c r="S1255" s="66"/>
    </row>
    <row r="1256" spans="1:19" x14ac:dyDescent="0.25">
      <c r="A1256" s="15">
        <v>60</v>
      </c>
      <c r="B1256" s="66"/>
      <c r="C1256" s="66"/>
      <c r="D1256" s="66"/>
      <c r="E1256" s="66"/>
      <c r="F1256" s="66"/>
      <c r="G1256" s="66"/>
      <c r="H1256" s="66"/>
      <c r="I1256" s="66"/>
      <c r="J1256" s="66"/>
      <c r="K1256" s="66"/>
      <c r="L1256" s="66"/>
      <c r="M1256" s="66"/>
      <c r="N1256" s="66"/>
      <c r="O1256" s="66"/>
      <c r="P1256" s="66"/>
      <c r="Q1256" s="66"/>
      <c r="R1256" s="66"/>
      <c r="S1256" s="66"/>
    </row>
    <row r="1257" spans="1:19" x14ac:dyDescent="0.25">
      <c r="A1257" s="15">
        <v>60</v>
      </c>
      <c r="B1257" s="66"/>
      <c r="C1257" s="66"/>
      <c r="D1257" s="66"/>
      <c r="E1257" s="66"/>
      <c r="F1257" s="66"/>
      <c r="G1257" s="66"/>
      <c r="H1257" s="66"/>
      <c r="I1257" s="66"/>
      <c r="J1257" s="66"/>
      <c r="K1257" s="66"/>
      <c r="L1257" s="66"/>
      <c r="M1257" s="66"/>
      <c r="N1257" s="66"/>
      <c r="O1257" s="66" t="s">
        <v>820</v>
      </c>
      <c r="P1257" s="66"/>
      <c r="Q1257" s="66"/>
      <c r="R1257" s="66"/>
      <c r="S1257" s="66"/>
    </row>
    <row r="1258" spans="1:19" x14ac:dyDescent="0.25">
      <c r="A1258" s="15">
        <v>60</v>
      </c>
      <c r="B1258" s="66"/>
      <c r="C1258" s="66"/>
      <c r="D1258" s="66"/>
      <c r="E1258" s="66"/>
      <c r="F1258" s="66"/>
      <c r="G1258" s="66"/>
      <c r="H1258" s="66"/>
      <c r="I1258" s="66"/>
      <c r="J1258" s="66"/>
      <c r="K1258" s="66"/>
      <c r="L1258" s="66"/>
      <c r="M1258" s="66"/>
      <c r="N1258" s="66"/>
      <c r="O1258" s="66" t="s">
        <v>832</v>
      </c>
      <c r="P1258" s="66"/>
      <c r="Q1258" s="66"/>
      <c r="R1258" s="66"/>
      <c r="S1258" s="66"/>
    </row>
    <row r="1259" spans="1:19" x14ac:dyDescent="0.25">
      <c r="A1259" s="15">
        <v>60</v>
      </c>
      <c r="B1259" s="66"/>
      <c r="C1259" s="66"/>
      <c r="D1259" s="66"/>
      <c r="E1259" s="66"/>
      <c r="F1259" s="66"/>
      <c r="G1259" s="66"/>
      <c r="H1259" s="66"/>
      <c r="I1259" s="66"/>
      <c r="J1259" s="66"/>
      <c r="K1259" s="66"/>
      <c r="L1259" s="66"/>
      <c r="M1259" s="66"/>
      <c r="N1259" s="66"/>
      <c r="O1259" s="66" t="s">
        <v>842</v>
      </c>
      <c r="P1259" s="66"/>
      <c r="Q1259" s="66"/>
      <c r="R1259" s="66"/>
      <c r="S1259" s="66"/>
    </row>
    <row r="1260" spans="1:19" x14ac:dyDescent="0.25">
      <c r="A1260" s="15">
        <v>60</v>
      </c>
      <c r="B1260" s="66"/>
      <c r="C1260" s="66" t="s">
        <v>77</v>
      </c>
      <c r="D1260" s="66"/>
      <c r="E1260" s="66" t="s">
        <v>763</v>
      </c>
      <c r="F1260" s="66">
        <v>14</v>
      </c>
      <c r="G1260" s="66"/>
      <c r="H1260" s="66">
        <v>7</v>
      </c>
      <c r="I1260" s="66">
        <v>7.666666666666667</v>
      </c>
      <c r="J1260" s="66" t="s">
        <v>850</v>
      </c>
      <c r="K1260" s="66"/>
      <c r="L1260" s="66"/>
      <c r="M1260" s="66"/>
      <c r="N1260" s="66"/>
      <c r="O1260" s="66" t="s">
        <v>849</v>
      </c>
      <c r="P1260" s="66"/>
      <c r="Q1260" s="66">
        <v>1</v>
      </c>
      <c r="R1260" s="66">
        <v>325</v>
      </c>
      <c r="S1260" s="66"/>
    </row>
    <row r="1261" spans="1:19" x14ac:dyDescent="0.25">
      <c r="A1261" s="15">
        <v>60</v>
      </c>
      <c r="B1261" s="66"/>
      <c r="C1261" s="66">
        <v>2429</v>
      </c>
      <c r="D1261" s="66"/>
      <c r="E1261" s="66" t="s">
        <v>763</v>
      </c>
      <c r="F1261" s="66">
        <v>14</v>
      </c>
      <c r="G1261" s="66"/>
      <c r="H1261" s="66"/>
      <c r="I1261" s="66">
        <v>19.583333333333332</v>
      </c>
      <c r="J1261" s="66" t="s">
        <v>850</v>
      </c>
      <c r="K1261" s="66"/>
      <c r="L1261" s="66"/>
      <c r="M1261" s="66"/>
      <c r="N1261" s="66"/>
      <c r="O1261" s="66" t="s">
        <v>852</v>
      </c>
      <c r="P1261" s="66"/>
      <c r="Q1261" s="66">
        <v>1</v>
      </c>
      <c r="R1261" s="66">
        <v>512</v>
      </c>
      <c r="S1261" s="66"/>
    </row>
    <row r="1262" spans="1:19" x14ac:dyDescent="0.25">
      <c r="A1262" s="15">
        <v>60</v>
      </c>
      <c r="B1262" s="66"/>
      <c r="C1262" s="66">
        <v>2429</v>
      </c>
      <c r="D1262" s="66"/>
      <c r="E1262" s="66" t="s">
        <v>763</v>
      </c>
      <c r="F1262" s="66">
        <v>1</v>
      </c>
      <c r="G1262" s="66"/>
      <c r="H1262" s="66" t="e">
        <v>#N/A</v>
      </c>
      <c r="I1262" s="66"/>
      <c r="J1262" s="66" t="s">
        <v>870</v>
      </c>
      <c r="K1262" s="66" t="s">
        <v>757</v>
      </c>
      <c r="L1262" s="66" t="s">
        <v>757</v>
      </c>
      <c r="M1262" s="66" t="s">
        <v>757</v>
      </c>
      <c r="N1262" s="66" t="s">
        <v>757</v>
      </c>
      <c r="O1262" s="66" t="s">
        <v>869</v>
      </c>
      <c r="P1262" s="66"/>
      <c r="Q1262" s="66">
        <v>1</v>
      </c>
      <c r="R1262" s="66">
        <v>744</v>
      </c>
      <c r="S1262" s="66"/>
    </row>
    <row r="1263" spans="1:19" x14ac:dyDescent="0.25">
      <c r="A1263" s="15">
        <v>60</v>
      </c>
      <c r="B1263" s="66"/>
      <c r="C1263" s="66">
        <v>2429</v>
      </c>
      <c r="D1263" s="66"/>
      <c r="E1263" s="66" t="s">
        <v>763</v>
      </c>
      <c r="F1263" s="66">
        <v>0</v>
      </c>
      <c r="G1263" s="66"/>
      <c r="H1263" s="66">
        <v>3</v>
      </c>
      <c r="I1263" s="66" t="e">
        <v>#N/A</v>
      </c>
      <c r="J1263" s="66" t="s">
        <v>870</v>
      </c>
      <c r="K1263" s="66"/>
      <c r="L1263" s="66"/>
      <c r="M1263" s="66"/>
      <c r="N1263" s="66"/>
      <c r="O1263" s="66" t="s">
        <v>882</v>
      </c>
      <c r="P1263" s="66"/>
      <c r="Q1263" s="66">
        <v>1</v>
      </c>
      <c r="R1263" s="66">
        <v>971</v>
      </c>
      <c r="S1263" s="66"/>
    </row>
    <row r="1264" spans="1:19" x14ac:dyDescent="0.25">
      <c r="A1264" s="15">
        <v>60</v>
      </c>
      <c r="B1264" s="66"/>
      <c r="C1264" s="66">
        <v>2429</v>
      </c>
      <c r="D1264" s="66"/>
      <c r="E1264" s="66" t="s">
        <v>763</v>
      </c>
      <c r="F1264" s="66">
        <v>3</v>
      </c>
      <c r="G1264" s="66"/>
      <c r="H1264" s="66">
        <v>3</v>
      </c>
      <c r="I1264" s="66" t="e">
        <v>#N/A</v>
      </c>
      <c r="J1264" s="66" t="s">
        <v>870</v>
      </c>
      <c r="K1264" s="66"/>
      <c r="L1264" s="66"/>
      <c r="M1264" s="66"/>
      <c r="N1264" s="66"/>
      <c r="O1264" s="66" t="s">
        <v>894</v>
      </c>
      <c r="P1264" s="66"/>
      <c r="Q1264" s="66">
        <v>1</v>
      </c>
      <c r="R1264" s="66">
        <v>1198</v>
      </c>
      <c r="S1264" s="66"/>
    </row>
    <row r="1265" spans="1:19" x14ac:dyDescent="0.25">
      <c r="A1265" s="15">
        <v>60</v>
      </c>
      <c r="B1265" s="66"/>
      <c r="C1265" s="66">
        <v>2429</v>
      </c>
      <c r="D1265" s="66"/>
      <c r="E1265" s="66" t="s">
        <v>763</v>
      </c>
      <c r="F1265" s="66">
        <v>3</v>
      </c>
      <c r="G1265" s="66"/>
      <c r="H1265" s="66" t="e">
        <v>#N/A</v>
      </c>
      <c r="I1265" s="66"/>
      <c r="J1265" s="66" t="s">
        <v>870</v>
      </c>
      <c r="K1265" s="66"/>
      <c r="L1265" s="66"/>
      <c r="M1265" s="66"/>
      <c r="N1265" s="66"/>
      <c r="O1265" s="66" t="s">
        <v>906</v>
      </c>
      <c r="P1265" s="66"/>
      <c r="Q1265" s="66">
        <v>1</v>
      </c>
      <c r="R1265" s="66">
        <v>1305</v>
      </c>
      <c r="S1265" s="66"/>
    </row>
    <row r="1266" spans="1:19" x14ac:dyDescent="0.25">
      <c r="A1266" s="15">
        <v>60</v>
      </c>
      <c r="B1266" s="66"/>
      <c r="C1266" s="66">
        <v>2429</v>
      </c>
      <c r="D1266" s="66"/>
      <c r="E1266" s="66" t="s">
        <v>763</v>
      </c>
      <c r="F1266" s="66">
        <v>5</v>
      </c>
      <c r="G1266" s="66"/>
      <c r="H1266" s="66" t="e">
        <v>#N/A</v>
      </c>
      <c r="I1266" s="66"/>
      <c r="J1266" s="66" t="s">
        <v>870</v>
      </c>
      <c r="K1266" s="66"/>
      <c r="L1266" s="66"/>
      <c r="M1266" s="66"/>
      <c r="N1266" s="66"/>
      <c r="O1266" s="66" t="s">
        <v>908</v>
      </c>
      <c r="P1266" s="66"/>
      <c r="Q1266" s="66">
        <v>1</v>
      </c>
      <c r="R1266" s="66">
        <v>1492</v>
      </c>
      <c r="S1266" s="66"/>
    </row>
    <row r="1267" spans="1:19" x14ac:dyDescent="0.25">
      <c r="A1267" s="15">
        <v>61</v>
      </c>
      <c r="B1267" s="66"/>
      <c r="C1267" s="66"/>
      <c r="D1267" s="66"/>
      <c r="E1267" s="66"/>
      <c r="F1267" s="66"/>
      <c r="G1267" s="66"/>
      <c r="H1267" s="66"/>
      <c r="I1267" s="66"/>
      <c r="J1267" s="66"/>
      <c r="K1267" s="66"/>
      <c r="L1267" s="66"/>
      <c r="M1267" s="66"/>
      <c r="N1267" s="66"/>
      <c r="O1267" s="66"/>
      <c r="P1267" s="66"/>
      <c r="Q1267" s="66"/>
      <c r="R1267" s="66"/>
      <c r="S1267" s="66"/>
    </row>
    <row r="1268" spans="1:19" x14ac:dyDescent="0.25">
      <c r="A1268" s="15">
        <v>61</v>
      </c>
      <c r="B1268" s="66"/>
      <c r="C1268" s="66"/>
      <c r="D1268" s="66"/>
      <c r="E1268" s="66"/>
      <c r="F1268" s="66"/>
      <c r="G1268" s="66"/>
      <c r="H1268" s="66"/>
      <c r="I1268" s="66"/>
      <c r="J1268" s="66"/>
      <c r="K1268" s="66"/>
      <c r="L1268" s="66"/>
      <c r="M1268" s="66"/>
      <c r="N1268" s="66"/>
      <c r="O1268" s="66" t="s">
        <v>821</v>
      </c>
      <c r="P1268" s="66"/>
      <c r="Q1268" s="66"/>
      <c r="R1268" s="66"/>
      <c r="S1268" s="66"/>
    </row>
    <row r="1269" spans="1:19" x14ac:dyDescent="0.25">
      <c r="A1269" s="15">
        <v>61</v>
      </c>
      <c r="B1269" s="66"/>
      <c r="C1269" s="66"/>
      <c r="D1269" s="66"/>
      <c r="E1269" s="66"/>
      <c r="F1269" s="66"/>
      <c r="G1269" s="66"/>
      <c r="H1269" s="66"/>
      <c r="I1269" s="66"/>
      <c r="J1269" s="66"/>
      <c r="K1269" s="66"/>
      <c r="L1269" s="66"/>
      <c r="M1269" s="66"/>
      <c r="N1269" s="66"/>
      <c r="O1269" s="66" t="s">
        <v>835</v>
      </c>
      <c r="P1269" s="66"/>
      <c r="Q1269" s="66"/>
      <c r="R1269" s="66"/>
      <c r="S1269" s="66"/>
    </row>
    <row r="1270" spans="1:19" x14ac:dyDescent="0.25">
      <c r="A1270" s="15">
        <v>61</v>
      </c>
      <c r="B1270" s="66"/>
      <c r="C1270" s="66"/>
      <c r="D1270" s="66"/>
      <c r="E1270" s="66"/>
      <c r="F1270" s="66"/>
      <c r="G1270" s="66"/>
      <c r="H1270" s="66"/>
      <c r="I1270" s="66"/>
      <c r="J1270" s="66"/>
      <c r="K1270" s="66"/>
      <c r="L1270" s="66"/>
      <c r="M1270" s="66"/>
      <c r="N1270" s="66"/>
      <c r="O1270" s="66" t="s">
        <v>842</v>
      </c>
      <c r="P1270" s="66"/>
      <c r="Q1270" s="66"/>
      <c r="R1270" s="66"/>
      <c r="S1270" s="66"/>
    </row>
    <row r="1271" spans="1:19" x14ac:dyDescent="0.25">
      <c r="A1271" s="15">
        <v>61</v>
      </c>
      <c r="B1271" s="66"/>
      <c r="C1271" s="66" t="s">
        <v>77</v>
      </c>
      <c r="D1271" s="66"/>
      <c r="E1271" s="66" t="s">
        <v>763</v>
      </c>
      <c r="F1271" s="66">
        <v>6</v>
      </c>
      <c r="G1271" s="66"/>
      <c r="H1271" s="66">
        <v>7</v>
      </c>
      <c r="I1271" s="66">
        <v>7.666666666666667</v>
      </c>
      <c r="J1271" s="66" t="s">
        <v>850</v>
      </c>
      <c r="K1271" s="66"/>
      <c r="L1271" s="66"/>
      <c r="M1271" s="66"/>
      <c r="N1271" s="66"/>
      <c r="O1271" s="66" t="s">
        <v>849</v>
      </c>
      <c r="P1271" s="66"/>
      <c r="Q1271" s="66">
        <v>1</v>
      </c>
      <c r="R1271" s="66">
        <v>326</v>
      </c>
      <c r="S1271" s="66"/>
    </row>
    <row r="1272" spans="1:19" x14ac:dyDescent="0.25">
      <c r="A1272" s="15">
        <v>61</v>
      </c>
      <c r="B1272" s="66"/>
      <c r="C1272" s="66">
        <v>2429</v>
      </c>
      <c r="D1272" s="66"/>
      <c r="E1272" s="66" t="s">
        <v>763</v>
      </c>
      <c r="F1272" s="66">
        <v>6</v>
      </c>
      <c r="G1272" s="66"/>
      <c r="H1272" s="66"/>
      <c r="I1272" s="66">
        <v>19.583333333333332</v>
      </c>
      <c r="J1272" s="66" t="s">
        <v>850</v>
      </c>
      <c r="K1272" s="66"/>
      <c r="L1272" s="66"/>
      <c r="M1272" s="66"/>
      <c r="N1272" s="66"/>
      <c r="O1272" s="66" t="s">
        <v>852</v>
      </c>
      <c r="P1272" s="66"/>
      <c r="Q1272" s="66">
        <v>1</v>
      </c>
      <c r="R1272" s="66">
        <v>513</v>
      </c>
      <c r="S1272" s="66"/>
    </row>
    <row r="1273" spans="1:19" x14ac:dyDescent="0.25">
      <c r="A1273" s="15">
        <v>61</v>
      </c>
      <c r="B1273" s="66"/>
      <c r="C1273" s="66">
        <v>2429</v>
      </c>
      <c r="D1273" s="66"/>
      <c r="E1273" s="66" t="s">
        <v>763</v>
      </c>
      <c r="F1273" s="66">
        <v>1</v>
      </c>
      <c r="G1273" s="66"/>
      <c r="H1273" s="66" t="e">
        <v>#N/A</v>
      </c>
      <c r="I1273" s="66"/>
      <c r="J1273" s="66" t="s">
        <v>870</v>
      </c>
      <c r="K1273" s="66" t="s">
        <v>757</v>
      </c>
      <c r="L1273" s="66" t="s">
        <v>757</v>
      </c>
      <c r="M1273" s="66" t="s">
        <v>757</v>
      </c>
      <c r="N1273" s="66" t="s">
        <v>757</v>
      </c>
      <c r="O1273" s="66" t="s">
        <v>869</v>
      </c>
      <c r="P1273" s="66"/>
      <c r="Q1273" s="66">
        <v>1</v>
      </c>
      <c r="R1273" s="66">
        <v>745</v>
      </c>
      <c r="S1273" s="66"/>
    </row>
    <row r="1274" spans="1:19" x14ac:dyDescent="0.25">
      <c r="A1274" s="15">
        <v>61</v>
      </c>
      <c r="B1274" s="66"/>
      <c r="C1274" s="66">
        <v>2429</v>
      </c>
      <c r="D1274" s="66"/>
      <c r="E1274" s="66" t="s">
        <v>763</v>
      </c>
      <c r="F1274" s="66">
        <v>0</v>
      </c>
      <c r="G1274" s="66"/>
      <c r="H1274" s="66">
        <v>3</v>
      </c>
      <c r="I1274" s="66" t="e">
        <v>#N/A</v>
      </c>
      <c r="J1274" s="66" t="s">
        <v>870</v>
      </c>
      <c r="K1274" s="66"/>
      <c r="L1274" s="66"/>
      <c r="M1274" s="66"/>
      <c r="N1274" s="66"/>
      <c r="O1274" s="66" t="s">
        <v>882</v>
      </c>
      <c r="P1274" s="66"/>
      <c r="Q1274" s="66">
        <v>1</v>
      </c>
      <c r="R1274" s="66">
        <v>972</v>
      </c>
      <c r="S1274" s="66"/>
    </row>
    <row r="1275" spans="1:19" x14ac:dyDescent="0.25">
      <c r="A1275" s="15">
        <v>61</v>
      </c>
      <c r="B1275" s="66"/>
      <c r="C1275" s="66">
        <v>2429</v>
      </c>
      <c r="D1275" s="66"/>
      <c r="E1275" s="66" t="s">
        <v>763</v>
      </c>
      <c r="F1275" s="66">
        <v>3</v>
      </c>
      <c r="G1275" s="66"/>
      <c r="H1275" s="66">
        <v>3</v>
      </c>
      <c r="I1275" s="66" t="e">
        <v>#N/A</v>
      </c>
      <c r="J1275" s="66" t="s">
        <v>870</v>
      </c>
      <c r="K1275" s="66"/>
      <c r="L1275" s="66"/>
      <c r="M1275" s="66"/>
      <c r="N1275" s="66"/>
      <c r="O1275" s="66" t="s">
        <v>894</v>
      </c>
      <c r="P1275" s="66"/>
      <c r="Q1275" s="66">
        <v>1</v>
      </c>
      <c r="R1275" s="66">
        <v>1199</v>
      </c>
      <c r="S1275" s="66"/>
    </row>
    <row r="1276" spans="1:19" x14ac:dyDescent="0.25">
      <c r="A1276" s="15">
        <v>61</v>
      </c>
      <c r="B1276" s="66"/>
      <c r="C1276" s="66">
        <v>2429</v>
      </c>
      <c r="D1276" s="66"/>
      <c r="E1276" s="66" t="s">
        <v>763</v>
      </c>
      <c r="F1276" s="66">
        <v>3</v>
      </c>
      <c r="G1276" s="66"/>
      <c r="H1276" s="66" t="e">
        <v>#N/A</v>
      </c>
      <c r="I1276" s="66"/>
      <c r="J1276" s="66" t="s">
        <v>870</v>
      </c>
      <c r="K1276" s="66"/>
      <c r="L1276" s="66"/>
      <c r="M1276" s="66"/>
      <c r="N1276" s="66"/>
      <c r="O1276" s="66" t="s">
        <v>906</v>
      </c>
      <c r="P1276" s="66"/>
      <c r="Q1276" s="66">
        <v>1</v>
      </c>
      <c r="R1276" s="66">
        <v>1306</v>
      </c>
      <c r="S1276" s="66"/>
    </row>
    <row r="1277" spans="1:19" x14ac:dyDescent="0.25">
      <c r="A1277" s="15">
        <v>61</v>
      </c>
      <c r="B1277" s="66"/>
      <c r="C1277" s="66">
        <v>2429</v>
      </c>
      <c r="D1277" s="66"/>
      <c r="E1277" s="66" t="s">
        <v>763</v>
      </c>
      <c r="F1277" s="66">
        <v>5</v>
      </c>
      <c r="G1277" s="66"/>
      <c r="H1277" s="66" t="e">
        <v>#N/A</v>
      </c>
      <c r="I1277" s="66"/>
      <c r="J1277" s="66" t="s">
        <v>870</v>
      </c>
      <c r="K1277" s="66"/>
      <c r="L1277" s="66"/>
      <c r="M1277" s="66"/>
      <c r="N1277" s="66"/>
      <c r="O1277" s="66" t="s">
        <v>908</v>
      </c>
      <c r="P1277" s="66"/>
      <c r="Q1277" s="66">
        <v>1</v>
      </c>
      <c r="R1277" s="66">
        <v>1493</v>
      </c>
      <c r="S1277" s="66"/>
    </row>
    <row r="1278" spans="1:19" x14ac:dyDescent="0.25">
      <c r="A1278" s="15">
        <v>62</v>
      </c>
      <c r="B1278" s="66"/>
      <c r="C1278" s="66"/>
      <c r="D1278" s="66"/>
      <c r="E1278" s="66"/>
      <c r="F1278" s="66"/>
      <c r="G1278" s="66"/>
      <c r="H1278" s="66"/>
      <c r="I1278" s="66"/>
      <c r="J1278" s="66"/>
      <c r="K1278" s="66"/>
      <c r="L1278" s="66"/>
      <c r="M1278" s="66"/>
      <c r="N1278" s="66"/>
      <c r="O1278" s="66"/>
      <c r="P1278" s="66"/>
      <c r="Q1278" s="66"/>
      <c r="R1278" s="66"/>
      <c r="S1278" s="66"/>
    </row>
    <row r="1279" spans="1:19" x14ac:dyDescent="0.25">
      <c r="A1279" s="15">
        <v>62</v>
      </c>
      <c r="B1279" s="66"/>
      <c r="C1279" s="66"/>
      <c r="D1279" s="66"/>
      <c r="E1279" s="66"/>
      <c r="F1279" s="66"/>
      <c r="G1279" s="66"/>
      <c r="H1279" s="66"/>
      <c r="I1279" s="66"/>
      <c r="J1279" s="66"/>
      <c r="K1279" s="66"/>
      <c r="L1279" s="66"/>
      <c r="M1279" s="66"/>
      <c r="N1279" s="66"/>
      <c r="O1279" s="66" t="s">
        <v>822</v>
      </c>
      <c r="P1279" s="66"/>
      <c r="Q1279" s="66"/>
      <c r="R1279" s="66"/>
      <c r="S1279" s="66"/>
    </row>
    <row r="1280" spans="1:19" x14ac:dyDescent="0.25">
      <c r="A1280" s="15">
        <v>62</v>
      </c>
      <c r="B1280" s="66"/>
      <c r="C1280" s="66"/>
      <c r="D1280" s="66"/>
      <c r="E1280" s="66"/>
      <c r="F1280" s="66"/>
      <c r="G1280" s="66"/>
      <c r="H1280" s="66"/>
      <c r="I1280" s="66"/>
      <c r="J1280" s="66"/>
      <c r="K1280" s="66"/>
      <c r="L1280" s="66"/>
      <c r="M1280" s="66"/>
      <c r="N1280" s="66"/>
      <c r="O1280" s="66" t="s">
        <v>835</v>
      </c>
      <c r="P1280" s="66"/>
      <c r="Q1280" s="66"/>
      <c r="R1280" s="66"/>
      <c r="S1280" s="66"/>
    </row>
    <row r="1281" spans="1:19" x14ac:dyDescent="0.25">
      <c r="A1281" s="15">
        <v>62</v>
      </c>
      <c r="B1281" s="66"/>
      <c r="C1281" s="66"/>
      <c r="D1281" s="66"/>
      <c r="E1281" s="66"/>
      <c r="F1281" s="66"/>
      <c r="G1281" s="66"/>
      <c r="H1281" s="66"/>
      <c r="I1281" s="66"/>
      <c r="J1281" s="66"/>
      <c r="K1281" s="66"/>
      <c r="L1281" s="66"/>
      <c r="M1281" s="66"/>
      <c r="N1281" s="66"/>
      <c r="O1281" s="66" t="s">
        <v>842</v>
      </c>
      <c r="P1281" s="66"/>
      <c r="Q1281" s="66"/>
      <c r="R1281" s="66"/>
      <c r="S1281" s="66"/>
    </row>
    <row r="1282" spans="1:19" x14ac:dyDescent="0.25">
      <c r="A1282" s="15">
        <v>62</v>
      </c>
      <c r="B1282" s="66"/>
      <c r="C1282" s="66" t="s">
        <v>77</v>
      </c>
      <c r="D1282" s="66"/>
      <c r="E1282" s="66" t="s">
        <v>763</v>
      </c>
      <c r="F1282" s="66">
        <v>6</v>
      </c>
      <c r="G1282" s="66"/>
      <c r="H1282" s="66">
        <v>7</v>
      </c>
      <c r="I1282" s="66">
        <v>7.666666666666667</v>
      </c>
      <c r="J1282" s="66" t="s">
        <v>850</v>
      </c>
      <c r="K1282" s="66"/>
      <c r="L1282" s="66"/>
      <c r="M1282" s="66"/>
      <c r="N1282" s="66"/>
      <c r="O1282" s="66" t="s">
        <v>849</v>
      </c>
      <c r="P1282" s="66"/>
      <c r="Q1282" s="66">
        <v>1</v>
      </c>
      <c r="R1282" s="66">
        <v>327</v>
      </c>
      <c r="S1282" s="66"/>
    </row>
    <row r="1283" spans="1:19" x14ac:dyDescent="0.25">
      <c r="A1283" s="15">
        <v>62</v>
      </c>
      <c r="B1283" s="66"/>
      <c r="C1283" s="66">
        <v>2429</v>
      </c>
      <c r="D1283" s="66"/>
      <c r="E1283" s="66" t="s">
        <v>763</v>
      </c>
      <c r="F1283" s="66">
        <v>6</v>
      </c>
      <c r="G1283" s="66"/>
      <c r="H1283" s="66"/>
      <c r="I1283" s="66">
        <v>19.583333333333332</v>
      </c>
      <c r="J1283" s="66" t="s">
        <v>850</v>
      </c>
      <c r="K1283" s="66"/>
      <c r="L1283" s="66"/>
      <c r="M1283" s="66"/>
      <c r="N1283" s="66"/>
      <c r="O1283" s="66" t="s">
        <v>852</v>
      </c>
      <c r="P1283" s="66"/>
      <c r="Q1283" s="66">
        <v>1</v>
      </c>
      <c r="R1283" s="66">
        <v>514</v>
      </c>
      <c r="S1283" s="66"/>
    </row>
    <row r="1284" spans="1:19" x14ac:dyDescent="0.25">
      <c r="A1284" s="15">
        <v>62</v>
      </c>
      <c r="B1284" s="66"/>
      <c r="C1284" s="66">
        <v>2429</v>
      </c>
      <c r="D1284" s="66"/>
      <c r="E1284" s="66" t="s">
        <v>763</v>
      </c>
      <c r="F1284" s="66">
        <v>1</v>
      </c>
      <c r="G1284" s="66"/>
      <c r="H1284" s="66" t="e">
        <v>#N/A</v>
      </c>
      <c r="I1284" s="66"/>
      <c r="J1284" s="66" t="s">
        <v>870</v>
      </c>
      <c r="K1284" s="66" t="s">
        <v>757</v>
      </c>
      <c r="L1284" s="66" t="s">
        <v>757</v>
      </c>
      <c r="M1284" s="66" t="s">
        <v>757</v>
      </c>
      <c r="N1284" s="66" t="s">
        <v>757</v>
      </c>
      <c r="O1284" s="66" t="s">
        <v>869</v>
      </c>
      <c r="P1284" s="66"/>
      <c r="Q1284" s="66">
        <v>1</v>
      </c>
      <c r="R1284" s="66">
        <v>746</v>
      </c>
      <c r="S1284" s="66"/>
    </row>
    <row r="1285" spans="1:19" x14ac:dyDescent="0.25">
      <c r="A1285" s="15">
        <v>62</v>
      </c>
      <c r="B1285" s="66"/>
      <c r="C1285" s="66">
        <v>2429</v>
      </c>
      <c r="D1285" s="66"/>
      <c r="E1285" s="66" t="s">
        <v>763</v>
      </c>
      <c r="F1285" s="66">
        <v>0</v>
      </c>
      <c r="G1285" s="66"/>
      <c r="H1285" s="66">
        <v>3</v>
      </c>
      <c r="I1285" s="66" t="e">
        <v>#N/A</v>
      </c>
      <c r="J1285" s="66" t="s">
        <v>870</v>
      </c>
      <c r="K1285" s="66"/>
      <c r="L1285" s="66"/>
      <c r="M1285" s="66"/>
      <c r="N1285" s="66"/>
      <c r="O1285" s="66" t="s">
        <v>882</v>
      </c>
      <c r="P1285" s="66"/>
      <c r="Q1285" s="66">
        <v>1</v>
      </c>
      <c r="R1285" s="66">
        <v>973</v>
      </c>
      <c r="S1285" s="66"/>
    </row>
    <row r="1286" spans="1:19" x14ac:dyDescent="0.25">
      <c r="A1286" s="15">
        <v>62</v>
      </c>
      <c r="B1286" s="66"/>
      <c r="C1286" s="66">
        <v>2429</v>
      </c>
      <c r="D1286" s="66"/>
      <c r="E1286" s="66" t="s">
        <v>763</v>
      </c>
      <c r="F1286" s="66">
        <v>3</v>
      </c>
      <c r="G1286" s="66"/>
      <c r="H1286" s="66">
        <v>3</v>
      </c>
      <c r="I1286" s="66" t="e">
        <v>#N/A</v>
      </c>
      <c r="J1286" s="66" t="s">
        <v>870</v>
      </c>
      <c r="K1286" s="66"/>
      <c r="L1286" s="66"/>
      <c r="M1286" s="66"/>
      <c r="N1286" s="66"/>
      <c r="O1286" s="66" t="s">
        <v>894</v>
      </c>
      <c r="P1286" s="66"/>
      <c r="Q1286" s="66">
        <v>1</v>
      </c>
      <c r="R1286" s="66">
        <v>1200</v>
      </c>
      <c r="S1286" s="66"/>
    </row>
    <row r="1287" spans="1:19" x14ac:dyDescent="0.25">
      <c r="A1287" s="15">
        <v>62</v>
      </c>
      <c r="B1287" s="66"/>
      <c r="C1287" s="66">
        <v>2429</v>
      </c>
      <c r="D1287" s="66"/>
      <c r="E1287" s="66" t="s">
        <v>763</v>
      </c>
      <c r="F1287" s="66">
        <v>3</v>
      </c>
      <c r="G1287" s="66"/>
      <c r="H1287" s="66" t="e">
        <v>#N/A</v>
      </c>
      <c r="I1287" s="66"/>
      <c r="J1287" s="66" t="s">
        <v>870</v>
      </c>
      <c r="K1287" s="66"/>
      <c r="L1287" s="66"/>
      <c r="M1287" s="66"/>
      <c r="N1287" s="66"/>
      <c r="O1287" s="66" t="s">
        <v>906</v>
      </c>
      <c r="P1287" s="66"/>
      <c r="Q1287" s="66">
        <v>1</v>
      </c>
      <c r="R1287" s="66">
        <v>1307</v>
      </c>
      <c r="S1287" s="66"/>
    </row>
    <row r="1288" spans="1:19" x14ac:dyDescent="0.25">
      <c r="A1288" s="15">
        <v>62</v>
      </c>
      <c r="B1288" s="66"/>
      <c r="C1288" s="66">
        <v>2429</v>
      </c>
      <c r="D1288" s="66"/>
      <c r="E1288" s="66" t="s">
        <v>763</v>
      </c>
      <c r="F1288" s="66">
        <v>5</v>
      </c>
      <c r="G1288" s="66"/>
      <c r="H1288" s="66" t="e">
        <v>#N/A</v>
      </c>
      <c r="I1288" s="66"/>
      <c r="J1288" s="66" t="s">
        <v>870</v>
      </c>
      <c r="K1288" s="66"/>
      <c r="L1288" s="66"/>
      <c r="M1288" s="66"/>
      <c r="N1288" s="66"/>
      <c r="O1288" s="66" t="s">
        <v>908</v>
      </c>
      <c r="P1288" s="66"/>
      <c r="Q1288" s="66">
        <v>1</v>
      </c>
      <c r="R1288" s="66">
        <v>1494</v>
      </c>
      <c r="S1288" s="66"/>
    </row>
    <row r="1289" spans="1:19" x14ac:dyDescent="0.25">
      <c r="A1289" s="15">
        <v>63</v>
      </c>
      <c r="B1289" s="66"/>
      <c r="C1289" s="66"/>
      <c r="D1289" s="66"/>
      <c r="E1289" s="66"/>
      <c r="F1289" s="66"/>
      <c r="G1289" s="66"/>
      <c r="H1289" s="66"/>
      <c r="I1289" s="66"/>
      <c r="J1289" s="66"/>
      <c r="K1289" s="66"/>
      <c r="L1289" s="66"/>
      <c r="M1289" s="66"/>
      <c r="N1289" s="66"/>
      <c r="O1289" s="66"/>
      <c r="P1289" s="66"/>
      <c r="Q1289" s="66"/>
      <c r="R1289" s="66"/>
      <c r="S1289" s="66"/>
    </row>
    <row r="1290" spans="1:19" x14ac:dyDescent="0.25">
      <c r="A1290" s="15">
        <v>63</v>
      </c>
      <c r="B1290" s="66"/>
      <c r="C1290" s="66"/>
      <c r="D1290" s="66"/>
      <c r="E1290" s="66"/>
      <c r="F1290" s="66"/>
      <c r="G1290" s="66"/>
      <c r="H1290" s="66"/>
      <c r="I1290" s="66"/>
      <c r="J1290" s="66"/>
      <c r="K1290" s="66"/>
      <c r="L1290" s="66"/>
      <c r="M1290" s="66"/>
      <c r="N1290" s="66"/>
      <c r="O1290" s="66" t="s">
        <v>823</v>
      </c>
      <c r="P1290" s="66"/>
      <c r="Q1290" s="66"/>
      <c r="R1290" s="66"/>
      <c r="S1290" s="66"/>
    </row>
    <row r="1291" spans="1:19" x14ac:dyDescent="0.25">
      <c r="A1291" s="15">
        <v>63</v>
      </c>
      <c r="B1291" s="66"/>
      <c r="C1291" s="66"/>
      <c r="D1291" s="66"/>
      <c r="E1291" s="66"/>
      <c r="F1291" s="66"/>
      <c r="G1291" s="66"/>
      <c r="H1291" s="66"/>
      <c r="I1291" s="66"/>
      <c r="J1291" s="66"/>
      <c r="K1291" s="66"/>
      <c r="L1291" s="66"/>
      <c r="M1291" s="66"/>
      <c r="N1291" s="66"/>
      <c r="O1291" s="66" t="s">
        <v>832</v>
      </c>
      <c r="P1291" s="66"/>
      <c r="Q1291" s="66"/>
      <c r="R1291" s="66"/>
      <c r="S1291" s="66"/>
    </row>
    <row r="1292" spans="1:19" x14ac:dyDescent="0.25">
      <c r="A1292" s="15">
        <v>63</v>
      </c>
      <c r="B1292" s="66"/>
      <c r="C1292" s="66"/>
      <c r="D1292" s="66"/>
      <c r="E1292" s="66"/>
      <c r="F1292" s="66"/>
      <c r="G1292" s="66"/>
      <c r="H1292" s="66"/>
      <c r="I1292" s="66"/>
      <c r="J1292" s="66"/>
      <c r="K1292" s="66"/>
      <c r="L1292" s="66"/>
      <c r="M1292" s="66"/>
      <c r="N1292" s="66"/>
      <c r="O1292" s="66" t="s">
        <v>842</v>
      </c>
      <c r="P1292" s="66"/>
      <c r="Q1292" s="66"/>
      <c r="R1292" s="66"/>
      <c r="S1292" s="66"/>
    </row>
    <row r="1293" spans="1:19" x14ac:dyDescent="0.25">
      <c r="A1293" s="15">
        <v>63</v>
      </c>
      <c r="B1293" s="66"/>
      <c r="C1293" s="66" t="s">
        <v>77</v>
      </c>
      <c r="D1293" s="66"/>
      <c r="E1293" s="66" t="s">
        <v>763</v>
      </c>
      <c r="F1293" s="66">
        <v>14</v>
      </c>
      <c r="G1293" s="66"/>
      <c r="H1293" s="66">
        <v>7</v>
      </c>
      <c r="I1293" s="66">
        <v>7.666666666666667</v>
      </c>
      <c r="J1293" s="66" t="s">
        <v>850</v>
      </c>
      <c r="K1293" s="66"/>
      <c r="L1293" s="66"/>
      <c r="M1293" s="66"/>
      <c r="N1293" s="66"/>
      <c r="O1293" s="66" t="s">
        <v>849</v>
      </c>
      <c r="P1293" s="66"/>
      <c r="Q1293" s="66">
        <v>1</v>
      </c>
      <c r="R1293" s="66">
        <v>328</v>
      </c>
      <c r="S1293" s="66"/>
    </row>
    <row r="1294" spans="1:19" x14ac:dyDescent="0.25">
      <c r="A1294" s="15">
        <v>63</v>
      </c>
      <c r="B1294" s="66"/>
      <c r="C1294" s="66">
        <v>2429</v>
      </c>
      <c r="D1294" s="66"/>
      <c r="E1294" s="66" t="s">
        <v>763</v>
      </c>
      <c r="F1294" s="66">
        <v>14</v>
      </c>
      <c r="G1294" s="66"/>
      <c r="H1294" s="66"/>
      <c r="I1294" s="66">
        <v>19.583333333333332</v>
      </c>
      <c r="J1294" s="66" t="s">
        <v>850</v>
      </c>
      <c r="K1294" s="66"/>
      <c r="L1294" s="66"/>
      <c r="M1294" s="66"/>
      <c r="N1294" s="66"/>
      <c r="O1294" s="66" t="s">
        <v>852</v>
      </c>
      <c r="P1294" s="66"/>
      <c r="Q1294" s="66">
        <v>1</v>
      </c>
      <c r="R1294" s="66">
        <v>515</v>
      </c>
      <c r="S1294" s="66"/>
    </row>
    <row r="1295" spans="1:19" x14ac:dyDescent="0.25">
      <c r="A1295" s="15">
        <v>63</v>
      </c>
      <c r="B1295" s="66"/>
      <c r="C1295" s="66">
        <v>2429</v>
      </c>
      <c r="D1295" s="66"/>
      <c r="E1295" s="66" t="s">
        <v>763</v>
      </c>
      <c r="F1295" s="66">
        <v>1</v>
      </c>
      <c r="G1295" s="66"/>
      <c r="H1295" s="66" t="e">
        <v>#N/A</v>
      </c>
      <c r="I1295" s="66"/>
      <c r="J1295" s="66" t="s">
        <v>870</v>
      </c>
      <c r="K1295" s="66" t="s">
        <v>757</v>
      </c>
      <c r="L1295" s="66" t="s">
        <v>757</v>
      </c>
      <c r="M1295" s="66" t="s">
        <v>757</v>
      </c>
      <c r="N1295" s="66" t="s">
        <v>757</v>
      </c>
      <c r="O1295" s="66" t="s">
        <v>869</v>
      </c>
      <c r="P1295" s="66"/>
      <c r="Q1295" s="66">
        <v>1</v>
      </c>
      <c r="R1295" s="66">
        <v>747</v>
      </c>
      <c r="S1295" s="66"/>
    </row>
    <row r="1296" spans="1:19" x14ac:dyDescent="0.25">
      <c r="A1296" s="15">
        <v>63</v>
      </c>
      <c r="B1296" s="66"/>
      <c r="C1296" s="66">
        <v>2429</v>
      </c>
      <c r="D1296" s="66"/>
      <c r="E1296" s="66" t="s">
        <v>763</v>
      </c>
      <c r="F1296" s="66">
        <v>0</v>
      </c>
      <c r="G1296" s="66"/>
      <c r="H1296" s="66">
        <v>3</v>
      </c>
      <c r="I1296" s="66" t="e">
        <v>#N/A</v>
      </c>
      <c r="J1296" s="66" t="s">
        <v>870</v>
      </c>
      <c r="K1296" s="66"/>
      <c r="L1296" s="66"/>
      <c r="M1296" s="66"/>
      <c r="N1296" s="66"/>
      <c r="O1296" s="66" t="s">
        <v>882</v>
      </c>
      <c r="P1296" s="66"/>
      <c r="Q1296" s="66">
        <v>1</v>
      </c>
      <c r="R1296" s="66">
        <v>974</v>
      </c>
      <c r="S1296" s="66"/>
    </row>
    <row r="1297" spans="1:19" x14ac:dyDescent="0.25">
      <c r="A1297" s="15">
        <v>63</v>
      </c>
      <c r="B1297" s="66"/>
      <c r="C1297" s="66">
        <v>2429</v>
      </c>
      <c r="D1297" s="66"/>
      <c r="E1297" s="66" t="s">
        <v>763</v>
      </c>
      <c r="F1297" s="66">
        <v>3</v>
      </c>
      <c r="G1297" s="66"/>
      <c r="H1297" s="66">
        <v>3</v>
      </c>
      <c r="I1297" s="66" t="e">
        <v>#N/A</v>
      </c>
      <c r="J1297" s="66" t="s">
        <v>870</v>
      </c>
      <c r="K1297" s="66"/>
      <c r="L1297" s="66"/>
      <c r="M1297" s="66"/>
      <c r="N1297" s="66"/>
      <c r="O1297" s="66" t="s">
        <v>894</v>
      </c>
      <c r="P1297" s="66"/>
      <c r="Q1297" s="66">
        <v>1</v>
      </c>
      <c r="R1297" s="66">
        <v>1201</v>
      </c>
      <c r="S1297" s="66"/>
    </row>
    <row r="1298" spans="1:19" x14ac:dyDescent="0.25">
      <c r="A1298" s="15">
        <v>63</v>
      </c>
      <c r="B1298" s="66"/>
      <c r="C1298" s="66">
        <v>2429</v>
      </c>
      <c r="D1298" s="66"/>
      <c r="E1298" s="66" t="s">
        <v>763</v>
      </c>
      <c r="F1298" s="66">
        <v>3</v>
      </c>
      <c r="G1298" s="66"/>
      <c r="H1298" s="66" t="e">
        <v>#N/A</v>
      </c>
      <c r="I1298" s="66"/>
      <c r="J1298" s="66" t="s">
        <v>870</v>
      </c>
      <c r="K1298" s="66"/>
      <c r="L1298" s="66"/>
      <c r="M1298" s="66"/>
      <c r="N1298" s="66"/>
      <c r="O1298" s="66" t="s">
        <v>906</v>
      </c>
      <c r="P1298" s="66"/>
      <c r="Q1298" s="66">
        <v>1</v>
      </c>
      <c r="R1298" s="66">
        <v>1308</v>
      </c>
      <c r="S1298" s="66"/>
    </row>
    <row r="1299" spans="1:19" x14ac:dyDescent="0.25">
      <c r="A1299" s="15">
        <v>63</v>
      </c>
      <c r="B1299" s="66"/>
      <c r="C1299" s="66">
        <v>2429</v>
      </c>
      <c r="D1299" s="66"/>
      <c r="E1299" s="66" t="s">
        <v>763</v>
      </c>
      <c r="F1299" s="66">
        <v>5</v>
      </c>
      <c r="G1299" s="66"/>
      <c r="H1299" s="66" t="e">
        <v>#N/A</v>
      </c>
      <c r="I1299" s="66"/>
      <c r="J1299" s="66" t="s">
        <v>870</v>
      </c>
      <c r="K1299" s="66"/>
      <c r="L1299" s="66"/>
      <c r="M1299" s="66"/>
      <c r="N1299" s="66"/>
      <c r="O1299" s="66" t="s">
        <v>908</v>
      </c>
      <c r="P1299" s="66"/>
      <c r="Q1299" s="66">
        <v>1</v>
      </c>
      <c r="R1299" s="66">
        <v>1495</v>
      </c>
      <c r="S1299" s="66"/>
    </row>
    <row r="1300" spans="1:19" x14ac:dyDescent="0.25">
      <c r="A1300" s="15">
        <v>64</v>
      </c>
      <c r="B1300" s="66"/>
      <c r="C1300" s="66"/>
      <c r="D1300" s="66"/>
      <c r="E1300" s="66"/>
      <c r="F1300" s="66"/>
      <c r="G1300" s="66"/>
      <c r="H1300" s="66"/>
      <c r="I1300" s="66"/>
      <c r="J1300" s="66"/>
      <c r="K1300" s="66"/>
      <c r="L1300" s="66"/>
      <c r="M1300" s="66"/>
      <c r="N1300" s="66"/>
      <c r="O1300" s="66"/>
      <c r="P1300" s="66"/>
      <c r="Q1300" s="66"/>
      <c r="R1300" s="66"/>
      <c r="S1300" s="66"/>
    </row>
    <row r="1301" spans="1:19" x14ac:dyDescent="0.25">
      <c r="A1301" s="15">
        <v>64</v>
      </c>
      <c r="B1301" s="66"/>
      <c r="C1301" s="66"/>
      <c r="D1301" s="66"/>
      <c r="E1301" s="66"/>
      <c r="F1301" s="66"/>
      <c r="G1301" s="66"/>
      <c r="H1301" s="66"/>
      <c r="I1301" s="66"/>
      <c r="J1301" s="66"/>
      <c r="K1301" s="66"/>
      <c r="L1301" s="66"/>
      <c r="M1301" s="66"/>
      <c r="N1301" s="66"/>
      <c r="O1301" s="66" t="s">
        <v>824</v>
      </c>
      <c r="P1301" s="66"/>
      <c r="Q1301" s="66"/>
      <c r="R1301" s="66"/>
      <c r="S1301" s="66"/>
    </row>
    <row r="1302" spans="1:19" x14ac:dyDescent="0.25">
      <c r="A1302" s="15">
        <v>64</v>
      </c>
      <c r="B1302" s="66"/>
      <c r="C1302" s="66"/>
      <c r="D1302" s="66"/>
      <c r="E1302" s="66"/>
      <c r="F1302" s="66"/>
      <c r="G1302" s="66"/>
      <c r="H1302" s="66"/>
      <c r="I1302" s="66"/>
      <c r="J1302" s="66"/>
      <c r="K1302" s="66"/>
      <c r="L1302" s="66"/>
      <c r="M1302" s="66"/>
      <c r="N1302" s="66"/>
      <c r="O1302" s="66" t="s">
        <v>837</v>
      </c>
      <c r="P1302" s="66"/>
      <c r="Q1302" s="66"/>
      <c r="R1302" s="66"/>
      <c r="S1302" s="66"/>
    </row>
    <row r="1303" spans="1:19" x14ac:dyDescent="0.25">
      <c r="A1303" s="15">
        <v>64</v>
      </c>
      <c r="B1303" s="66"/>
      <c r="C1303" s="66"/>
      <c r="D1303" s="66"/>
      <c r="E1303" s="66"/>
      <c r="F1303" s="66"/>
      <c r="G1303" s="66"/>
      <c r="H1303" s="66"/>
      <c r="I1303" s="66"/>
      <c r="J1303" s="66"/>
      <c r="K1303" s="66"/>
      <c r="L1303" s="66"/>
      <c r="M1303" s="66"/>
      <c r="N1303" s="66"/>
      <c r="O1303" s="66" t="s">
        <v>848</v>
      </c>
      <c r="P1303" s="66"/>
      <c r="Q1303" s="66"/>
      <c r="R1303" s="66"/>
      <c r="S1303" s="66"/>
    </row>
    <row r="1304" spans="1:19" x14ac:dyDescent="0.25">
      <c r="A1304" s="15">
        <v>64</v>
      </c>
      <c r="B1304" s="66"/>
      <c r="C1304" s="66" t="s">
        <v>77</v>
      </c>
      <c r="D1304" s="66"/>
      <c r="E1304" s="66" t="s">
        <v>763</v>
      </c>
      <c r="F1304" s="66">
        <v>10</v>
      </c>
      <c r="G1304" s="66"/>
      <c r="H1304" s="66">
        <v>10</v>
      </c>
      <c r="I1304" s="66">
        <v>11.916666666666666</v>
      </c>
      <c r="J1304" s="66" t="s">
        <v>850</v>
      </c>
      <c r="K1304" s="66"/>
      <c r="L1304" s="66"/>
      <c r="M1304" s="66"/>
      <c r="N1304" s="66"/>
      <c r="O1304" s="66" t="s">
        <v>851</v>
      </c>
      <c r="P1304" s="66"/>
      <c r="Q1304" s="66">
        <v>1</v>
      </c>
      <c r="R1304" s="66">
        <v>329</v>
      </c>
      <c r="S1304" s="66"/>
    </row>
    <row r="1305" spans="1:19" x14ac:dyDescent="0.25">
      <c r="A1305" s="15">
        <v>64</v>
      </c>
      <c r="B1305" s="66"/>
      <c r="C1305" s="66">
        <v>2429</v>
      </c>
      <c r="D1305" s="66"/>
      <c r="E1305" s="66" t="s">
        <v>763</v>
      </c>
      <c r="F1305" s="66">
        <v>10</v>
      </c>
      <c r="G1305" s="66"/>
      <c r="H1305" s="66"/>
      <c r="I1305" s="66">
        <v>15.666666666666666</v>
      </c>
      <c r="J1305" s="66" t="s">
        <v>850</v>
      </c>
      <c r="K1305" s="66"/>
      <c r="L1305" s="66"/>
      <c r="M1305" s="66"/>
      <c r="N1305" s="66"/>
      <c r="O1305" s="66" t="s">
        <v>853</v>
      </c>
      <c r="P1305" s="66"/>
      <c r="Q1305" s="66">
        <v>1</v>
      </c>
      <c r="R1305" s="66">
        <v>516</v>
      </c>
      <c r="S1305" s="66"/>
    </row>
    <row r="1306" spans="1:19" x14ac:dyDescent="0.25">
      <c r="A1306" s="15">
        <v>64</v>
      </c>
      <c r="B1306" s="66"/>
      <c r="C1306" s="66">
        <v>2429</v>
      </c>
      <c r="D1306" s="66"/>
      <c r="E1306" s="66" t="s">
        <v>763</v>
      </c>
      <c r="F1306" s="66">
        <v>6</v>
      </c>
      <c r="G1306" s="66"/>
      <c r="H1306" s="66"/>
      <c r="I1306" s="66">
        <v>15.666666666666666</v>
      </c>
      <c r="J1306" s="66" t="s">
        <v>850</v>
      </c>
      <c r="K1306" s="66"/>
      <c r="L1306" s="66"/>
      <c r="M1306" s="66"/>
      <c r="N1306" s="66"/>
      <c r="O1306" s="66" t="s">
        <v>854</v>
      </c>
      <c r="P1306" s="66"/>
      <c r="Q1306" s="66">
        <v>1</v>
      </c>
      <c r="R1306" s="66">
        <v>517</v>
      </c>
      <c r="S1306" s="66"/>
    </row>
    <row r="1307" spans="1:19" x14ac:dyDescent="0.25">
      <c r="A1307" s="15">
        <v>64</v>
      </c>
      <c r="B1307" s="66"/>
      <c r="C1307" s="66">
        <v>2429</v>
      </c>
      <c r="D1307" s="66"/>
      <c r="E1307" s="66" t="s">
        <v>763</v>
      </c>
      <c r="F1307" s="66">
        <v>6</v>
      </c>
      <c r="G1307" s="66"/>
      <c r="H1307" s="66"/>
      <c r="I1307" s="66">
        <v>15.666666666666666</v>
      </c>
      <c r="J1307" s="66" t="s">
        <v>850</v>
      </c>
      <c r="K1307" s="66"/>
      <c r="L1307" s="66"/>
      <c r="M1307" s="66"/>
      <c r="N1307" s="66"/>
      <c r="O1307" s="66" t="s">
        <v>855</v>
      </c>
      <c r="P1307" s="66"/>
      <c r="Q1307" s="66">
        <v>1</v>
      </c>
      <c r="R1307" s="66">
        <v>518</v>
      </c>
      <c r="S1307" s="66"/>
    </row>
    <row r="1308" spans="1:19" x14ac:dyDescent="0.25">
      <c r="A1308" s="15">
        <v>64</v>
      </c>
      <c r="B1308" s="66"/>
      <c r="C1308" s="66">
        <v>2429</v>
      </c>
      <c r="D1308" s="66"/>
      <c r="E1308" s="66" t="s">
        <v>763</v>
      </c>
      <c r="F1308" s="66">
        <v>6</v>
      </c>
      <c r="G1308" s="66"/>
      <c r="H1308" s="66"/>
      <c r="I1308" s="66">
        <v>15.666666666666666</v>
      </c>
      <c r="J1308" s="66" t="s">
        <v>850</v>
      </c>
      <c r="K1308" s="66"/>
      <c r="L1308" s="66"/>
      <c r="M1308" s="66"/>
      <c r="N1308" s="66"/>
      <c r="O1308" s="66" t="s">
        <v>856</v>
      </c>
      <c r="P1308" s="66"/>
      <c r="Q1308" s="66">
        <v>1</v>
      </c>
      <c r="R1308" s="66">
        <v>519</v>
      </c>
      <c r="S1308" s="66"/>
    </row>
    <row r="1309" spans="1:19" x14ac:dyDescent="0.25">
      <c r="A1309" s="15">
        <v>64</v>
      </c>
      <c r="B1309" s="66"/>
      <c r="C1309" s="66">
        <v>2429</v>
      </c>
      <c r="D1309" s="66"/>
      <c r="E1309" s="66" t="s">
        <v>763</v>
      </c>
      <c r="F1309" s="66">
        <v>6</v>
      </c>
      <c r="G1309" s="66"/>
      <c r="H1309" s="66"/>
      <c r="I1309" s="66">
        <v>15.666666666666666</v>
      </c>
      <c r="J1309" s="66" t="s">
        <v>850</v>
      </c>
      <c r="K1309" s="66"/>
      <c r="L1309" s="66"/>
      <c r="M1309" s="66"/>
      <c r="N1309" s="66"/>
      <c r="O1309" s="66" t="s">
        <v>857</v>
      </c>
      <c r="P1309" s="66"/>
      <c r="Q1309" s="66">
        <v>1</v>
      </c>
      <c r="R1309" s="66">
        <v>520</v>
      </c>
      <c r="S1309" s="66"/>
    </row>
    <row r="1310" spans="1:19" x14ac:dyDescent="0.25">
      <c r="A1310" s="15">
        <v>64</v>
      </c>
      <c r="B1310" s="66"/>
      <c r="C1310" s="66">
        <v>2429</v>
      </c>
      <c r="D1310" s="66"/>
      <c r="E1310" s="66" t="s">
        <v>763</v>
      </c>
      <c r="F1310" s="66">
        <v>6</v>
      </c>
      <c r="G1310" s="66"/>
      <c r="H1310" s="66"/>
      <c r="I1310" s="66">
        <v>15.666666666666666</v>
      </c>
      <c r="J1310" s="66" t="s">
        <v>850</v>
      </c>
      <c r="K1310" s="66"/>
      <c r="L1310" s="66"/>
      <c r="M1310" s="66"/>
      <c r="N1310" s="66"/>
      <c r="O1310" s="66" t="s">
        <v>858</v>
      </c>
      <c r="P1310" s="66"/>
      <c r="Q1310" s="66">
        <v>1</v>
      </c>
      <c r="R1310" s="66">
        <v>521</v>
      </c>
      <c r="S1310" s="66"/>
    </row>
    <row r="1311" spans="1:19" x14ac:dyDescent="0.25">
      <c r="A1311" s="15">
        <v>64</v>
      </c>
      <c r="B1311" s="66"/>
      <c r="C1311" s="66">
        <v>2429</v>
      </c>
      <c r="D1311" s="66"/>
      <c r="E1311" s="66" t="s">
        <v>763</v>
      </c>
      <c r="F1311" s="66">
        <v>6</v>
      </c>
      <c r="G1311" s="66"/>
      <c r="H1311" s="66"/>
      <c r="I1311" s="66">
        <v>15.666666666666666</v>
      </c>
      <c r="J1311" s="66" t="s">
        <v>850</v>
      </c>
      <c r="K1311" s="66"/>
      <c r="L1311" s="66"/>
      <c r="M1311" s="66"/>
      <c r="N1311" s="66"/>
      <c r="O1311" s="66" t="s">
        <v>859</v>
      </c>
      <c r="P1311" s="66"/>
      <c r="Q1311" s="66">
        <v>1</v>
      </c>
      <c r="R1311" s="66">
        <v>522</v>
      </c>
      <c r="S1311" s="66"/>
    </row>
    <row r="1312" spans="1:19" x14ac:dyDescent="0.25">
      <c r="A1312" s="15">
        <v>64</v>
      </c>
      <c r="B1312" s="66"/>
      <c r="C1312" s="66">
        <v>2429</v>
      </c>
      <c r="D1312" s="66"/>
      <c r="E1312" s="66" t="s">
        <v>763</v>
      </c>
      <c r="F1312" s="66">
        <v>6</v>
      </c>
      <c r="G1312" s="66"/>
      <c r="H1312" s="66"/>
      <c r="I1312" s="66">
        <v>15.666666666666666</v>
      </c>
      <c r="J1312" s="66" t="s">
        <v>850</v>
      </c>
      <c r="K1312" s="66"/>
      <c r="L1312" s="66"/>
      <c r="M1312" s="66"/>
      <c r="N1312" s="66"/>
      <c r="O1312" s="66" t="s">
        <v>860</v>
      </c>
      <c r="P1312" s="66"/>
      <c r="Q1312" s="66">
        <v>1</v>
      </c>
      <c r="R1312" s="66">
        <v>523</v>
      </c>
      <c r="S1312" s="66"/>
    </row>
    <row r="1313" spans="1:19" x14ac:dyDescent="0.25">
      <c r="A1313" s="15">
        <v>64</v>
      </c>
      <c r="B1313" s="66"/>
      <c r="C1313" s="66">
        <v>2429</v>
      </c>
      <c r="D1313" s="66"/>
      <c r="E1313" s="66" t="s">
        <v>763</v>
      </c>
      <c r="F1313" s="66">
        <v>6</v>
      </c>
      <c r="G1313" s="66"/>
      <c r="H1313" s="66"/>
      <c r="I1313" s="66">
        <v>15.666666666666666</v>
      </c>
      <c r="J1313" s="66" t="s">
        <v>850</v>
      </c>
      <c r="K1313" s="66"/>
      <c r="L1313" s="66"/>
      <c r="M1313" s="66"/>
      <c r="N1313" s="66"/>
      <c r="O1313" s="66" t="s">
        <v>861</v>
      </c>
      <c r="P1313" s="66"/>
      <c r="Q1313" s="66">
        <v>1</v>
      </c>
      <c r="R1313" s="66">
        <v>524</v>
      </c>
      <c r="S1313" s="66"/>
    </row>
    <row r="1314" spans="1:19" x14ac:dyDescent="0.25">
      <c r="A1314" s="15">
        <v>64</v>
      </c>
      <c r="B1314" s="66"/>
      <c r="C1314" s="66">
        <v>2429</v>
      </c>
      <c r="D1314" s="66"/>
      <c r="E1314" s="66" t="s">
        <v>763</v>
      </c>
      <c r="F1314" s="66">
        <v>6</v>
      </c>
      <c r="G1314" s="66"/>
      <c r="H1314" s="66"/>
      <c r="I1314" s="66">
        <v>15.666666666666666</v>
      </c>
      <c r="J1314" s="66" t="s">
        <v>850</v>
      </c>
      <c r="K1314" s="66"/>
      <c r="L1314" s="66"/>
      <c r="M1314" s="66"/>
      <c r="N1314" s="66"/>
      <c r="O1314" s="66" t="s">
        <v>862</v>
      </c>
      <c r="P1314" s="66"/>
      <c r="Q1314" s="66">
        <v>1</v>
      </c>
      <c r="R1314" s="66">
        <v>525</v>
      </c>
      <c r="S1314" s="66"/>
    </row>
    <row r="1315" spans="1:19" x14ac:dyDescent="0.25">
      <c r="A1315" s="15">
        <v>64</v>
      </c>
      <c r="B1315" s="66"/>
      <c r="C1315" s="66">
        <v>2429</v>
      </c>
      <c r="D1315" s="66"/>
      <c r="E1315" s="66" t="s">
        <v>763</v>
      </c>
      <c r="F1315" s="66">
        <v>10</v>
      </c>
      <c r="G1315" s="66"/>
      <c r="H1315" s="66"/>
      <c r="I1315" s="66">
        <v>10.583333333333334</v>
      </c>
      <c r="J1315" s="66" t="s">
        <v>850</v>
      </c>
      <c r="K1315" s="66"/>
      <c r="L1315" s="66"/>
      <c r="M1315" s="66"/>
      <c r="N1315" s="66"/>
      <c r="O1315" s="66" t="s">
        <v>863</v>
      </c>
      <c r="P1315" s="66"/>
      <c r="Q1315" s="66">
        <v>1</v>
      </c>
      <c r="R1315" s="66">
        <v>526</v>
      </c>
      <c r="S1315" s="66"/>
    </row>
    <row r="1316" spans="1:19" x14ac:dyDescent="0.25">
      <c r="A1316" s="15">
        <v>64</v>
      </c>
      <c r="B1316" s="66"/>
      <c r="C1316" s="66">
        <v>2429</v>
      </c>
      <c r="D1316" s="66"/>
      <c r="E1316" s="66" t="s">
        <v>763</v>
      </c>
      <c r="F1316" s="66">
        <v>1</v>
      </c>
      <c r="G1316" s="66"/>
      <c r="H1316" s="66" t="e">
        <v>#N/A</v>
      </c>
      <c r="I1316" s="66"/>
      <c r="J1316" s="66" t="s">
        <v>870</v>
      </c>
      <c r="K1316" s="66" t="s">
        <v>757</v>
      </c>
      <c r="L1316" s="66" t="s">
        <v>757</v>
      </c>
      <c r="M1316" s="66" t="s">
        <v>757</v>
      </c>
      <c r="N1316" s="66" t="s">
        <v>757</v>
      </c>
      <c r="O1316" s="66" t="s">
        <v>871</v>
      </c>
      <c r="P1316" s="66"/>
      <c r="Q1316" s="66">
        <v>1</v>
      </c>
      <c r="R1316" s="66">
        <v>748</v>
      </c>
      <c r="S1316" s="66"/>
    </row>
    <row r="1317" spans="1:19" x14ac:dyDescent="0.25">
      <c r="A1317" s="15">
        <v>64</v>
      </c>
      <c r="B1317" s="66"/>
      <c r="C1317" s="66">
        <v>2429</v>
      </c>
      <c r="D1317" s="66"/>
      <c r="E1317" s="66" t="s">
        <v>763</v>
      </c>
      <c r="F1317" s="66">
        <v>1</v>
      </c>
      <c r="G1317" s="66"/>
      <c r="H1317" s="66" t="e">
        <v>#N/A</v>
      </c>
      <c r="I1317" s="66"/>
      <c r="J1317" s="66" t="s">
        <v>870</v>
      </c>
      <c r="K1317" s="66" t="s">
        <v>757</v>
      </c>
      <c r="L1317" s="66" t="s">
        <v>757</v>
      </c>
      <c r="M1317" s="66" t="s">
        <v>757</v>
      </c>
      <c r="N1317" s="66" t="s">
        <v>757</v>
      </c>
      <c r="O1317" s="66" t="s">
        <v>872</v>
      </c>
      <c r="P1317" s="66"/>
      <c r="Q1317" s="66">
        <v>1</v>
      </c>
      <c r="R1317" s="66">
        <v>749</v>
      </c>
      <c r="S1317" s="66"/>
    </row>
    <row r="1318" spans="1:19" x14ac:dyDescent="0.25">
      <c r="A1318" s="15">
        <v>64</v>
      </c>
      <c r="B1318" s="66"/>
      <c r="C1318" s="66">
        <v>2429</v>
      </c>
      <c r="D1318" s="66"/>
      <c r="E1318" s="66" t="s">
        <v>763</v>
      </c>
      <c r="F1318" s="66">
        <v>1</v>
      </c>
      <c r="G1318" s="66"/>
      <c r="H1318" s="66" t="e">
        <v>#N/A</v>
      </c>
      <c r="I1318" s="66"/>
      <c r="J1318" s="66" t="s">
        <v>870</v>
      </c>
      <c r="K1318" s="66" t="s">
        <v>757</v>
      </c>
      <c r="L1318" s="66" t="s">
        <v>757</v>
      </c>
      <c r="M1318" s="66" t="s">
        <v>757</v>
      </c>
      <c r="N1318" s="66" t="s">
        <v>757</v>
      </c>
      <c r="O1318" s="66" t="s">
        <v>873</v>
      </c>
      <c r="P1318" s="66"/>
      <c r="Q1318" s="66">
        <v>1</v>
      </c>
      <c r="R1318" s="66">
        <v>750</v>
      </c>
      <c r="S1318" s="66"/>
    </row>
    <row r="1319" spans="1:19" x14ac:dyDescent="0.25">
      <c r="A1319" s="15">
        <v>64</v>
      </c>
      <c r="B1319" s="66"/>
      <c r="C1319" s="66">
        <v>2429</v>
      </c>
      <c r="D1319" s="66"/>
      <c r="E1319" s="66" t="s">
        <v>763</v>
      </c>
      <c r="F1319" s="66">
        <v>1</v>
      </c>
      <c r="G1319" s="66"/>
      <c r="H1319" s="66" t="e">
        <v>#N/A</v>
      </c>
      <c r="I1319" s="66"/>
      <c r="J1319" s="66" t="s">
        <v>870</v>
      </c>
      <c r="K1319" s="66" t="s">
        <v>757</v>
      </c>
      <c r="L1319" s="66" t="s">
        <v>757</v>
      </c>
      <c r="M1319" s="66" t="s">
        <v>757</v>
      </c>
      <c r="N1319" s="66" t="s">
        <v>757</v>
      </c>
      <c r="O1319" s="66" t="s">
        <v>874</v>
      </c>
      <c r="P1319" s="66"/>
      <c r="Q1319" s="66">
        <v>1</v>
      </c>
      <c r="R1319" s="66">
        <v>751</v>
      </c>
      <c r="S1319" s="66"/>
    </row>
    <row r="1320" spans="1:19" x14ac:dyDescent="0.25">
      <c r="A1320" s="15">
        <v>64</v>
      </c>
      <c r="B1320" s="66"/>
      <c r="C1320" s="66">
        <v>2429</v>
      </c>
      <c r="D1320" s="66"/>
      <c r="E1320" s="66" t="s">
        <v>763</v>
      </c>
      <c r="F1320" s="66">
        <v>1</v>
      </c>
      <c r="G1320" s="66"/>
      <c r="H1320" s="66" t="e">
        <v>#N/A</v>
      </c>
      <c r="I1320" s="66"/>
      <c r="J1320" s="66" t="s">
        <v>870</v>
      </c>
      <c r="K1320" s="66" t="s">
        <v>757</v>
      </c>
      <c r="L1320" s="66" t="s">
        <v>757</v>
      </c>
      <c r="M1320" s="66" t="s">
        <v>757</v>
      </c>
      <c r="N1320" s="66" t="s">
        <v>757</v>
      </c>
      <c r="O1320" s="66" t="s">
        <v>875</v>
      </c>
      <c r="P1320" s="66"/>
      <c r="Q1320" s="66">
        <v>1</v>
      </c>
      <c r="R1320" s="66">
        <v>752</v>
      </c>
      <c r="S1320" s="66"/>
    </row>
    <row r="1321" spans="1:19" x14ac:dyDescent="0.25">
      <c r="A1321" s="15">
        <v>64</v>
      </c>
      <c r="B1321" s="66"/>
      <c r="C1321" s="66">
        <v>2429</v>
      </c>
      <c r="D1321" s="66"/>
      <c r="E1321" s="66" t="s">
        <v>763</v>
      </c>
      <c r="F1321" s="66">
        <v>1</v>
      </c>
      <c r="G1321" s="66"/>
      <c r="H1321" s="66" t="e">
        <v>#N/A</v>
      </c>
      <c r="I1321" s="66"/>
      <c r="J1321" s="66" t="s">
        <v>870</v>
      </c>
      <c r="K1321" s="66" t="s">
        <v>757</v>
      </c>
      <c r="L1321" s="66" t="s">
        <v>757</v>
      </c>
      <c r="M1321" s="66" t="s">
        <v>757</v>
      </c>
      <c r="N1321" s="66" t="s">
        <v>757</v>
      </c>
      <c r="O1321" s="66" t="s">
        <v>876</v>
      </c>
      <c r="P1321" s="66"/>
      <c r="Q1321" s="66">
        <v>1</v>
      </c>
      <c r="R1321" s="66">
        <v>753</v>
      </c>
      <c r="S1321" s="66"/>
    </row>
    <row r="1322" spans="1:19" x14ac:dyDescent="0.25">
      <c r="A1322" s="15">
        <v>64</v>
      </c>
      <c r="B1322" s="66"/>
      <c r="C1322" s="66">
        <v>2429</v>
      </c>
      <c r="D1322" s="66"/>
      <c r="E1322" s="66" t="s">
        <v>763</v>
      </c>
      <c r="F1322" s="66">
        <v>1</v>
      </c>
      <c r="G1322" s="66"/>
      <c r="H1322" s="66" t="e">
        <v>#N/A</v>
      </c>
      <c r="I1322" s="66"/>
      <c r="J1322" s="66" t="s">
        <v>870</v>
      </c>
      <c r="K1322" s="66" t="s">
        <v>757</v>
      </c>
      <c r="L1322" s="66" t="s">
        <v>757</v>
      </c>
      <c r="M1322" s="66" t="s">
        <v>757</v>
      </c>
      <c r="N1322" s="66" t="s">
        <v>757</v>
      </c>
      <c r="O1322" s="66" t="s">
        <v>877</v>
      </c>
      <c r="P1322" s="66"/>
      <c r="Q1322" s="66">
        <v>1</v>
      </c>
      <c r="R1322" s="66">
        <v>754</v>
      </c>
      <c r="S1322" s="66"/>
    </row>
    <row r="1323" spans="1:19" x14ac:dyDescent="0.25">
      <c r="A1323" s="15">
        <v>64</v>
      </c>
      <c r="B1323" s="66"/>
      <c r="C1323" s="66">
        <v>2429</v>
      </c>
      <c r="D1323" s="66"/>
      <c r="E1323" s="66" t="s">
        <v>763</v>
      </c>
      <c r="F1323" s="66">
        <v>1</v>
      </c>
      <c r="G1323" s="66"/>
      <c r="H1323" s="66" t="e">
        <v>#N/A</v>
      </c>
      <c r="I1323" s="66"/>
      <c r="J1323" s="66" t="s">
        <v>870</v>
      </c>
      <c r="K1323" s="66" t="s">
        <v>757</v>
      </c>
      <c r="L1323" s="66" t="s">
        <v>757</v>
      </c>
      <c r="M1323" s="66" t="s">
        <v>757</v>
      </c>
      <c r="N1323" s="66" t="s">
        <v>757</v>
      </c>
      <c r="O1323" s="66" t="s">
        <v>878</v>
      </c>
      <c r="P1323" s="66"/>
      <c r="Q1323" s="66">
        <v>1</v>
      </c>
      <c r="R1323" s="66">
        <v>755</v>
      </c>
      <c r="S1323" s="66"/>
    </row>
    <row r="1324" spans="1:19" x14ac:dyDescent="0.25">
      <c r="A1324" s="15">
        <v>64</v>
      </c>
      <c r="B1324" s="66"/>
      <c r="C1324" s="66">
        <v>2429</v>
      </c>
      <c r="D1324" s="66"/>
      <c r="E1324" s="66" t="s">
        <v>763</v>
      </c>
      <c r="F1324" s="66">
        <v>1</v>
      </c>
      <c r="G1324" s="66"/>
      <c r="H1324" s="66" t="e">
        <v>#N/A</v>
      </c>
      <c r="I1324" s="66"/>
      <c r="J1324" s="66" t="s">
        <v>870</v>
      </c>
      <c r="K1324" s="66" t="s">
        <v>757</v>
      </c>
      <c r="L1324" s="66" t="s">
        <v>757</v>
      </c>
      <c r="M1324" s="66" t="s">
        <v>757</v>
      </c>
      <c r="N1324" s="66" t="s">
        <v>757</v>
      </c>
      <c r="O1324" s="66" t="s">
        <v>879</v>
      </c>
      <c r="P1324" s="66"/>
      <c r="Q1324" s="66">
        <v>1</v>
      </c>
      <c r="R1324" s="66">
        <v>756</v>
      </c>
      <c r="S1324" s="66"/>
    </row>
    <row r="1325" spans="1:19" x14ac:dyDescent="0.25">
      <c r="A1325" s="15">
        <v>64</v>
      </c>
      <c r="B1325" s="66"/>
      <c r="C1325" s="66">
        <v>2429</v>
      </c>
      <c r="D1325" s="66"/>
      <c r="E1325" s="66" t="s">
        <v>763</v>
      </c>
      <c r="F1325" s="66">
        <v>1</v>
      </c>
      <c r="G1325" s="66"/>
      <c r="H1325" s="66" t="e">
        <v>#N/A</v>
      </c>
      <c r="I1325" s="66"/>
      <c r="J1325" s="66" t="s">
        <v>870</v>
      </c>
      <c r="K1325" s="66" t="s">
        <v>757</v>
      </c>
      <c r="L1325" s="66" t="s">
        <v>757</v>
      </c>
      <c r="M1325" s="66" t="s">
        <v>757</v>
      </c>
      <c r="N1325" s="66" t="s">
        <v>757</v>
      </c>
      <c r="O1325" s="66" t="s">
        <v>880</v>
      </c>
      <c r="P1325" s="66"/>
      <c r="Q1325" s="66">
        <v>1</v>
      </c>
      <c r="R1325" s="66">
        <v>757</v>
      </c>
      <c r="S1325" s="66"/>
    </row>
    <row r="1326" spans="1:19" x14ac:dyDescent="0.25">
      <c r="A1326" s="15">
        <v>64</v>
      </c>
      <c r="B1326" s="66"/>
      <c r="C1326" s="66">
        <v>2429</v>
      </c>
      <c r="D1326" s="66"/>
      <c r="E1326" s="66" t="s">
        <v>763</v>
      </c>
      <c r="F1326" s="66">
        <v>1</v>
      </c>
      <c r="G1326" s="66"/>
      <c r="H1326" s="66" t="e">
        <v>#N/A</v>
      </c>
      <c r="I1326" s="66"/>
      <c r="J1326" s="66" t="s">
        <v>870</v>
      </c>
      <c r="K1326" s="66" t="s">
        <v>757</v>
      </c>
      <c r="L1326" s="66" t="s">
        <v>757</v>
      </c>
      <c r="M1326" s="66" t="s">
        <v>757</v>
      </c>
      <c r="N1326" s="66" t="s">
        <v>757</v>
      </c>
      <c r="O1326" s="66" t="s">
        <v>881</v>
      </c>
      <c r="P1326" s="66"/>
      <c r="Q1326" s="66">
        <v>1</v>
      </c>
      <c r="R1326" s="66">
        <v>758</v>
      </c>
      <c r="S1326" s="66"/>
    </row>
    <row r="1327" spans="1:19" x14ac:dyDescent="0.25">
      <c r="A1327" s="15">
        <v>64</v>
      </c>
      <c r="B1327" s="66"/>
      <c r="C1327" s="66">
        <v>2429</v>
      </c>
      <c r="D1327" s="66"/>
      <c r="E1327" s="66" t="s">
        <v>763</v>
      </c>
      <c r="F1327" s="66">
        <v>0</v>
      </c>
      <c r="G1327" s="66"/>
      <c r="H1327" s="66">
        <v>3</v>
      </c>
      <c r="I1327" s="66" t="e">
        <v>#N/A</v>
      </c>
      <c r="J1327" s="66" t="s">
        <v>870</v>
      </c>
      <c r="K1327" s="66"/>
      <c r="L1327" s="66"/>
      <c r="M1327" s="66"/>
      <c r="N1327" s="66"/>
      <c r="O1327" s="66" t="s">
        <v>883</v>
      </c>
      <c r="P1327" s="66"/>
      <c r="Q1327" s="66">
        <v>1</v>
      </c>
      <c r="R1327" s="66">
        <v>975</v>
      </c>
      <c r="S1327" s="66"/>
    </row>
    <row r="1328" spans="1:19" x14ac:dyDescent="0.25">
      <c r="A1328" s="15">
        <v>64</v>
      </c>
      <c r="B1328" s="66"/>
      <c r="C1328" s="66">
        <v>2429</v>
      </c>
      <c r="D1328" s="66"/>
      <c r="E1328" s="66" t="s">
        <v>763</v>
      </c>
      <c r="F1328" s="66">
        <v>0</v>
      </c>
      <c r="G1328" s="66"/>
      <c r="H1328" s="66">
        <v>3</v>
      </c>
      <c r="I1328" s="66" t="e">
        <v>#N/A</v>
      </c>
      <c r="J1328" s="66" t="s">
        <v>870</v>
      </c>
      <c r="K1328" s="66"/>
      <c r="L1328" s="66"/>
      <c r="M1328" s="66"/>
      <c r="N1328" s="66"/>
      <c r="O1328" s="66" t="s">
        <v>884</v>
      </c>
      <c r="P1328" s="66"/>
      <c r="Q1328" s="66">
        <v>1</v>
      </c>
      <c r="R1328" s="66">
        <v>976</v>
      </c>
      <c r="S1328" s="66"/>
    </row>
    <row r="1329" spans="1:19" x14ac:dyDescent="0.25">
      <c r="A1329" s="15">
        <v>64</v>
      </c>
      <c r="B1329" s="66"/>
      <c r="C1329" s="66">
        <v>2429</v>
      </c>
      <c r="D1329" s="66"/>
      <c r="E1329" s="66" t="s">
        <v>763</v>
      </c>
      <c r="F1329" s="66">
        <v>0</v>
      </c>
      <c r="G1329" s="66"/>
      <c r="H1329" s="66">
        <v>3</v>
      </c>
      <c r="I1329" s="66" t="e">
        <v>#N/A</v>
      </c>
      <c r="J1329" s="66" t="s">
        <v>870</v>
      </c>
      <c r="K1329" s="66"/>
      <c r="L1329" s="66"/>
      <c r="M1329" s="66"/>
      <c r="N1329" s="66"/>
      <c r="O1329" s="66" t="s">
        <v>885</v>
      </c>
      <c r="P1329" s="66"/>
      <c r="Q1329" s="66">
        <v>1</v>
      </c>
      <c r="R1329" s="66">
        <v>977</v>
      </c>
      <c r="S1329" s="66"/>
    </row>
    <row r="1330" spans="1:19" x14ac:dyDescent="0.25">
      <c r="A1330" s="15">
        <v>64</v>
      </c>
      <c r="B1330" s="66"/>
      <c r="C1330" s="66">
        <v>2429</v>
      </c>
      <c r="D1330" s="66"/>
      <c r="E1330" s="66" t="s">
        <v>763</v>
      </c>
      <c r="F1330" s="66">
        <v>0</v>
      </c>
      <c r="G1330" s="66"/>
      <c r="H1330" s="66">
        <v>3</v>
      </c>
      <c r="I1330" s="66" t="e">
        <v>#N/A</v>
      </c>
      <c r="J1330" s="66" t="s">
        <v>870</v>
      </c>
      <c r="K1330" s="66"/>
      <c r="L1330" s="66"/>
      <c r="M1330" s="66"/>
      <c r="N1330" s="66"/>
      <c r="O1330" s="66" t="s">
        <v>886</v>
      </c>
      <c r="P1330" s="66"/>
      <c r="Q1330" s="66">
        <v>1</v>
      </c>
      <c r="R1330" s="66">
        <v>978</v>
      </c>
      <c r="S1330" s="66"/>
    </row>
    <row r="1331" spans="1:19" x14ac:dyDescent="0.25">
      <c r="A1331" s="15">
        <v>64</v>
      </c>
      <c r="B1331" s="66"/>
      <c r="C1331" s="66">
        <v>2429</v>
      </c>
      <c r="D1331" s="66"/>
      <c r="E1331" s="66" t="s">
        <v>763</v>
      </c>
      <c r="F1331" s="66">
        <v>0</v>
      </c>
      <c r="G1331" s="66"/>
      <c r="H1331" s="66">
        <v>3</v>
      </c>
      <c r="I1331" s="66" t="e">
        <v>#N/A</v>
      </c>
      <c r="J1331" s="66" t="s">
        <v>870</v>
      </c>
      <c r="K1331" s="66"/>
      <c r="L1331" s="66"/>
      <c r="M1331" s="66"/>
      <c r="N1331" s="66"/>
      <c r="O1331" s="66" t="s">
        <v>887</v>
      </c>
      <c r="P1331" s="66"/>
      <c r="Q1331" s="66">
        <v>1</v>
      </c>
      <c r="R1331" s="66">
        <v>979</v>
      </c>
      <c r="S1331" s="66"/>
    </row>
    <row r="1332" spans="1:19" x14ac:dyDescent="0.25">
      <c r="A1332" s="15">
        <v>64</v>
      </c>
      <c r="B1332" s="66"/>
      <c r="C1332" s="66">
        <v>2429</v>
      </c>
      <c r="D1332" s="66"/>
      <c r="E1332" s="66" t="s">
        <v>763</v>
      </c>
      <c r="F1332" s="66">
        <v>0</v>
      </c>
      <c r="G1332" s="66"/>
      <c r="H1332" s="66">
        <v>3</v>
      </c>
      <c r="I1332" s="66" t="e">
        <v>#N/A</v>
      </c>
      <c r="J1332" s="66" t="s">
        <v>870</v>
      </c>
      <c r="K1332" s="66"/>
      <c r="L1332" s="66"/>
      <c r="M1332" s="66"/>
      <c r="N1332" s="66"/>
      <c r="O1332" s="66" t="s">
        <v>888</v>
      </c>
      <c r="P1332" s="66"/>
      <c r="Q1332" s="66">
        <v>1</v>
      </c>
      <c r="R1332" s="66">
        <v>980</v>
      </c>
      <c r="S1332" s="66"/>
    </row>
    <row r="1333" spans="1:19" x14ac:dyDescent="0.25">
      <c r="A1333" s="15">
        <v>64</v>
      </c>
      <c r="B1333" s="66"/>
      <c r="C1333" s="66">
        <v>2429</v>
      </c>
      <c r="D1333" s="66"/>
      <c r="E1333" s="66" t="s">
        <v>763</v>
      </c>
      <c r="F1333" s="66">
        <v>0</v>
      </c>
      <c r="G1333" s="66"/>
      <c r="H1333" s="66">
        <v>3</v>
      </c>
      <c r="I1333" s="66" t="e">
        <v>#N/A</v>
      </c>
      <c r="J1333" s="66" t="s">
        <v>870</v>
      </c>
      <c r="K1333" s="66"/>
      <c r="L1333" s="66"/>
      <c r="M1333" s="66"/>
      <c r="N1333" s="66"/>
      <c r="O1333" s="66" t="s">
        <v>889</v>
      </c>
      <c r="P1333" s="66"/>
      <c r="Q1333" s="66">
        <v>1</v>
      </c>
      <c r="R1333" s="66">
        <v>981</v>
      </c>
      <c r="S1333" s="66"/>
    </row>
    <row r="1334" spans="1:19" x14ac:dyDescent="0.25">
      <c r="A1334" s="15">
        <v>64</v>
      </c>
      <c r="B1334" s="66"/>
      <c r="C1334" s="66">
        <v>2429</v>
      </c>
      <c r="D1334" s="66"/>
      <c r="E1334" s="66" t="s">
        <v>763</v>
      </c>
      <c r="F1334" s="66">
        <v>0</v>
      </c>
      <c r="G1334" s="66"/>
      <c r="H1334" s="66">
        <v>3</v>
      </c>
      <c r="I1334" s="66" t="e">
        <v>#N/A</v>
      </c>
      <c r="J1334" s="66" t="s">
        <v>870</v>
      </c>
      <c r="K1334" s="66"/>
      <c r="L1334" s="66"/>
      <c r="M1334" s="66"/>
      <c r="N1334" s="66"/>
      <c r="O1334" s="66" t="s">
        <v>890</v>
      </c>
      <c r="P1334" s="66"/>
      <c r="Q1334" s="66">
        <v>1</v>
      </c>
      <c r="R1334" s="66">
        <v>982</v>
      </c>
      <c r="S1334" s="66"/>
    </row>
    <row r="1335" spans="1:19" x14ac:dyDescent="0.25">
      <c r="A1335" s="15">
        <v>64</v>
      </c>
      <c r="B1335" s="66"/>
      <c r="C1335" s="66">
        <v>2429</v>
      </c>
      <c r="D1335" s="66"/>
      <c r="E1335" s="66" t="s">
        <v>763</v>
      </c>
      <c r="F1335" s="66">
        <v>0</v>
      </c>
      <c r="G1335" s="66"/>
      <c r="H1335" s="66">
        <v>3</v>
      </c>
      <c r="I1335" s="66" t="e">
        <v>#N/A</v>
      </c>
      <c r="J1335" s="66" t="s">
        <v>870</v>
      </c>
      <c r="K1335" s="66"/>
      <c r="L1335" s="66"/>
      <c r="M1335" s="66"/>
      <c r="N1335" s="66"/>
      <c r="O1335" s="66" t="s">
        <v>891</v>
      </c>
      <c r="P1335" s="66"/>
      <c r="Q1335" s="66">
        <v>1</v>
      </c>
      <c r="R1335" s="66">
        <v>983</v>
      </c>
      <c r="S1335" s="66"/>
    </row>
    <row r="1336" spans="1:19" x14ac:dyDescent="0.25">
      <c r="A1336" s="15">
        <v>64</v>
      </c>
      <c r="B1336" s="66"/>
      <c r="C1336" s="66">
        <v>2429</v>
      </c>
      <c r="D1336" s="66"/>
      <c r="E1336" s="66" t="s">
        <v>763</v>
      </c>
      <c r="F1336" s="66">
        <v>0</v>
      </c>
      <c r="G1336" s="66"/>
      <c r="H1336" s="66">
        <v>3</v>
      </c>
      <c r="I1336" s="66" t="e">
        <v>#N/A</v>
      </c>
      <c r="J1336" s="66" t="s">
        <v>870</v>
      </c>
      <c r="K1336" s="66"/>
      <c r="L1336" s="66"/>
      <c r="M1336" s="66"/>
      <c r="N1336" s="66"/>
      <c r="O1336" s="66" t="s">
        <v>892</v>
      </c>
      <c r="P1336" s="66"/>
      <c r="Q1336" s="66">
        <v>1</v>
      </c>
      <c r="R1336" s="66">
        <v>984</v>
      </c>
      <c r="S1336" s="66"/>
    </row>
    <row r="1337" spans="1:19" x14ac:dyDescent="0.25">
      <c r="A1337" s="15">
        <v>64</v>
      </c>
      <c r="B1337" s="66"/>
      <c r="C1337" s="66">
        <v>2429</v>
      </c>
      <c r="D1337" s="66"/>
      <c r="E1337" s="66" t="s">
        <v>763</v>
      </c>
      <c r="F1337" s="66">
        <v>0</v>
      </c>
      <c r="G1337" s="66"/>
      <c r="H1337" s="66">
        <v>3</v>
      </c>
      <c r="I1337" s="66" t="e">
        <v>#N/A</v>
      </c>
      <c r="J1337" s="66" t="s">
        <v>870</v>
      </c>
      <c r="K1337" s="66"/>
      <c r="L1337" s="66"/>
      <c r="M1337" s="66"/>
      <c r="N1337" s="66"/>
      <c r="O1337" s="66" t="s">
        <v>893</v>
      </c>
      <c r="P1337" s="66"/>
      <c r="Q1337" s="66">
        <v>1</v>
      </c>
      <c r="R1337" s="66">
        <v>985</v>
      </c>
      <c r="S1337" s="66"/>
    </row>
    <row r="1338" spans="1:19" x14ac:dyDescent="0.25">
      <c r="A1338" s="15">
        <v>64</v>
      </c>
      <c r="B1338" s="66"/>
      <c r="C1338" s="66">
        <v>2429</v>
      </c>
      <c r="D1338" s="66"/>
      <c r="E1338" s="66" t="s">
        <v>763</v>
      </c>
      <c r="F1338" s="66">
        <v>3</v>
      </c>
      <c r="G1338" s="66"/>
      <c r="H1338" s="66">
        <v>3</v>
      </c>
      <c r="I1338" s="66" t="e">
        <v>#N/A</v>
      </c>
      <c r="J1338" s="66" t="s">
        <v>870</v>
      </c>
      <c r="K1338" s="66"/>
      <c r="L1338" s="66"/>
      <c r="M1338" s="66"/>
      <c r="N1338" s="66"/>
      <c r="O1338" s="66" t="s">
        <v>895</v>
      </c>
      <c r="P1338" s="66"/>
      <c r="Q1338" s="66">
        <v>1</v>
      </c>
      <c r="R1338" s="66">
        <v>1202</v>
      </c>
      <c r="S1338" s="66"/>
    </row>
    <row r="1339" spans="1:19" x14ac:dyDescent="0.25">
      <c r="A1339" s="15">
        <v>64</v>
      </c>
      <c r="B1339" s="66"/>
      <c r="C1339" s="66">
        <v>2429</v>
      </c>
      <c r="D1339" s="66"/>
      <c r="E1339" s="66" t="s">
        <v>763</v>
      </c>
      <c r="F1339" s="66">
        <v>3</v>
      </c>
      <c r="G1339" s="66"/>
      <c r="H1339" s="66">
        <v>3</v>
      </c>
      <c r="I1339" s="66" t="e">
        <v>#N/A</v>
      </c>
      <c r="J1339" s="66" t="s">
        <v>870</v>
      </c>
      <c r="K1339" s="66"/>
      <c r="L1339" s="66"/>
      <c r="M1339" s="66"/>
      <c r="N1339" s="66"/>
      <c r="O1339" s="66" t="s">
        <v>896</v>
      </c>
      <c r="P1339" s="66"/>
      <c r="Q1339" s="66">
        <v>1</v>
      </c>
      <c r="R1339" s="66">
        <v>1203</v>
      </c>
      <c r="S1339" s="66"/>
    </row>
    <row r="1340" spans="1:19" x14ac:dyDescent="0.25">
      <c r="A1340" s="15">
        <v>64</v>
      </c>
      <c r="B1340" s="66"/>
      <c r="C1340" s="66">
        <v>2429</v>
      </c>
      <c r="D1340" s="66"/>
      <c r="E1340" s="66" t="s">
        <v>763</v>
      </c>
      <c r="F1340" s="66">
        <v>3</v>
      </c>
      <c r="G1340" s="66"/>
      <c r="H1340" s="66">
        <v>3</v>
      </c>
      <c r="I1340" s="66" t="e">
        <v>#N/A</v>
      </c>
      <c r="J1340" s="66" t="s">
        <v>870</v>
      </c>
      <c r="K1340" s="66"/>
      <c r="L1340" s="66"/>
      <c r="M1340" s="66"/>
      <c r="N1340" s="66"/>
      <c r="O1340" s="66" t="s">
        <v>897</v>
      </c>
      <c r="P1340" s="66"/>
      <c r="Q1340" s="66">
        <v>1</v>
      </c>
      <c r="R1340" s="66">
        <v>1204</v>
      </c>
      <c r="S1340" s="66"/>
    </row>
    <row r="1341" spans="1:19" x14ac:dyDescent="0.25">
      <c r="A1341" s="15">
        <v>64</v>
      </c>
      <c r="B1341" s="66"/>
      <c r="C1341" s="66">
        <v>2429</v>
      </c>
      <c r="D1341" s="66"/>
      <c r="E1341" s="66" t="s">
        <v>763</v>
      </c>
      <c r="F1341" s="66">
        <v>3</v>
      </c>
      <c r="G1341" s="66"/>
      <c r="H1341" s="66">
        <v>3</v>
      </c>
      <c r="I1341" s="66" t="e">
        <v>#N/A</v>
      </c>
      <c r="J1341" s="66" t="s">
        <v>870</v>
      </c>
      <c r="K1341" s="66"/>
      <c r="L1341" s="66"/>
      <c r="M1341" s="66"/>
      <c r="N1341" s="66"/>
      <c r="O1341" s="66" t="s">
        <v>898</v>
      </c>
      <c r="P1341" s="66"/>
      <c r="Q1341" s="66">
        <v>1</v>
      </c>
      <c r="R1341" s="66">
        <v>1205</v>
      </c>
      <c r="S1341" s="66"/>
    </row>
    <row r="1342" spans="1:19" x14ac:dyDescent="0.25">
      <c r="A1342" s="15">
        <v>64</v>
      </c>
      <c r="B1342" s="66"/>
      <c r="C1342" s="66">
        <v>2429</v>
      </c>
      <c r="D1342" s="66"/>
      <c r="E1342" s="66" t="s">
        <v>763</v>
      </c>
      <c r="F1342" s="66">
        <v>3</v>
      </c>
      <c r="G1342" s="66"/>
      <c r="H1342" s="66">
        <v>3</v>
      </c>
      <c r="I1342" s="66" t="e">
        <v>#N/A</v>
      </c>
      <c r="J1342" s="66" t="s">
        <v>870</v>
      </c>
      <c r="K1342" s="66"/>
      <c r="L1342" s="66"/>
      <c r="M1342" s="66"/>
      <c r="N1342" s="66"/>
      <c r="O1342" s="66" t="s">
        <v>899</v>
      </c>
      <c r="P1342" s="66"/>
      <c r="Q1342" s="66">
        <v>1</v>
      </c>
      <c r="R1342" s="66">
        <v>1206</v>
      </c>
      <c r="S1342" s="66"/>
    </row>
    <row r="1343" spans="1:19" x14ac:dyDescent="0.25">
      <c r="A1343" s="15">
        <v>64</v>
      </c>
      <c r="B1343" s="66"/>
      <c r="C1343" s="66">
        <v>2429</v>
      </c>
      <c r="D1343" s="66"/>
      <c r="E1343" s="66" t="s">
        <v>763</v>
      </c>
      <c r="F1343" s="66">
        <v>3</v>
      </c>
      <c r="G1343" s="66"/>
      <c r="H1343" s="66">
        <v>3</v>
      </c>
      <c r="I1343" s="66" t="e">
        <v>#N/A</v>
      </c>
      <c r="J1343" s="66" t="s">
        <v>870</v>
      </c>
      <c r="K1343" s="66"/>
      <c r="L1343" s="66"/>
      <c r="M1343" s="66"/>
      <c r="N1343" s="66"/>
      <c r="O1343" s="66" t="s">
        <v>900</v>
      </c>
      <c r="P1343" s="66"/>
      <c r="Q1343" s="66">
        <v>1</v>
      </c>
      <c r="R1343" s="66">
        <v>1207</v>
      </c>
      <c r="S1343" s="66"/>
    </row>
    <row r="1344" spans="1:19" x14ac:dyDescent="0.25">
      <c r="A1344" s="15">
        <v>64</v>
      </c>
      <c r="B1344" s="66"/>
      <c r="C1344" s="66">
        <v>2429</v>
      </c>
      <c r="D1344" s="66"/>
      <c r="E1344" s="66" t="s">
        <v>763</v>
      </c>
      <c r="F1344" s="66">
        <v>3</v>
      </c>
      <c r="G1344" s="66"/>
      <c r="H1344" s="66">
        <v>3</v>
      </c>
      <c r="I1344" s="66" t="e">
        <v>#N/A</v>
      </c>
      <c r="J1344" s="66" t="s">
        <v>870</v>
      </c>
      <c r="K1344" s="66"/>
      <c r="L1344" s="66"/>
      <c r="M1344" s="66"/>
      <c r="N1344" s="66"/>
      <c r="O1344" s="66" t="s">
        <v>901</v>
      </c>
      <c r="P1344" s="66"/>
      <c r="Q1344" s="66">
        <v>1</v>
      </c>
      <c r="R1344" s="66">
        <v>1208</v>
      </c>
      <c r="S1344" s="66"/>
    </row>
    <row r="1345" spans="1:19" x14ac:dyDescent="0.25">
      <c r="A1345" s="15">
        <v>64</v>
      </c>
      <c r="B1345" s="66"/>
      <c r="C1345" s="66">
        <v>2429</v>
      </c>
      <c r="D1345" s="66"/>
      <c r="E1345" s="66" t="s">
        <v>763</v>
      </c>
      <c r="F1345" s="66">
        <v>3</v>
      </c>
      <c r="G1345" s="66"/>
      <c r="H1345" s="66">
        <v>3</v>
      </c>
      <c r="I1345" s="66" t="e">
        <v>#N/A</v>
      </c>
      <c r="J1345" s="66" t="s">
        <v>870</v>
      </c>
      <c r="K1345" s="66"/>
      <c r="L1345" s="66"/>
      <c r="M1345" s="66"/>
      <c r="N1345" s="66"/>
      <c r="O1345" s="66" t="s">
        <v>902</v>
      </c>
      <c r="P1345" s="66"/>
      <c r="Q1345" s="66">
        <v>1</v>
      </c>
      <c r="R1345" s="66">
        <v>1209</v>
      </c>
      <c r="S1345" s="66"/>
    </row>
    <row r="1346" spans="1:19" x14ac:dyDescent="0.25">
      <c r="A1346" s="15">
        <v>64</v>
      </c>
      <c r="B1346" s="66"/>
      <c r="C1346" s="66">
        <v>2429</v>
      </c>
      <c r="D1346" s="66"/>
      <c r="E1346" s="66" t="s">
        <v>763</v>
      </c>
      <c r="F1346" s="66">
        <v>3</v>
      </c>
      <c r="G1346" s="66"/>
      <c r="H1346" s="66">
        <v>3</v>
      </c>
      <c r="I1346" s="66" t="e">
        <v>#N/A</v>
      </c>
      <c r="J1346" s="66" t="s">
        <v>870</v>
      </c>
      <c r="K1346" s="66"/>
      <c r="L1346" s="66"/>
      <c r="M1346" s="66"/>
      <c r="N1346" s="66"/>
      <c r="O1346" s="66" t="s">
        <v>903</v>
      </c>
      <c r="P1346" s="66"/>
      <c r="Q1346" s="66">
        <v>1</v>
      </c>
      <c r="R1346" s="66">
        <v>1210</v>
      </c>
      <c r="S1346" s="66"/>
    </row>
    <row r="1347" spans="1:19" x14ac:dyDescent="0.25">
      <c r="A1347" s="15">
        <v>64</v>
      </c>
      <c r="B1347" s="66"/>
      <c r="C1347" s="66">
        <v>2429</v>
      </c>
      <c r="D1347" s="66"/>
      <c r="E1347" s="66" t="s">
        <v>763</v>
      </c>
      <c r="F1347" s="66">
        <v>3</v>
      </c>
      <c r="G1347" s="66"/>
      <c r="H1347" s="66">
        <v>3</v>
      </c>
      <c r="I1347" s="66" t="e">
        <v>#N/A</v>
      </c>
      <c r="J1347" s="66" t="s">
        <v>870</v>
      </c>
      <c r="K1347" s="66"/>
      <c r="L1347" s="66"/>
      <c r="M1347" s="66"/>
      <c r="N1347" s="66"/>
      <c r="O1347" s="66" t="s">
        <v>904</v>
      </c>
      <c r="P1347" s="66"/>
      <c r="Q1347" s="66">
        <v>1</v>
      </c>
      <c r="R1347" s="66">
        <v>1211</v>
      </c>
      <c r="S1347" s="66"/>
    </row>
    <row r="1348" spans="1:19" x14ac:dyDescent="0.25">
      <c r="A1348" s="15">
        <v>64</v>
      </c>
      <c r="B1348" s="66"/>
      <c r="C1348" s="66">
        <v>2429</v>
      </c>
      <c r="D1348" s="66"/>
      <c r="E1348" s="66" t="s">
        <v>763</v>
      </c>
      <c r="F1348" s="66">
        <v>3</v>
      </c>
      <c r="G1348" s="66"/>
      <c r="H1348" s="66">
        <v>3</v>
      </c>
      <c r="I1348" s="66" t="e">
        <v>#N/A</v>
      </c>
      <c r="J1348" s="66" t="s">
        <v>870</v>
      </c>
      <c r="K1348" s="66"/>
      <c r="L1348" s="66"/>
      <c r="M1348" s="66"/>
      <c r="N1348" s="66"/>
      <c r="O1348" s="66" t="s">
        <v>905</v>
      </c>
      <c r="P1348" s="66"/>
      <c r="Q1348" s="66">
        <v>1</v>
      </c>
      <c r="R1348" s="66">
        <v>1212</v>
      </c>
      <c r="S1348" s="66"/>
    </row>
    <row r="1349" spans="1:19" x14ac:dyDescent="0.25">
      <c r="A1349" s="15">
        <v>64</v>
      </c>
      <c r="B1349" s="66"/>
      <c r="C1349" s="66">
        <v>2429</v>
      </c>
      <c r="D1349" s="66"/>
      <c r="E1349" s="66" t="s">
        <v>763</v>
      </c>
      <c r="F1349" s="66">
        <v>3</v>
      </c>
      <c r="G1349" s="66"/>
      <c r="H1349" s="66" t="e">
        <v>#N/A</v>
      </c>
      <c r="I1349" s="66"/>
      <c r="J1349" s="66" t="s">
        <v>870</v>
      </c>
      <c r="K1349" s="66"/>
      <c r="L1349" s="66"/>
      <c r="M1349" s="66"/>
      <c r="N1349" s="66"/>
      <c r="O1349" s="66" t="s">
        <v>907</v>
      </c>
      <c r="P1349" s="66"/>
      <c r="Q1349" s="66">
        <v>1</v>
      </c>
      <c r="R1349" s="66">
        <v>1309</v>
      </c>
      <c r="S1349" s="66"/>
    </row>
    <row r="1350" spans="1:19" x14ac:dyDescent="0.25">
      <c r="A1350" s="15">
        <v>64</v>
      </c>
      <c r="B1350" s="66"/>
      <c r="C1350" s="66">
        <v>2429</v>
      </c>
      <c r="D1350" s="66"/>
      <c r="E1350" s="66" t="s">
        <v>763</v>
      </c>
      <c r="F1350" s="66">
        <v>5</v>
      </c>
      <c r="G1350" s="66"/>
      <c r="H1350" s="66" t="e">
        <v>#N/A</v>
      </c>
      <c r="I1350" s="66"/>
      <c r="J1350" s="66" t="s">
        <v>870</v>
      </c>
      <c r="K1350" s="66"/>
      <c r="L1350" s="66"/>
      <c r="M1350" s="66"/>
      <c r="N1350" s="66"/>
      <c r="O1350" s="66" t="s">
        <v>909</v>
      </c>
      <c r="P1350" s="66"/>
      <c r="Q1350" s="66">
        <v>1</v>
      </c>
      <c r="R1350" s="66">
        <v>1496</v>
      </c>
      <c r="S1350" s="66"/>
    </row>
    <row r="1351" spans="1:19" x14ac:dyDescent="0.25">
      <c r="A1351" s="15">
        <v>64</v>
      </c>
      <c r="B1351" s="66"/>
      <c r="C1351" s="66">
        <v>2429</v>
      </c>
      <c r="D1351" s="66"/>
      <c r="E1351" s="66" t="s">
        <v>763</v>
      </c>
      <c r="F1351" s="66">
        <v>5</v>
      </c>
      <c r="G1351" s="66"/>
      <c r="H1351" s="66" t="e">
        <v>#N/A</v>
      </c>
      <c r="I1351" s="66"/>
      <c r="J1351" s="66" t="s">
        <v>870</v>
      </c>
      <c r="K1351" s="66"/>
      <c r="L1351" s="66"/>
      <c r="M1351" s="66"/>
      <c r="N1351" s="66"/>
      <c r="O1351" s="66" t="s">
        <v>910</v>
      </c>
      <c r="P1351" s="66"/>
      <c r="Q1351" s="66">
        <v>1</v>
      </c>
      <c r="R1351" s="66">
        <v>1497</v>
      </c>
      <c r="S1351" s="66"/>
    </row>
    <row r="1352" spans="1:19" x14ac:dyDescent="0.25">
      <c r="A1352" s="15">
        <v>64</v>
      </c>
      <c r="B1352" s="66"/>
      <c r="C1352" s="66">
        <v>2429</v>
      </c>
      <c r="D1352" s="66"/>
      <c r="E1352" s="66" t="s">
        <v>763</v>
      </c>
      <c r="F1352" s="66">
        <v>5</v>
      </c>
      <c r="G1352" s="66"/>
      <c r="H1352" s="66" t="e">
        <v>#N/A</v>
      </c>
      <c r="I1352" s="66"/>
      <c r="J1352" s="66" t="s">
        <v>870</v>
      </c>
      <c r="K1352" s="66"/>
      <c r="L1352" s="66"/>
      <c r="M1352" s="66"/>
      <c r="N1352" s="66"/>
      <c r="O1352" s="66" t="s">
        <v>911</v>
      </c>
      <c r="P1352" s="66"/>
      <c r="Q1352" s="66">
        <v>1</v>
      </c>
      <c r="R1352" s="66">
        <v>1498</v>
      </c>
      <c r="S1352" s="66"/>
    </row>
    <row r="1353" spans="1:19" x14ac:dyDescent="0.25">
      <c r="A1353" s="15">
        <v>64</v>
      </c>
      <c r="B1353" s="66"/>
      <c r="C1353" s="66">
        <v>2429</v>
      </c>
      <c r="D1353" s="66"/>
      <c r="E1353" s="66" t="s">
        <v>763</v>
      </c>
      <c r="F1353" s="66">
        <v>5</v>
      </c>
      <c r="G1353" s="66"/>
      <c r="H1353" s="66" t="e">
        <v>#N/A</v>
      </c>
      <c r="I1353" s="66"/>
      <c r="J1353" s="66" t="s">
        <v>870</v>
      </c>
      <c r="K1353" s="66"/>
      <c r="L1353" s="66"/>
      <c r="M1353" s="66"/>
      <c r="N1353" s="66"/>
      <c r="O1353" s="66" t="s">
        <v>912</v>
      </c>
      <c r="P1353" s="66"/>
      <c r="Q1353" s="66">
        <v>1</v>
      </c>
      <c r="R1353" s="66">
        <v>1499</v>
      </c>
      <c r="S1353" s="66"/>
    </row>
    <row r="1354" spans="1:19" x14ac:dyDescent="0.25">
      <c r="A1354" s="15">
        <v>64</v>
      </c>
      <c r="B1354" s="66"/>
      <c r="C1354" s="66">
        <v>2429</v>
      </c>
      <c r="D1354" s="66"/>
      <c r="E1354" s="66" t="s">
        <v>763</v>
      </c>
      <c r="F1354" s="66">
        <v>5</v>
      </c>
      <c r="G1354" s="66"/>
      <c r="H1354" s="66" t="e">
        <v>#N/A</v>
      </c>
      <c r="I1354" s="66"/>
      <c r="J1354" s="66" t="s">
        <v>870</v>
      </c>
      <c r="K1354" s="66"/>
      <c r="L1354" s="66"/>
      <c r="M1354" s="66"/>
      <c r="N1354" s="66"/>
      <c r="O1354" s="66" t="s">
        <v>913</v>
      </c>
      <c r="P1354" s="66"/>
      <c r="Q1354" s="66">
        <v>1</v>
      </c>
      <c r="R1354" s="66">
        <v>1500</v>
      </c>
      <c r="S1354" s="66"/>
    </row>
    <row r="1355" spans="1:19" x14ac:dyDescent="0.25">
      <c r="A1355" s="15">
        <v>64</v>
      </c>
      <c r="B1355" s="66"/>
      <c r="C1355" s="66">
        <v>2429</v>
      </c>
      <c r="D1355" s="66"/>
      <c r="E1355" s="66" t="s">
        <v>763</v>
      </c>
      <c r="F1355" s="66">
        <v>5</v>
      </c>
      <c r="G1355" s="66"/>
      <c r="H1355" s="66" t="e">
        <v>#N/A</v>
      </c>
      <c r="I1355" s="66"/>
      <c r="J1355" s="66" t="s">
        <v>870</v>
      </c>
      <c r="K1355" s="66"/>
      <c r="L1355" s="66"/>
      <c r="M1355" s="66"/>
      <c r="N1355" s="66"/>
      <c r="O1355" s="66" t="s">
        <v>914</v>
      </c>
      <c r="P1355" s="66"/>
      <c r="Q1355" s="66">
        <v>1</v>
      </c>
      <c r="R1355" s="66">
        <v>1501</v>
      </c>
      <c r="S1355" s="66"/>
    </row>
    <row r="1356" spans="1:19" x14ac:dyDescent="0.25">
      <c r="A1356" s="15">
        <v>64</v>
      </c>
      <c r="B1356" s="66"/>
      <c r="C1356" s="66">
        <v>2429</v>
      </c>
      <c r="D1356" s="66"/>
      <c r="E1356" s="66" t="s">
        <v>763</v>
      </c>
      <c r="F1356" s="66">
        <v>5</v>
      </c>
      <c r="G1356" s="66"/>
      <c r="H1356" s="66" t="e">
        <v>#N/A</v>
      </c>
      <c r="I1356" s="66"/>
      <c r="J1356" s="66" t="s">
        <v>870</v>
      </c>
      <c r="K1356" s="66"/>
      <c r="L1356" s="66"/>
      <c r="M1356" s="66"/>
      <c r="N1356" s="66"/>
      <c r="O1356" s="66" t="s">
        <v>915</v>
      </c>
      <c r="P1356" s="66"/>
      <c r="Q1356" s="66">
        <v>1</v>
      </c>
      <c r="R1356" s="66">
        <v>1502</v>
      </c>
      <c r="S1356" s="66"/>
    </row>
    <row r="1357" spans="1:19" x14ac:dyDescent="0.25">
      <c r="A1357" s="15">
        <v>64</v>
      </c>
      <c r="B1357" s="66"/>
      <c r="C1357" s="66">
        <v>2429</v>
      </c>
      <c r="D1357" s="66"/>
      <c r="E1357" s="66" t="s">
        <v>763</v>
      </c>
      <c r="F1357" s="66">
        <v>5</v>
      </c>
      <c r="G1357" s="66"/>
      <c r="H1357" s="66" t="e">
        <v>#N/A</v>
      </c>
      <c r="I1357" s="66"/>
      <c r="J1357" s="66" t="s">
        <v>870</v>
      </c>
      <c r="K1357" s="66"/>
      <c r="L1357" s="66"/>
      <c r="M1357" s="66"/>
      <c r="N1357" s="66"/>
      <c r="O1357" s="66" t="s">
        <v>916</v>
      </c>
      <c r="P1357" s="66"/>
      <c r="Q1357" s="66">
        <v>1</v>
      </c>
      <c r="R1357" s="66">
        <v>1503</v>
      </c>
      <c r="S1357" s="66"/>
    </row>
    <row r="1358" spans="1:19" x14ac:dyDescent="0.25">
      <c r="A1358" s="15">
        <v>64</v>
      </c>
      <c r="B1358" s="66"/>
      <c r="C1358" s="66">
        <v>2429</v>
      </c>
      <c r="D1358" s="66"/>
      <c r="E1358" s="66" t="s">
        <v>763</v>
      </c>
      <c r="F1358" s="66">
        <v>5</v>
      </c>
      <c r="G1358" s="66"/>
      <c r="H1358" s="66" t="e">
        <v>#N/A</v>
      </c>
      <c r="I1358" s="66"/>
      <c r="J1358" s="66" t="s">
        <v>870</v>
      </c>
      <c r="K1358" s="66"/>
      <c r="L1358" s="66"/>
      <c r="M1358" s="66"/>
      <c r="N1358" s="66"/>
      <c r="O1358" s="66" t="s">
        <v>917</v>
      </c>
      <c r="P1358" s="66"/>
      <c r="Q1358" s="66">
        <v>1</v>
      </c>
      <c r="R1358" s="66">
        <v>1504</v>
      </c>
      <c r="S1358" s="66"/>
    </row>
    <row r="1359" spans="1:19" x14ac:dyDescent="0.25">
      <c r="A1359" s="15">
        <v>64</v>
      </c>
      <c r="B1359" s="66"/>
      <c r="C1359" s="66">
        <v>2429</v>
      </c>
      <c r="D1359" s="66"/>
      <c r="E1359" s="66" t="s">
        <v>763</v>
      </c>
      <c r="F1359" s="66">
        <v>5</v>
      </c>
      <c r="G1359" s="66"/>
      <c r="H1359" s="66" t="e">
        <v>#N/A</v>
      </c>
      <c r="I1359" s="66"/>
      <c r="J1359" s="66" t="s">
        <v>870</v>
      </c>
      <c r="K1359" s="66"/>
      <c r="L1359" s="66"/>
      <c r="M1359" s="66"/>
      <c r="N1359" s="66"/>
      <c r="O1359" s="66" t="s">
        <v>918</v>
      </c>
      <c r="P1359" s="66"/>
      <c r="Q1359" s="66">
        <v>1</v>
      </c>
      <c r="R1359" s="66">
        <v>1505</v>
      </c>
      <c r="S1359" s="66"/>
    </row>
    <row r="1360" spans="1:19" x14ac:dyDescent="0.25">
      <c r="A1360" s="15">
        <v>64</v>
      </c>
      <c r="B1360" s="66"/>
      <c r="C1360" s="66">
        <v>2429</v>
      </c>
      <c r="D1360" s="66"/>
      <c r="E1360" s="66" t="s">
        <v>763</v>
      </c>
      <c r="F1360" s="66">
        <v>5</v>
      </c>
      <c r="G1360" s="66"/>
      <c r="H1360" s="66" t="e">
        <v>#N/A</v>
      </c>
      <c r="I1360" s="66"/>
      <c r="J1360" s="66" t="s">
        <v>870</v>
      </c>
      <c r="K1360" s="66"/>
      <c r="L1360" s="66"/>
      <c r="M1360" s="66"/>
      <c r="N1360" s="66"/>
      <c r="O1360" s="66" t="s">
        <v>919</v>
      </c>
      <c r="P1360" s="66"/>
      <c r="Q1360" s="66">
        <v>1</v>
      </c>
      <c r="R1360" s="66">
        <v>1506</v>
      </c>
      <c r="S1360" s="66"/>
    </row>
    <row r="1361" spans="1:19" x14ac:dyDescent="0.25">
      <c r="A1361" s="15">
        <v>65</v>
      </c>
      <c r="B1361" s="66"/>
      <c r="C1361" s="66"/>
      <c r="D1361" s="66"/>
      <c r="E1361" s="66"/>
      <c r="F1361" s="66"/>
      <c r="G1361" s="66"/>
      <c r="H1361" s="66"/>
      <c r="I1361" s="66"/>
      <c r="J1361" s="66"/>
      <c r="K1361" s="66"/>
      <c r="L1361" s="66"/>
      <c r="M1361" s="66"/>
      <c r="N1361" s="66"/>
      <c r="O1361" s="66"/>
      <c r="P1361" s="66"/>
      <c r="Q1361" s="66"/>
      <c r="R1361" s="66"/>
      <c r="S1361" s="66"/>
    </row>
    <row r="1362" spans="1:19" x14ac:dyDescent="0.25">
      <c r="A1362" s="15">
        <v>65</v>
      </c>
      <c r="B1362" s="66"/>
      <c r="C1362" s="66"/>
      <c r="D1362" s="66"/>
      <c r="E1362" s="66"/>
      <c r="F1362" s="66"/>
      <c r="G1362" s="66"/>
      <c r="H1362" s="66"/>
      <c r="I1362" s="66"/>
      <c r="J1362" s="66"/>
      <c r="K1362" s="66"/>
      <c r="L1362" s="66"/>
      <c r="M1362" s="66"/>
      <c r="N1362" s="66"/>
      <c r="O1362" s="66" t="s">
        <v>825</v>
      </c>
      <c r="P1362" s="66"/>
      <c r="Q1362" s="66"/>
      <c r="R1362" s="66"/>
      <c r="S1362" s="66"/>
    </row>
    <row r="1363" spans="1:19" x14ac:dyDescent="0.25">
      <c r="A1363" s="15">
        <v>65</v>
      </c>
      <c r="B1363" s="66"/>
      <c r="C1363" s="66"/>
      <c r="D1363" s="66"/>
      <c r="E1363" s="66"/>
      <c r="F1363" s="66"/>
      <c r="G1363" s="66"/>
      <c r="H1363" s="66"/>
      <c r="I1363" s="66"/>
      <c r="J1363" s="66"/>
      <c r="K1363" s="66"/>
      <c r="L1363" s="66"/>
      <c r="M1363" s="66"/>
      <c r="N1363" s="66"/>
      <c r="O1363" s="66" t="s">
        <v>837</v>
      </c>
      <c r="P1363" s="66"/>
      <c r="Q1363" s="66"/>
      <c r="R1363" s="66"/>
      <c r="S1363" s="66"/>
    </row>
    <row r="1364" spans="1:19" x14ac:dyDescent="0.25">
      <c r="A1364" s="15">
        <v>65</v>
      </c>
      <c r="B1364" s="66"/>
      <c r="C1364" s="66"/>
      <c r="D1364" s="66"/>
      <c r="E1364" s="66"/>
      <c r="F1364" s="66"/>
      <c r="G1364" s="66"/>
      <c r="H1364" s="66"/>
      <c r="I1364" s="66"/>
      <c r="J1364" s="66"/>
      <c r="K1364" s="66"/>
      <c r="L1364" s="66"/>
      <c r="M1364" s="66"/>
      <c r="N1364" s="66"/>
      <c r="O1364" s="66" t="s">
        <v>848</v>
      </c>
      <c r="P1364" s="66"/>
      <c r="Q1364" s="66"/>
      <c r="R1364" s="66"/>
      <c r="S1364" s="66"/>
    </row>
    <row r="1365" spans="1:19" x14ac:dyDescent="0.25">
      <c r="A1365" s="15">
        <v>65</v>
      </c>
      <c r="B1365" s="66"/>
      <c r="C1365" s="66" t="s">
        <v>77</v>
      </c>
      <c r="D1365" s="66"/>
      <c r="E1365" s="66" t="s">
        <v>763</v>
      </c>
      <c r="F1365" s="66">
        <v>10</v>
      </c>
      <c r="G1365" s="66"/>
      <c r="H1365" s="66">
        <v>10</v>
      </c>
      <c r="I1365" s="66">
        <v>11.916666666666666</v>
      </c>
      <c r="J1365" s="66" t="s">
        <v>850</v>
      </c>
      <c r="K1365" s="66"/>
      <c r="L1365" s="66"/>
      <c r="M1365" s="66"/>
      <c r="N1365" s="66"/>
      <c r="O1365" s="66" t="s">
        <v>851</v>
      </c>
      <c r="P1365" s="66"/>
      <c r="Q1365" s="66">
        <v>1</v>
      </c>
      <c r="R1365" s="66">
        <v>330</v>
      </c>
      <c r="S1365" s="66"/>
    </row>
    <row r="1366" spans="1:19" x14ac:dyDescent="0.25">
      <c r="A1366" s="15">
        <v>65</v>
      </c>
      <c r="B1366" s="66"/>
      <c r="C1366" s="66">
        <v>2429</v>
      </c>
      <c r="D1366" s="66"/>
      <c r="E1366" s="66" t="s">
        <v>763</v>
      </c>
      <c r="F1366" s="66">
        <v>10</v>
      </c>
      <c r="G1366" s="66"/>
      <c r="H1366" s="66"/>
      <c r="I1366" s="66">
        <v>15.666666666666666</v>
      </c>
      <c r="J1366" s="66" t="s">
        <v>850</v>
      </c>
      <c r="K1366" s="66"/>
      <c r="L1366" s="66"/>
      <c r="M1366" s="66"/>
      <c r="N1366" s="66"/>
      <c r="O1366" s="66" t="s">
        <v>853</v>
      </c>
      <c r="P1366" s="66"/>
      <c r="Q1366" s="66">
        <v>1</v>
      </c>
      <c r="R1366" s="66">
        <v>527</v>
      </c>
      <c r="S1366" s="66"/>
    </row>
    <row r="1367" spans="1:19" x14ac:dyDescent="0.25">
      <c r="A1367" s="15">
        <v>65</v>
      </c>
      <c r="B1367" s="66"/>
      <c r="C1367" s="66">
        <v>2429</v>
      </c>
      <c r="D1367" s="66"/>
      <c r="E1367" s="66" t="s">
        <v>763</v>
      </c>
      <c r="F1367" s="66">
        <v>6</v>
      </c>
      <c r="G1367" s="66"/>
      <c r="H1367" s="66"/>
      <c r="I1367" s="66">
        <v>15.666666666666666</v>
      </c>
      <c r="J1367" s="66" t="s">
        <v>850</v>
      </c>
      <c r="K1367" s="66"/>
      <c r="L1367" s="66"/>
      <c r="M1367" s="66"/>
      <c r="N1367" s="66"/>
      <c r="O1367" s="66" t="s">
        <v>854</v>
      </c>
      <c r="P1367" s="66"/>
      <c r="Q1367" s="66">
        <v>1</v>
      </c>
      <c r="R1367" s="66">
        <v>528</v>
      </c>
      <c r="S1367" s="66"/>
    </row>
    <row r="1368" spans="1:19" x14ac:dyDescent="0.25">
      <c r="A1368" s="15">
        <v>65</v>
      </c>
      <c r="B1368" s="66"/>
      <c r="C1368" s="66">
        <v>2429</v>
      </c>
      <c r="D1368" s="66"/>
      <c r="E1368" s="66" t="s">
        <v>763</v>
      </c>
      <c r="F1368" s="66">
        <v>6</v>
      </c>
      <c r="G1368" s="66"/>
      <c r="H1368" s="66"/>
      <c r="I1368" s="66">
        <v>15.666666666666666</v>
      </c>
      <c r="J1368" s="66" t="s">
        <v>850</v>
      </c>
      <c r="K1368" s="66"/>
      <c r="L1368" s="66"/>
      <c r="M1368" s="66"/>
      <c r="N1368" s="66"/>
      <c r="O1368" s="66" t="s">
        <v>855</v>
      </c>
      <c r="P1368" s="66"/>
      <c r="Q1368" s="66">
        <v>1</v>
      </c>
      <c r="R1368" s="66">
        <v>529</v>
      </c>
      <c r="S1368" s="66"/>
    </row>
    <row r="1369" spans="1:19" x14ac:dyDescent="0.25">
      <c r="A1369" s="15">
        <v>65</v>
      </c>
      <c r="B1369" s="66"/>
      <c r="C1369" s="66">
        <v>2429</v>
      </c>
      <c r="D1369" s="66"/>
      <c r="E1369" s="66" t="s">
        <v>763</v>
      </c>
      <c r="F1369" s="66">
        <v>6</v>
      </c>
      <c r="G1369" s="66"/>
      <c r="H1369" s="66"/>
      <c r="I1369" s="66">
        <v>15.666666666666666</v>
      </c>
      <c r="J1369" s="66" t="s">
        <v>850</v>
      </c>
      <c r="K1369" s="66"/>
      <c r="L1369" s="66"/>
      <c r="M1369" s="66"/>
      <c r="N1369" s="66"/>
      <c r="O1369" s="66" t="s">
        <v>856</v>
      </c>
      <c r="P1369" s="66"/>
      <c r="Q1369" s="66">
        <v>1</v>
      </c>
      <c r="R1369" s="66">
        <v>530</v>
      </c>
      <c r="S1369" s="66"/>
    </row>
    <row r="1370" spans="1:19" x14ac:dyDescent="0.25">
      <c r="A1370" s="15">
        <v>65</v>
      </c>
      <c r="B1370" s="66"/>
      <c r="C1370" s="66">
        <v>2429</v>
      </c>
      <c r="D1370" s="66"/>
      <c r="E1370" s="66" t="s">
        <v>763</v>
      </c>
      <c r="F1370" s="66">
        <v>6</v>
      </c>
      <c r="G1370" s="66"/>
      <c r="H1370" s="66"/>
      <c r="I1370" s="66">
        <v>15.666666666666666</v>
      </c>
      <c r="J1370" s="66" t="s">
        <v>850</v>
      </c>
      <c r="K1370" s="66"/>
      <c r="L1370" s="66"/>
      <c r="M1370" s="66"/>
      <c r="N1370" s="66"/>
      <c r="O1370" s="66" t="s">
        <v>857</v>
      </c>
      <c r="P1370" s="66"/>
      <c r="Q1370" s="66">
        <v>1</v>
      </c>
      <c r="R1370" s="66">
        <v>531</v>
      </c>
      <c r="S1370" s="66"/>
    </row>
    <row r="1371" spans="1:19" x14ac:dyDescent="0.25">
      <c r="A1371" s="15">
        <v>65</v>
      </c>
      <c r="B1371" s="66"/>
      <c r="C1371" s="66">
        <v>2429</v>
      </c>
      <c r="D1371" s="66"/>
      <c r="E1371" s="66" t="s">
        <v>763</v>
      </c>
      <c r="F1371" s="66">
        <v>6</v>
      </c>
      <c r="G1371" s="66"/>
      <c r="H1371" s="66"/>
      <c r="I1371" s="66">
        <v>15.666666666666666</v>
      </c>
      <c r="J1371" s="66" t="s">
        <v>850</v>
      </c>
      <c r="K1371" s="66"/>
      <c r="L1371" s="66"/>
      <c r="M1371" s="66"/>
      <c r="N1371" s="66"/>
      <c r="O1371" s="66" t="s">
        <v>858</v>
      </c>
      <c r="P1371" s="66"/>
      <c r="Q1371" s="66">
        <v>1</v>
      </c>
      <c r="R1371" s="66">
        <v>532</v>
      </c>
      <c r="S1371" s="66"/>
    </row>
    <row r="1372" spans="1:19" x14ac:dyDescent="0.25">
      <c r="A1372" s="15">
        <v>65</v>
      </c>
      <c r="B1372" s="66"/>
      <c r="C1372" s="66">
        <v>2429</v>
      </c>
      <c r="D1372" s="66"/>
      <c r="E1372" s="66" t="s">
        <v>763</v>
      </c>
      <c r="F1372" s="66">
        <v>6</v>
      </c>
      <c r="G1372" s="66"/>
      <c r="H1372" s="66"/>
      <c r="I1372" s="66">
        <v>15.666666666666666</v>
      </c>
      <c r="J1372" s="66" t="s">
        <v>850</v>
      </c>
      <c r="K1372" s="66"/>
      <c r="L1372" s="66"/>
      <c r="M1372" s="66"/>
      <c r="N1372" s="66"/>
      <c r="O1372" s="66" t="s">
        <v>859</v>
      </c>
      <c r="P1372" s="66"/>
      <c r="Q1372" s="66">
        <v>1</v>
      </c>
      <c r="R1372" s="66">
        <v>533</v>
      </c>
      <c r="S1372" s="66"/>
    </row>
    <row r="1373" spans="1:19" x14ac:dyDescent="0.25">
      <c r="A1373" s="15">
        <v>65</v>
      </c>
      <c r="B1373" s="66"/>
      <c r="C1373" s="66">
        <v>2429</v>
      </c>
      <c r="D1373" s="66"/>
      <c r="E1373" s="66" t="s">
        <v>763</v>
      </c>
      <c r="F1373" s="66">
        <v>6</v>
      </c>
      <c r="G1373" s="66"/>
      <c r="H1373" s="66"/>
      <c r="I1373" s="66">
        <v>15.666666666666666</v>
      </c>
      <c r="J1373" s="66" t="s">
        <v>850</v>
      </c>
      <c r="K1373" s="66"/>
      <c r="L1373" s="66"/>
      <c r="M1373" s="66"/>
      <c r="N1373" s="66"/>
      <c r="O1373" s="66" t="s">
        <v>860</v>
      </c>
      <c r="P1373" s="66"/>
      <c r="Q1373" s="66">
        <v>1</v>
      </c>
      <c r="R1373" s="66">
        <v>534</v>
      </c>
      <c r="S1373" s="66"/>
    </row>
    <row r="1374" spans="1:19" x14ac:dyDescent="0.25">
      <c r="A1374" s="15">
        <v>65</v>
      </c>
      <c r="B1374" s="66"/>
      <c r="C1374" s="66">
        <v>2429</v>
      </c>
      <c r="D1374" s="66"/>
      <c r="E1374" s="66" t="s">
        <v>763</v>
      </c>
      <c r="F1374" s="66">
        <v>6</v>
      </c>
      <c r="G1374" s="66"/>
      <c r="H1374" s="66"/>
      <c r="I1374" s="66">
        <v>15.666666666666666</v>
      </c>
      <c r="J1374" s="66" t="s">
        <v>850</v>
      </c>
      <c r="K1374" s="66"/>
      <c r="L1374" s="66"/>
      <c r="M1374" s="66"/>
      <c r="N1374" s="66"/>
      <c r="O1374" s="66" t="s">
        <v>861</v>
      </c>
      <c r="P1374" s="66"/>
      <c r="Q1374" s="66">
        <v>1</v>
      </c>
      <c r="R1374" s="66">
        <v>535</v>
      </c>
      <c r="S1374" s="66"/>
    </row>
    <row r="1375" spans="1:19" x14ac:dyDescent="0.25">
      <c r="A1375" s="15">
        <v>65</v>
      </c>
      <c r="B1375" s="66"/>
      <c r="C1375" s="66">
        <v>2429</v>
      </c>
      <c r="D1375" s="66"/>
      <c r="E1375" s="66" t="s">
        <v>763</v>
      </c>
      <c r="F1375" s="66">
        <v>6</v>
      </c>
      <c r="G1375" s="66"/>
      <c r="H1375" s="66"/>
      <c r="I1375" s="66">
        <v>15.666666666666666</v>
      </c>
      <c r="J1375" s="66" t="s">
        <v>850</v>
      </c>
      <c r="K1375" s="66"/>
      <c r="L1375" s="66"/>
      <c r="M1375" s="66"/>
      <c r="N1375" s="66"/>
      <c r="O1375" s="66" t="s">
        <v>862</v>
      </c>
      <c r="P1375" s="66"/>
      <c r="Q1375" s="66">
        <v>1</v>
      </c>
      <c r="R1375" s="66">
        <v>536</v>
      </c>
      <c r="S1375" s="66"/>
    </row>
    <row r="1376" spans="1:19" x14ac:dyDescent="0.25">
      <c r="A1376" s="15">
        <v>65</v>
      </c>
      <c r="B1376" s="66"/>
      <c r="C1376" s="66">
        <v>2429</v>
      </c>
      <c r="D1376" s="66"/>
      <c r="E1376" s="66" t="s">
        <v>763</v>
      </c>
      <c r="F1376" s="66">
        <v>10</v>
      </c>
      <c r="G1376" s="66"/>
      <c r="H1376" s="66"/>
      <c r="I1376" s="66">
        <v>10.583333333333334</v>
      </c>
      <c r="J1376" s="66" t="s">
        <v>850</v>
      </c>
      <c r="K1376" s="66"/>
      <c r="L1376" s="66"/>
      <c r="M1376" s="66"/>
      <c r="N1376" s="66"/>
      <c r="O1376" s="66" t="s">
        <v>863</v>
      </c>
      <c r="P1376" s="66"/>
      <c r="Q1376" s="66">
        <v>1</v>
      </c>
      <c r="R1376" s="66">
        <v>537</v>
      </c>
      <c r="S1376" s="66"/>
    </row>
    <row r="1377" spans="1:19" x14ac:dyDescent="0.25">
      <c r="A1377" s="15">
        <v>65</v>
      </c>
      <c r="B1377" s="66"/>
      <c r="C1377" s="66">
        <v>2429</v>
      </c>
      <c r="D1377" s="66"/>
      <c r="E1377" s="66" t="s">
        <v>763</v>
      </c>
      <c r="F1377" s="66">
        <v>1</v>
      </c>
      <c r="G1377" s="66"/>
      <c r="H1377" s="66" t="e">
        <v>#N/A</v>
      </c>
      <c r="I1377" s="66"/>
      <c r="J1377" s="66" t="s">
        <v>870</v>
      </c>
      <c r="K1377" s="66" t="s">
        <v>757</v>
      </c>
      <c r="L1377" s="66" t="s">
        <v>757</v>
      </c>
      <c r="M1377" s="66" t="s">
        <v>757</v>
      </c>
      <c r="N1377" s="66" t="s">
        <v>757</v>
      </c>
      <c r="O1377" s="66" t="s">
        <v>871</v>
      </c>
      <c r="P1377" s="66"/>
      <c r="Q1377" s="66">
        <v>1</v>
      </c>
      <c r="R1377" s="66">
        <v>759</v>
      </c>
      <c r="S1377" s="66"/>
    </row>
    <row r="1378" spans="1:19" x14ac:dyDescent="0.25">
      <c r="A1378" s="15">
        <v>65</v>
      </c>
      <c r="B1378" s="66"/>
      <c r="C1378" s="66">
        <v>2429</v>
      </c>
      <c r="D1378" s="66"/>
      <c r="E1378" s="66" t="s">
        <v>763</v>
      </c>
      <c r="F1378" s="66">
        <v>1</v>
      </c>
      <c r="G1378" s="66"/>
      <c r="H1378" s="66" t="e">
        <v>#N/A</v>
      </c>
      <c r="I1378" s="66"/>
      <c r="J1378" s="66" t="s">
        <v>870</v>
      </c>
      <c r="K1378" s="66" t="s">
        <v>757</v>
      </c>
      <c r="L1378" s="66" t="s">
        <v>757</v>
      </c>
      <c r="M1378" s="66" t="s">
        <v>757</v>
      </c>
      <c r="N1378" s="66" t="s">
        <v>757</v>
      </c>
      <c r="O1378" s="66" t="s">
        <v>872</v>
      </c>
      <c r="P1378" s="66"/>
      <c r="Q1378" s="66">
        <v>1</v>
      </c>
      <c r="R1378" s="66">
        <v>760</v>
      </c>
      <c r="S1378" s="66"/>
    </row>
    <row r="1379" spans="1:19" x14ac:dyDescent="0.25">
      <c r="A1379" s="15">
        <v>65</v>
      </c>
      <c r="B1379" s="66"/>
      <c r="C1379" s="66">
        <v>2429</v>
      </c>
      <c r="D1379" s="66"/>
      <c r="E1379" s="66" t="s">
        <v>763</v>
      </c>
      <c r="F1379" s="66">
        <v>1</v>
      </c>
      <c r="G1379" s="66"/>
      <c r="H1379" s="66" t="e">
        <v>#N/A</v>
      </c>
      <c r="I1379" s="66"/>
      <c r="J1379" s="66" t="s">
        <v>870</v>
      </c>
      <c r="K1379" s="66" t="s">
        <v>757</v>
      </c>
      <c r="L1379" s="66" t="s">
        <v>757</v>
      </c>
      <c r="M1379" s="66" t="s">
        <v>757</v>
      </c>
      <c r="N1379" s="66" t="s">
        <v>757</v>
      </c>
      <c r="O1379" s="66" t="s">
        <v>873</v>
      </c>
      <c r="P1379" s="66"/>
      <c r="Q1379" s="66">
        <v>1</v>
      </c>
      <c r="R1379" s="66">
        <v>761</v>
      </c>
      <c r="S1379" s="66"/>
    </row>
    <row r="1380" spans="1:19" x14ac:dyDescent="0.25">
      <c r="A1380" s="15">
        <v>65</v>
      </c>
      <c r="B1380" s="66"/>
      <c r="C1380" s="66">
        <v>2429</v>
      </c>
      <c r="D1380" s="66"/>
      <c r="E1380" s="66" t="s">
        <v>763</v>
      </c>
      <c r="F1380" s="66">
        <v>1</v>
      </c>
      <c r="G1380" s="66"/>
      <c r="H1380" s="66" t="e">
        <v>#N/A</v>
      </c>
      <c r="I1380" s="66"/>
      <c r="J1380" s="66" t="s">
        <v>870</v>
      </c>
      <c r="K1380" s="66" t="s">
        <v>757</v>
      </c>
      <c r="L1380" s="66" t="s">
        <v>757</v>
      </c>
      <c r="M1380" s="66" t="s">
        <v>757</v>
      </c>
      <c r="N1380" s="66" t="s">
        <v>757</v>
      </c>
      <c r="O1380" s="66" t="s">
        <v>874</v>
      </c>
      <c r="P1380" s="66"/>
      <c r="Q1380" s="66">
        <v>1</v>
      </c>
      <c r="R1380" s="66">
        <v>762</v>
      </c>
      <c r="S1380" s="66"/>
    </row>
    <row r="1381" spans="1:19" x14ac:dyDescent="0.25">
      <c r="A1381" s="15">
        <v>65</v>
      </c>
      <c r="B1381" s="66"/>
      <c r="C1381" s="66">
        <v>2429</v>
      </c>
      <c r="D1381" s="66"/>
      <c r="E1381" s="66" t="s">
        <v>763</v>
      </c>
      <c r="F1381" s="66">
        <v>1</v>
      </c>
      <c r="G1381" s="66"/>
      <c r="H1381" s="66" t="e">
        <v>#N/A</v>
      </c>
      <c r="I1381" s="66"/>
      <c r="J1381" s="66" t="s">
        <v>870</v>
      </c>
      <c r="K1381" s="66" t="s">
        <v>757</v>
      </c>
      <c r="L1381" s="66" t="s">
        <v>757</v>
      </c>
      <c r="M1381" s="66" t="s">
        <v>757</v>
      </c>
      <c r="N1381" s="66" t="s">
        <v>757</v>
      </c>
      <c r="O1381" s="66" t="s">
        <v>875</v>
      </c>
      <c r="P1381" s="66"/>
      <c r="Q1381" s="66">
        <v>1</v>
      </c>
      <c r="R1381" s="66">
        <v>763</v>
      </c>
      <c r="S1381" s="66"/>
    </row>
    <row r="1382" spans="1:19" x14ac:dyDescent="0.25">
      <c r="A1382" s="15">
        <v>65</v>
      </c>
      <c r="B1382" s="66"/>
      <c r="C1382" s="66">
        <v>2429</v>
      </c>
      <c r="D1382" s="66"/>
      <c r="E1382" s="66" t="s">
        <v>763</v>
      </c>
      <c r="F1382" s="66">
        <v>1</v>
      </c>
      <c r="G1382" s="66"/>
      <c r="H1382" s="66" t="e">
        <v>#N/A</v>
      </c>
      <c r="I1382" s="66"/>
      <c r="J1382" s="66" t="s">
        <v>870</v>
      </c>
      <c r="K1382" s="66" t="s">
        <v>757</v>
      </c>
      <c r="L1382" s="66" t="s">
        <v>757</v>
      </c>
      <c r="M1382" s="66" t="s">
        <v>757</v>
      </c>
      <c r="N1382" s="66" t="s">
        <v>757</v>
      </c>
      <c r="O1382" s="66" t="s">
        <v>876</v>
      </c>
      <c r="P1382" s="66"/>
      <c r="Q1382" s="66">
        <v>1</v>
      </c>
      <c r="R1382" s="66">
        <v>764</v>
      </c>
      <c r="S1382" s="66"/>
    </row>
    <row r="1383" spans="1:19" x14ac:dyDescent="0.25">
      <c r="A1383" s="15">
        <v>65</v>
      </c>
      <c r="B1383" s="66"/>
      <c r="C1383" s="66">
        <v>2429</v>
      </c>
      <c r="D1383" s="66"/>
      <c r="E1383" s="66" t="s">
        <v>763</v>
      </c>
      <c r="F1383" s="66">
        <v>1</v>
      </c>
      <c r="G1383" s="66"/>
      <c r="H1383" s="66" t="e">
        <v>#N/A</v>
      </c>
      <c r="I1383" s="66"/>
      <c r="J1383" s="66" t="s">
        <v>870</v>
      </c>
      <c r="K1383" s="66" t="s">
        <v>757</v>
      </c>
      <c r="L1383" s="66" t="s">
        <v>757</v>
      </c>
      <c r="M1383" s="66" t="s">
        <v>757</v>
      </c>
      <c r="N1383" s="66" t="s">
        <v>757</v>
      </c>
      <c r="O1383" s="66" t="s">
        <v>877</v>
      </c>
      <c r="P1383" s="66"/>
      <c r="Q1383" s="66">
        <v>1</v>
      </c>
      <c r="R1383" s="66">
        <v>765</v>
      </c>
      <c r="S1383" s="66"/>
    </row>
    <row r="1384" spans="1:19" x14ac:dyDescent="0.25">
      <c r="A1384" s="15">
        <v>65</v>
      </c>
      <c r="B1384" s="66"/>
      <c r="C1384" s="66">
        <v>2429</v>
      </c>
      <c r="D1384" s="66"/>
      <c r="E1384" s="66" t="s">
        <v>763</v>
      </c>
      <c r="F1384" s="66">
        <v>1</v>
      </c>
      <c r="G1384" s="66"/>
      <c r="H1384" s="66" t="e">
        <v>#N/A</v>
      </c>
      <c r="I1384" s="66"/>
      <c r="J1384" s="66" t="s">
        <v>870</v>
      </c>
      <c r="K1384" s="66" t="s">
        <v>757</v>
      </c>
      <c r="L1384" s="66" t="s">
        <v>757</v>
      </c>
      <c r="M1384" s="66" t="s">
        <v>757</v>
      </c>
      <c r="N1384" s="66" t="s">
        <v>757</v>
      </c>
      <c r="O1384" s="66" t="s">
        <v>878</v>
      </c>
      <c r="P1384" s="66"/>
      <c r="Q1384" s="66">
        <v>1</v>
      </c>
      <c r="R1384" s="66">
        <v>766</v>
      </c>
      <c r="S1384" s="66"/>
    </row>
    <row r="1385" spans="1:19" x14ac:dyDescent="0.25">
      <c r="A1385" s="15">
        <v>65</v>
      </c>
      <c r="B1385" s="66"/>
      <c r="C1385" s="66">
        <v>2429</v>
      </c>
      <c r="D1385" s="66"/>
      <c r="E1385" s="66" t="s">
        <v>763</v>
      </c>
      <c r="F1385" s="66">
        <v>1</v>
      </c>
      <c r="G1385" s="66"/>
      <c r="H1385" s="66" t="e">
        <v>#N/A</v>
      </c>
      <c r="I1385" s="66"/>
      <c r="J1385" s="66" t="s">
        <v>870</v>
      </c>
      <c r="K1385" s="66" t="s">
        <v>757</v>
      </c>
      <c r="L1385" s="66" t="s">
        <v>757</v>
      </c>
      <c r="M1385" s="66" t="s">
        <v>757</v>
      </c>
      <c r="N1385" s="66" t="s">
        <v>757</v>
      </c>
      <c r="O1385" s="66" t="s">
        <v>879</v>
      </c>
      <c r="P1385" s="66"/>
      <c r="Q1385" s="66">
        <v>1</v>
      </c>
      <c r="R1385" s="66">
        <v>767</v>
      </c>
      <c r="S1385" s="66"/>
    </row>
    <row r="1386" spans="1:19" x14ac:dyDescent="0.25">
      <c r="A1386" s="15">
        <v>65</v>
      </c>
      <c r="B1386" s="66"/>
      <c r="C1386" s="66">
        <v>2429</v>
      </c>
      <c r="D1386" s="66"/>
      <c r="E1386" s="66" t="s">
        <v>763</v>
      </c>
      <c r="F1386" s="66">
        <v>1</v>
      </c>
      <c r="G1386" s="66"/>
      <c r="H1386" s="66" t="e">
        <v>#N/A</v>
      </c>
      <c r="I1386" s="66"/>
      <c r="J1386" s="66" t="s">
        <v>870</v>
      </c>
      <c r="K1386" s="66" t="s">
        <v>757</v>
      </c>
      <c r="L1386" s="66" t="s">
        <v>757</v>
      </c>
      <c r="M1386" s="66" t="s">
        <v>757</v>
      </c>
      <c r="N1386" s="66" t="s">
        <v>757</v>
      </c>
      <c r="O1386" s="66" t="s">
        <v>880</v>
      </c>
      <c r="P1386" s="66"/>
      <c r="Q1386" s="66">
        <v>1</v>
      </c>
      <c r="R1386" s="66">
        <v>768</v>
      </c>
      <c r="S1386" s="66"/>
    </row>
    <row r="1387" spans="1:19" x14ac:dyDescent="0.25">
      <c r="A1387" s="15">
        <v>65</v>
      </c>
      <c r="B1387" s="66"/>
      <c r="C1387" s="66">
        <v>2429</v>
      </c>
      <c r="D1387" s="66"/>
      <c r="E1387" s="66" t="s">
        <v>763</v>
      </c>
      <c r="F1387" s="66">
        <v>1</v>
      </c>
      <c r="G1387" s="66"/>
      <c r="H1387" s="66" t="e">
        <v>#N/A</v>
      </c>
      <c r="I1387" s="66"/>
      <c r="J1387" s="66" t="s">
        <v>870</v>
      </c>
      <c r="K1387" s="66" t="s">
        <v>757</v>
      </c>
      <c r="L1387" s="66" t="s">
        <v>757</v>
      </c>
      <c r="M1387" s="66" t="s">
        <v>757</v>
      </c>
      <c r="N1387" s="66" t="s">
        <v>757</v>
      </c>
      <c r="O1387" s="66" t="s">
        <v>881</v>
      </c>
      <c r="P1387" s="66"/>
      <c r="Q1387" s="66">
        <v>1</v>
      </c>
      <c r="R1387" s="66">
        <v>769</v>
      </c>
      <c r="S1387" s="66"/>
    </row>
    <row r="1388" spans="1:19" x14ac:dyDescent="0.25">
      <c r="A1388" s="15">
        <v>65</v>
      </c>
      <c r="B1388" s="66"/>
      <c r="C1388" s="66">
        <v>2429</v>
      </c>
      <c r="D1388" s="66"/>
      <c r="E1388" s="66" t="s">
        <v>763</v>
      </c>
      <c r="F1388" s="66">
        <v>0</v>
      </c>
      <c r="G1388" s="66"/>
      <c r="H1388" s="66">
        <v>3</v>
      </c>
      <c r="I1388" s="66" t="e">
        <v>#N/A</v>
      </c>
      <c r="J1388" s="66" t="s">
        <v>870</v>
      </c>
      <c r="K1388" s="66"/>
      <c r="L1388" s="66"/>
      <c r="M1388" s="66"/>
      <c r="N1388" s="66"/>
      <c r="O1388" s="66" t="s">
        <v>883</v>
      </c>
      <c r="P1388" s="66"/>
      <c r="Q1388" s="66">
        <v>1</v>
      </c>
      <c r="R1388" s="66">
        <v>986</v>
      </c>
      <c r="S1388" s="66"/>
    </row>
    <row r="1389" spans="1:19" x14ac:dyDescent="0.25">
      <c r="A1389" s="15">
        <v>65</v>
      </c>
      <c r="B1389" s="66"/>
      <c r="C1389" s="66">
        <v>2429</v>
      </c>
      <c r="D1389" s="66"/>
      <c r="E1389" s="66" t="s">
        <v>763</v>
      </c>
      <c r="F1389" s="66">
        <v>0</v>
      </c>
      <c r="G1389" s="66"/>
      <c r="H1389" s="66">
        <v>3</v>
      </c>
      <c r="I1389" s="66" t="e">
        <v>#N/A</v>
      </c>
      <c r="J1389" s="66" t="s">
        <v>870</v>
      </c>
      <c r="K1389" s="66"/>
      <c r="L1389" s="66"/>
      <c r="M1389" s="66"/>
      <c r="N1389" s="66"/>
      <c r="O1389" s="66" t="s">
        <v>884</v>
      </c>
      <c r="P1389" s="66"/>
      <c r="Q1389" s="66">
        <v>1</v>
      </c>
      <c r="R1389" s="66">
        <v>987</v>
      </c>
      <c r="S1389" s="66"/>
    </row>
    <row r="1390" spans="1:19" x14ac:dyDescent="0.25">
      <c r="A1390" s="15">
        <v>65</v>
      </c>
      <c r="B1390" s="66"/>
      <c r="C1390" s="66">
        <v>2429</v>
      </c>
      <c r="D1390" s="66"/>
      <c r="E1390" s="66" t="s">
        <v>763</v>
      </c>
      <c r="F1390" s="66">
        <v>0</v>
      </c>
      <c r="G1390" s="66"/>
      <c r="H1390" s="66">
        <v>3</v>
      </c>
      <c r="I1390" s="66" t="e">
        <v>#N/A</v>
      </c>
      <c r="J1390" s="66" t="s">
        <v>870</v>
      </c>
      <c r="K1390" s="66"/>
      <c r="L1390" s="66"/>
      <c r="M1390" s="66"/>
      <c r="N1390" s="66"/>
      <c r="O1390" s="66" t="s">
        <v>885</v>
      </c>
      <c r="P1390" s="66"/>
      <c r="Q1390" s="66">
        <v>1</v>
      </c>
      <c r="R1390" s="66">
        <v>988</v>
      </c>
      <c r="S1390" s="66"/>
    </row>
    <row r="1391" spans="1:19" x14ac:dyDescent="0.25">
      <c r="A1391" s="15">
        <v>65</v>
      </c>
      <c r="B1391" s="66"/>
      <c r="C1391" s="66">
        <v>2429</v>
      </c>
      <c r="D1391" s="66"/>
      <c r="E1391" s="66" t="s">
        <v>763</v>
      </c>
      <c r="F1391" s="66">
        <v>0</v>
      </c>
      <c r="G1391" s="66"/>
      <c r="H1391" s="66">
        <v>3</v>
      </c>
      <c r="I1391" s="66" t="e">
        <v>#N/A</v>
      </c>
      <c r="J1391" s="66" t="s">
        <v>870</v>
      </c>
      <c r="K1391" s="66"/>
      <c r="L1391" s="66"/>
      <c r="M1391" s="66"/>
      <c r="N1391" s="66"/>
      <c r="O1391" s="66" t="s">
        <v>886</v>
      </c>
      <c r="P1391" s="66"/>
      <c r="Q1391" s="66">
        <v>1</v>
      </c>
      <c r="R1391" s="66">
        <v>989</v>
      </c>
      <c r="S1391" s="66"/>
    </row>
    <row r="1392" spans="1:19" x14ac:dyDescent="0.25">
      <c r="A1392" s="15">
        <v>65</v>
      </c>
      <c r="B1392" s="66"/>
      <c r="C1392" s="66">
        <v>2429</v>
      </c>
      <c r="D1392" s="66"/>
      <c r="E1392" s="66" t="s">
        <v>763</v>
      </c>
      <c r="F1392" s="66">
        <v>0</v>
      </c>
      <c r="G1392" s="66"/>
      <c r="H1392" s="66">
        <v>3</v>
      </c>
      <c r="I1392" s="66" t="e">
        <v>#N/A</v>
      </c>
      <c r="J1392" s="66" t="s">
        <v>870</v>
      </c>
      <c r="K1392" s="66"/>
      <c r="L1392" s="66"/>
      <c r="M1392" s="66"/>
      <c r="N1392" s="66"/>
      <c r="O1392" s="66" t="s">
        <v>887</v>
      </c>
      <c r="P1392" s="66"/>
      <c r="Q1392" s="66">
        <v>1</v>
      </c>
      <c r="R1392" s="66">
        <v>990</v>
      </c>
      <c r="S1392" s="66"/>
    </row>
    <row r="1393" spans="1:19" x14ac:dyDescent="0.25">
      <c r="A1393" s="15">
        <v>65</v>
      </c>
      <c r="B1393" s="66"/>
      <c r="C1393" s="66">
        <v>2429</v>
      </c>
      <c r="D1393" s="66"/>
      <c r="E1393" s="66" t="s">
        <v>763</v>
      </c>
      <c r="F1393" s="66">
        <v>0</v>
      </c>
      <c r="G1393" s="66"/>
      <c r="H1393" s="66">
        <v>3</v>
      </c>
      <c r="I1393" s="66" t="e">
        <v>#N/A</v>
      </c>
      <c r="J1393" s="66" t="s">
        <v>870</v>
      </c>
      <c r="K1393" s="66"/>
      <c r="L1393" s="66"/>
      <c r="M1393" s="66"/>
      <c r="N1393" s="66"/>
      <c r="O1393" s="66" t="s">
        <v>888</v>
      </c>
      <c r="P1393" s="66"/>
      <c r="Q1393" s="66">
        <v>1</v>
      </c>
      <c r="R1393" s="66">
        <v>991</v>
      </c>
      <c r="S1393" s="66"/>
    </row>
    <row r="1394" spans="1:19" x14ac:dyDescent="0.25">
      <c r="A1394" s="15">
        <v>65</v>
      </c>
      <c r="B1394" s="66"/>
      <c r="C1394" s="66">
        <v>2429</v>
      </c>
      <c r="D1394" s="66"/>
      <c r="E1394" s="66" t="s">
        <v>763</v>
      </c>
      <c r="F1394" s="66">
        <v>0</v>
      </c>
      <c r="G1394" s="66"/>
      <c r="H1394" s="66">
        <v>3</v>
      </c>
      <c r="I1394" s="66" t="e">
        <v>#N/A</v>
      </c>
      <c r="J1394" s="66" t="s">
        <v>870</v>
      </c>
      <c r="K1394" s="66"/>
      <c r="L1394" s="66"/>
      <c r="M1394" s="66"/>
      <c r="N1394" s="66"/>
      <c r="O1394" s="66" t="s">
        <v>889</v>
      </c>
      <c r="P1394" s="66"/>
      <c r="Q1394" s="66">
        <v>1</v>
      </c>
      <c r="R1394" s="66">
        <v>992</v>
      </c>
      <c r="S1394" s="66"/>
    </row>
    <row r="1395" spans="1:19" x14ac:dyDescent="0.25">
      <c r="A1395" s="15">
        <v>65</v>
      </c>
      <c r="B1395" s="66"/>
      <c r="C1395" s="66">
        <v>2429</v>
      </c>
      <c r="D1395" s="66"/>
      <c r="E1395" s="66" t="s">
        <v>763</v>
      </c>
      <c r="F1395" s="66">
        <v>0</v>
      </c>
      <c r="G1395" s="66"/>
      <c r="H1395" s="66">
        <v>3</v>
      </c>
      <c r="I1395" s="66" t="e">
        <v>#N/A</v>
      </c>
      <c r="J1395" s="66" t="s">
        <v>870</v>
      </c>
      <c r="K1395" s="66"/>
      <c r="L1395" s="66"/>
      <c r="M1395" s="66"/>
      <c r="N1395" s="66"/>
      <c r="O1395" s="66" t="s">
        <v>890</v>
      </c>
      <c r="P1395" s="66"/>
      <c r="Q1395" s="66">
        <v>1</v>
      </c>
      <c r="R1395" s="66">
        <v>993</v>
      </c>
      <c r="S1395" s="66"/>
    </row>
    <row r="1396" spans="1:19" x14ac:dyDescent="0.25">
      <c r="A1396" s="15">
        <v>65</v>
      </c>
      <c r="B1396" s="66"/>
      <c r="C1396" s="66">
        <v>2429</v>
      </c>
      <c r="D1396" s="66"/>
      <c r="E1396" s="66" t="s">
        <v>763</v>
      </c>
      <c r="F1396" s="66">
        <v>0</v>
      </c>
      <c r="G1396" s="66"/>
      <c r="H1396" s="66">
        <v>3</v>
      </c>
      <c r="I1396" s="66" t="e">
        <v>#N/A</v>
      </c>
      <c r="J1396" s="66" t="s">
        <v>870</v>
      </c>
      <c r="K1396" s="66"/>
      <c r="L1396" s="66"/>
      <c r="M1396" s="66"/>
      <c r="N1396" s="66"/>
      <c r="O1396" s="66" t="s">
        <v>891</v>
      </c>
      <c r="P1396" s="66"/>
      <c r="Q1396" s="66">
        <v>1</v>
      </c>
      <c r="R1396" s="66">
        <v>994</v>
      </c>
      <c r="S1396" s="66"/>
    </row>
    <row r="1397" spans="1:19" x14ac:dyDescent="0.25">
      <c r="A1397" s="15">
        <v>65</v>
      </c>
      <c r="B1397" s="66"/>
      <c r="C1397" s="66">
        <v>2429</v>
      </c>
      <c r="D1397" s="66"/>
      <c r="E1397" s="66" t="s">
        <v>763</v>
      </c>
      <c r="F1397" s="66">
        <v>0</v>
      </c>
      <c r="G1397" s="66"/>
      <c r="H1397" s="66">
        <v>3</v>
      </c>
      <c r="I1397" s="66" t="e">
        <v>#N/A</v>
      </c>
      <c r="J1397" s="66" t="s">
        <v>870</v>
      </c>
      <c r="K1397" s="66"/>
      <c r="L1397" s="66"/>
      <c r="M1397" s="66"/>
      <c r="N1397" s="66"/>
      <c r="O1397" s="66" t="s">
        <v>892</v>
      </c>
      <c r="P1397" s="66"/>
      <c r="Q1397" s="66">
        <v>1</v>
      </c>
      <c r="R1397" s="66">
        <v>995</v>
      </c>
      <c r="S1397" s="66"/>
    </row>
    <row r="1398" spans="1:19" x14ac:dyDescent="0.25">
      <c r="A1398" s="15">
        <v>65</v>
      </c>
      <c r="B1398" s="66"/>
      <c r="C1398" s="66">
        <v>2429</v>
      </c>
      <c r="D1398" s="66"/>
      <c r="E1398" s="66" t="s">
        <v>763</v>
      </c>
      <c r="F1398" s="66">
        <v>0</v>
      </c>
      <c r="G1398" s="66"/>
      <c r="H1398" s="66">
        <v>3</v>
      </c>
      <c r="I1398" s="66" t="e">
        <v>#N/A</v>
      </c>
      <c r="J1398" s="66" t="s">
        <v>870</v>
      </c>
      <c r="K1398" s="66"/>
      <c r="L1398" s="66"/>
      <c r="M1398" s="66"/>
      <c r="N1398" s="66"/>
      <c r="O1398" s="66" t="s">
        <v>893</v>
      </c>
      <c r="P1398" s="66"/>
      <c r="Q1398" s="66">
        <v>1</v>
      </c>
      <c r="R1398" s="66">
        <v>996</v>
      </c>
      <c r="S1398" s="66"/>
    </row>
    <row r="1399" spans="1:19" x14ac:dyDescent="0.25">
      <c r="A1399" s="15">
        <v>65</v>
      </c>
      <c r="B1399" s="66"/>
      <c r="C1399" s="66">
        <v>2429</v>
      </c>
      <c r="D1399" s="66"/>
      <c r="E1399" s="66" t="s">
        <v>763</v>
      </c>
      <c r="F1399" s="66">
        <v>3</v>
      </c>
      <c r="G1399" s="66"/>
      <c r="H1399" s="66">
        <v>3</v>
      </c>
      <c r="I1399" s="66" t="e">
        <v>#N/A</v>
      </c>
      <c r="J1399" s="66" t="s">
        <v>870</v>
      </c>
      <c r="K1399" s="66"/>
      <c r="L1399" s="66"/>
      <c r="M1399" s="66"/>
      <c r="N1399" s="66"/>
      <c r="O1399" s="66" t="s">
        <v>895</v>
      </c>
      <c r="P1399" s="66"/>
      <c r="Q1399" s="66">
        <v>1</v>
      </c>
      <c r="R1399" s="66">
        <v>1213</v>
      </c>
      <c r="S1399" s="66"/>
    </row>
    <row r="1400" spans="1:19" x14ac:dyDescent="0.25">
      <c r="A1400" s="15">
        <v>65</v>
      </c>
      <c r="B1400" s="66"/>
      <c r="C1400" s="66">
        <v>2429</v>
      </c>
      <c r="D1400" s="66"/>
      <c r="E1400" s="66" t="s">
        <v>763</v>
      </c>
      <c r="F1400" s="66">
        <v>3</v>
      </c>
      <c r="G1400" s="66"/>
      <c r="H1400" s="66">
        <v>3</v>
      </c>
      <c r="I1400" s="66" t="e">
        <v>#N/A</v>
      </c>
      <c r="J1400" s="66" t="s">
        <v>870</v>
      </c>
      <c r="K1400" s="66"/>
      <c r="L1400" s="66"/>
      <c r="M1400" s="66"/>
      <c r="N1400" s="66"/>
      <c r="O1400" s="66" t="s">
        <v>896</v>
      </c>
      <c r="P1400" s="66"/>
      <c r="Q1400" s="66">
        <v>1</v>
      </c>
      <c r="R1400" s="66">
        <v>1214</v>
      </c>
      <c r="S1400" s="66"/>
    </row>
    <row r="1401" spans="1:19" x14ac:dyDescent="0.25">
      <c r="A1401" s="15">
        <v>65</v>
      </c>
      <c r="B1401" s="66"/>
      <c r="C1401" s="66">
        <v>2429</v>
      </c>
      <c r="D1401" s="66"/>
      <c r="E1401" s="66" t="s">
        <v>763</v>
      </c>
      <c r="F1401" s="66">
        <v>3</v>
      </c>
      <c r="G1401" s="66"/>
      <c r="H1401" s="66">
        <v>3</v>
      </c>
      <c r="I1401" s="66" t="e">
        <v>#N/A</v>
      </c>
      <c r="J1401" s="66" t="s">
        <v>870</v>
      </c>
      <c r="K1401" s="66"/>
      <c r="L1401" s="66"/>
      <c r="M1401" s="66"/>
      <c r="N1401" s="66"/>
      <c r="O1401" s="66" t="s">
        <v>897</v>
      </c>
      <c r="P1401" s="66"/>
      <c r="Q1401" s="66">
        <v>1</v>
      </c>
      <c r="R1401" s="66">
        <v>1215</v>
      </c>
      <c r="S1401" s="66"/>
    </row>
    <row r="1402" spans="1:19" x14ac:dyDescent="0.25">
      <c r="A1402" s="15">
        <v>65</v>
      </c>
      <c r="B1402" s="66"/>
      <c r="C1402" s="66">
        <v>2429</v>
      </c>
      <c r="D1402" s="66"/>
      <c r="E1402" s="66" t="s">
        <v>763</v>
      </c>
      <c r="F1402" s="66">
        <v>3</v>
      </c>
      <c r="G1402" s="66"/>
      <c r="H1402" s="66">
        <v>3</v>
      </c>
      <c r="I1402" s="66" t="e">
        <v>#N/A</v>
      </c>
      <c r="J1402" s="66" t="s">
        <v>870</v>
      </c>
      <c r="K1402" s="66"/>
      <c r="L1402" s="66"/>
      <c r="M1402" s="66"/>
      <c r="N1402" s="66"/>
      <c r="O1402" s="66" t="s">
        <v>898</v>
      </c>
      <c r="P1402" s="66"/>
      <c r="Q1402" s="66">
        <v>1</v>
      </c>
      <c r="R1402" s="66">
        <v>1216</v>
      </c>
      <c r="S1402" s="66"/>
    </row>
    <row r="1403" spans="1:19" x14ac:dyDescent="0.25">
      <c r="A1403" s="15">
        <v>65</v>
      </c>
      <c r="B1403" s="66"/>
      <c r="C1403" s="66">
        <v>2429</v>
      </c>
      <c r="D1403" s="66"/>
      <c r="E1403" s="66" t="s">
        <v>763</v>
      </c>
      <c r="F1403" s="66">
        <v>3</v>
      </c>
      <c r="G1403" s="66"/>
      <c r="H1403" s="66">
        <v>3</v>
      </c>
      <c r="I1403" s="66" t="e">
        <v>#N/A</v>
      </c>
      <c r="J1403" s="66" t="s">
        <v>870</v>
      </c>
      <c r="K1403" s="66"/>
      <c r="L1403" s="66"/>
      <c r="M1403" s="66"/>
      <c r="N1403" s="66"/>
      <c r="O1403" s="66" t="s">
        <v>899</v>
      </c>
      <c r="P1403" s="66"/>
      <c r="Q1403" s="66">
        <v>1</v>
      </c>
      <c r="R1403" s="66">
        <v>1217</v>
      </c>
      <c r="S1403" s="66"/>
    </row>
    <row r="1404" spans="1:19" x14ac:dyDescent="0.25">
      <c r="A1404" s="15">
        <v>65</v>
      </c>
      <c r="B1404" s="66"/>
      <c r="C1404" s="66">
        <v>2429</v>
      </c>
      <c r="D1404" s="66"/>
      <c r="E1404" s="66" t="s">
        <v>763</v>
      </c>
      <c r="F1404" s="66">
        <v>3</v>
      </c>
      <c r="G1404" s="66"/>
      <c r="H1404" s="66">
        <v>3</v>
      </c>
      <c r="I1404" s="66" t="e">
        <v>#N/A</v>
      </c>
      <c r="J1404" s="66" t="s">
        <v>870</v>
      </c>
      <c r="K1404" s="66"/>
      <c r="L1404" s="66"/>
      <c r="M1404" s="66"/>
      <c r="N1404" s="66"/>
      <c r="O1404" s="66" t="s">
        <v>900</v>
      </c>
      <c r="P1404" s="66"/>
      <c r="Q1404" s="66">
        <v>1</v>
      </c>
      <c r="R1404" s="66">
        <v>1218</v>
      </c>
      <c r="S1404" s="66"/>
    </row>
    <row r="1405" spans="1:19" x14ac:dyDescent="0.25">
      <c r="A1405" s="15">
        <v>65</v>
      </c>
      <c r="B1405" s="66"/>
      <c r="C1405" s="66">
        <v>2429</v>
      </c>
      <c r="D1405" s="66"/>
      <c r="E1405" s="66" t="s">
        <v>763</v>
      </c>
      <c r="F1405" s="66">
        <v>3</v>
      </c>
      <c r="G1405" s="66"/>
      <c r="H1405" s="66">
        <v>3</v>
      </c>
      <c r="I1405" s="66" t="e">
        <v>#N/A</v>
      </c>
      <c r="J1405" s="66" t="s">
        <v>870</v>
      </c>
      <c r="K1405" s="66"/>
      <c r="L1405" s="66"/>
      <c r="M1405" s="66"/>
      <c r="N1405" s="66"/>
      <c r="O1405" s="66" t="s">
        <v>901</v>
      </c>
      <c r="P1405" s="66"/>
      <c r="Q1405" s="66">
        <v>1</v>
      </c>
      <c r="R1405" s="66">
        <v>1219</v>
      </c>
      <c r="S1405" s="66"/>
    </row>
    <row r="1406" spans="1:19" x14ac:dyDescent="0.25">
      <c r="A1406" s="15">
        <v>65</v>
      </c>
      <c r="B1406" s="66"/>
      <c r="C1406" s="66">
        <v>2429</v>
      </c>
      <c r="D1406" s="66"/>
      <c r="E1406" s="66" t="s">
        <v>763</v>
      </c>
      <c r="F1406" s="66">
        <v>3</v>
      </c>
      <c r="G1406" s="66"/>
      <c r="H1406" s="66">
        <v>3</v>
      </c>
      <c r="I1406" s="66" t="e">
        <v>#N/A</v>
      </c>
      <c r="J1406" s="66" t="s">
        <v>870</v>
      </c>
      <c r="K1406" s="66"/>
      <c r="L1406" s="66"/>
      <c r="M1406" s="66"/>
      <c r="N1406" s="66"/>
      <c r="O1406" s="66" t="s">
        <v>902</v>
      </c>
      <c r="P1406" s="66"/>
      <c r="Q1406" s="66">
        <v>1</v>
      </c>
      <c r="R1406" s="66">
        <v>1220</v>
      </c>
      <c r="S1406" s="66"/>
    </row>
    <row r="1407" spans="1:19" x14ac:dyDescent="0.25">
      <c r="A1407" s="15">
        <v>65</v>
      </c>
      <c r="B1407" s="66"/>
      <c r="C1407" s="66">
        <v>2429</v>
      </c>
      <c r="D1407" s="66"/>
      <c r="E1407" s="66" t="s">
        <v>763</v>
      </c>
      <c r="F1407" s="66">
        <v>3</v>
      </c>
      <c r="G1407" s="66"/>
      <c r="H1407" s="66">
        <v>3</v>
      </c>
      <c r="I1407" s="66" t="e">
        <v>#N/A</v>
      </c>
      <c r="J1407" s="66" t="s">
        <v>870</v>
      </c>
      <c r="K1407" s="66"/>
      <c r="L1407" s="66"/>
      <c r="M1407" s="66"/>
      <c r="N1407" s="66"/>
      <c r="O1407" s="66" t="s">
        <v>903</v>
      </c>
      <c r="P1407" s="66"/>
      <c r="Q1407" s="66">
        <v>1</v>
      </c>
      <c r="R1407" s="66">
        <v>1221</v>
      </c>
      <c r="S1407" s="66"/>
    </row>
    <row r="1408" spans="1:19" x14ac:dyDescent="0.25">
      <c r="A1408" s="15">
        <v>65</v>
      </c>
      <c r="B1408" s="66"/>
      <c r="C1408" s="66">
        <v>2429</v>
      </c>
      <c r="D1408" s="66"/>
      <c r="E1408" s="66" t="s">
        <v>763</v>
      </c>
      <c r="F1408" s="66">
        <v>3</v>
      </c>
      <c r="G1408" s="66"/>
      <c r="H1408" s="66">
        <v>3</v>
      </c>
      <c r="I1408" s="66" t="e">
        <v>#N/A</v>
      </c>
      <c r="J1408" s="66" t="s">
        <v>870</v>
      </c>
      <c r="K1408" s="66"/>
      <c r="L1408" s="66"/>
      <c r="M1408" s="66"/>
      <c r="N1408" s="66"/>
      <c r="O1408" s="66" t="s">
        <v>904</v>
      </c>
      <c r="P1408" s="66"/>
      <c r="Q1408" s="66">
        <v>1</v>
      </c>
      <c r="R1408" s="66">
        <v>1222</v>
      </c>
      <c r="S1408" s="66"/>
    </row>
    <row r="1409" spans="1:19" x14ac:dyDescent="0.25">
      <c r="A1409" s="15">
        <v>65</v>
      </c>
      <c r="B1409" s="66"/>
      <c r="C1409" s="66">
        <v>2429</v>
      </c>
      <c r="D1409" s="66"/>
      <c r="E1409" s="66" t="s">
        <v>763</v>
      </c>
      <c r="F1409" s="66">
        <v>3</v>
      </c>
      <c r="G1409" s="66"/>
      <c r="H1409" s="66">
        <v>3</v>
      </c>
      <c r="I1409" s="66" t="e">
        <v>#N/A</v>
      </c>
      <c r="J1409" s="66" t="s">
        <v>870</v>
      </c>
      <c r="K1409" s="66"/>
      <c r="L1409" s="66"/>
      <c r="M1409" s="66"/>
      <c r="N1409" s="66"/>
      <c r="O1409" s="66" t="s">
        <v>905</v>
      </c>
      <c r="P1409" s="66"/>
      <c r="Q1409" s="66">
        <v>1</v>
      </c>
      <c r="R1409" s="66">
        <v>1223</v>
      </c>
      <c r="S1409" s="66"/>
    </row>
    <row r="1410" spans="1:19" x14ac:dyDescent="0.25">
      <c r="A1410" s="15">
        <v>65</v>
      </c>
      <c r="B1410" s="66"/>
      <c r="C1410" s="66">
        <v>2429</v>
      </c>
      <c r="D1410" s="66"/>
      <c r="E1410" s="66" t="s">
        <v>763</v>
      </c>
      <c r="F1410" s="66">
        <v>3</v>
      </c>
      <c r="G1410" s="66"/>
      <c r="H1410" s="66" t="e">
        <v>#N/A</v>
      </c>
      <c r="I1410" s="66"/>
      <c r="J1410" s="66" t="s">
        <v>870</v>
      </c>
      <c r="K1410" s="66"/>
      <c r="L1410" s="66"/>
      <c r="M1410" s="66"/>
      <c r="N1410" s="66"/>
      <c r="O1410" s="66" t="s">
        <v>907</v>
      </c>
      <c r="P1410" s="66"/>
      <c r="Q1410" s="66">
        <v>1</v>
      </c>
      <c r="R1410" s="66">
        <v>1310</v>
      </c>
      <c r="S1410" s="66"/>
    </row>
    <row r="1411" spans="1:19" x14ac:dyDescent="0.25">
      <c r="A1411" s="15">
        <v>65</v>
      </c>
      <c r="B1411" s="66"/>
      <c r="C1411" s="66">
        <v>2429</v>
      </c>
      <c r="D1411" s="66"/>
      <c r="E1411" s="66" t="s">
        <v>763</v>
      </c>
      <c r="F1411" s="66">
        <v>5</v>
      </c>
      <c r="G1411" s="66"/>
      <c r="H1411" s="66" t="e">
        <v>#N/A</v>
      </c>
      <c r="I1411" s="66"/>
      <c r="J1411" s="66" t="s">
        <v>870</v>
      </c>
      <c r="K1411" s="66"/>
      <c r="L1411" s="66"/>
      <c r="M1411" s="66"/>
      <c r="N1411" s="66"/>
      <c r="O1411" s="66" t="s">
        <v>909</v>
      </c>
      <c r="P1411" s="66"/>
      <c r="Q1411" s="66">
        <v>1</v>
      </c>
      <c r="R1411" s="66">
        <v>1507</v>
      </c>
      <c r="S1411" s="66"/>
    </row>
    <row r="1412" spans="1:19" x14ac:dyDescent="0.25">
      <c r="A1412" s="15">
        <v>65</v>
      </c>
      <c r="B1412" s="66"/>
      <c r="C1412" s="66">
        <v>2429</v>
      </c>
      <c r="D1412" s="66"/>
      <c r="E1412" s="66" t="s">
        <v>763</v>
      </c>
      <c r="F1412" s="66">
        <v>5</v>
      </c>
      <c r="G1412" s="66"/>
      <c r="H1412" s="66" t="e">
        <v>#N/A</v>
      </c>
      <c r="I1412" s="66"/>
      <c r="J1412" s="66" t="s">
        <v>870</v>
      </c>
      <c r="K1412" s="66"/>
      <c r="L1412" s="66"/>
      <c r="M1412" s="66"/>
      <c r="N1412" s="66"/>
      <c r="O1412" s="66" t="s">
        <v>910</v>
      </c>
      <c r="P1412" s="66"/>
      <c r="Q1412" s="66">
        <v>1</v>
      </c>
      <c r="R1412" s="66">
        <v>1508</v>
      </c>
      <c r="S1412" s="66"/>
    </row>
    <row r="1413" spans="1:19" x14ac:dyDescent="0.25">
      <c r="A1413" s="15">
        <v>65</v>
      </c>
      <c r="B1413" s="66"/>
      <c r="C1413" s="66">
        <v>2429</v>
      </c>
      <c r="D1413" s="66"/>
      <c r="E1413" s="66" t="s">
        <v>763</v>
      </c>
      <c r="F1413" s="66">
        <v>5</v>
      </c>
      <c r="G1413" s="66"/>
      <c r="H1413" s="66" t="e">
        <v>#N/A</v>
      </c>
      <c r="I1413" s="66"/>
      <c r="J1413" s="66" t="s">
        <v>870</v>
      </c>
      <c r="K1413" s="66"/>
      <c r="L1413" s="66"/>
      <c r="M1413" s="66"/>
      <c r="N1413" s="66"/>
      <c r="O1413" s="66" t="s">
        <v>911</v>
      </c>
      <c r="P1413" s="66"/>
      <c r="Q1413" s="66">
        <v>1</v>
      </c>
      <c r="R1413" s="66">
        <v>1509</v>
      </c>
      <c r="S1413" s="66"/>
    </row>
    <row r="1414" spans="1:19" x14ac:dyDescent="0.25">
      <c r="A1414" s="15">
        <v>65</v>
      </c>
      <c r="B1414" s="66"/>
      <c r="C1414" s="66">
        <v>2429</v>
      </c>
      <c r="D1414" s="66"/>
      <c r="E1414" s="66" t="s">
        <v>763</v>
      </c>
      <c r="F1414" s="66">
        <v>5</v>
      </c>
      <c r="G1414" s="66"/>
      <c r="H1414" s="66" t="e">
        <v>#N/A</v>
      </c>
      <c r="I1414" s="66"/>
      <c r="J1414" s="66" t="s">
        <v>870</v>
      </c>
      <c r="K1414" s="66"/>
      <c r="L1414" s="66"/>
      <c r="M1414" s="66"/>
      <c r="N1414" s="66"/>
      <c r="O1414" s="66" t="s">
        <v>912</v>
      </c>
      <c r="P1414" s="66"/>
      <c r="Q1414" s="66">
        <v>1</v>
      </c>
      <c r="R1414" s="66">
        <v>1510</v>
      </c>
      <c r="S1414" s="66"/>
    </row>
    <row r="1415" spans="1:19" x14ac:dyDescent="0.25">
      <c r="A1415" s="15">
        <v>65</v>
      </c>
      <c r="B1415" s="66"/>
      <c r="C1415" s="66">
        <v>2429</v>
      </c>
      <c r="D1415" s="66"/>
      <c r="E1415" s="66" t="s">
        <v>763</v>
      </c>
      <c r="F1415" s="66">
        <v>5</v>
      </c>
      <c r="G1415" s="66"/>
      <c r="H1415" s="66" t="e">
        <v>#N/A</v>
      </c>
      <c r="I1415" s="66"/>
      <c r="J1415" s="66" t="s">
        <v>870</v>
      </c>
      <c r="K1415" s="66"/>
      <c r="L1415" s="66"/>
      <c r="M1415" s="66"/>
      <c r="N1415" s="66"/>
      <c r="O1415" s="66" t="s">
        <v>913</v>
      </c>
      <c r="P1415" s="66"/>
      <c r="Q1415" s="66">
        <v>1</v>
      </c>
      <c r="R1415" s="66">
        <v>1511</v>
      </c>
      <c r="S1415" s="66"/>
    </row>
    <row r="1416" spans="1:19" x14ac:dyDescent="0.25">
      <c r="A1416" s="15">
        <v>65</v>
      </c>
      <c r="B1416" s="66"/>
      <c r="C1416" s="66">
        <v>2429</v>
      </c>
      <c r="D1416" s="66"/>
      <c r="E1416" s="66" t="s">
        <v>763</v>
      </c>
      <c r="F1416" s="66">
        <v>5</v>
      </c>
      <c r="G1416" s="66"/>
      <c r="H1416" s="66" t="e">
        <v>#N/A</v>
      </c>
      <c r="I1416" s="66"/>
      <c r="J1416" s="66" t="s">
        <v>870</v>
      </c>
      <c r="K1416" s="66"/>
      <c r="L1416" s="66"/>
      <c r="M1416" s="66"/>
      <c r="N1416" s="66"/>
      <c r="O1416" s="66" t="s">
        <v>914</v>
      </c>
      <c r="P1416" s="66"/>
      <c r="Q1416" s="66">
        <v>1</v>
      </c>
      <c r="R1416" s="66">
        <v>1512</v>
      </c>
      <c r="S1416" s="66"/>
    </row>
    <row r="1417" spans="1:19" x14ac:dyDescent="0.25">
      <c r="A1417" s="15">
        <v>65</v>
      </c>
      <c r="B1417" s="66"/>
      <c r="C1417" s="66">
        <v>2429</v>
      </c>
      <c r="D1417" s="66"/>
      <c r="E1417" s="66" t="s">
        <v>763</v>
      </c>
      <c r="F1417" s="66">
        <v>5</v>
      </c>
      <c r="G1417" s="66"/>
      <c r="H1417" s="66" t="e">
        <v>#N/A</v>
      </c>
      <c r="I1417" s="66"/>
      <c r="J1417" s="66" t="s">
        <v>870</v>
      </c>
      <c r="K1417" s="66"/>
      <c r="L1417" s="66"/>
      <c r="M1417" s="66"/>
      <c r="N1417" s="66"/>
      <c r="O1417" s="66" t="s">
        <v>915</v>
      </c>
      <c r="P1417" s="66"/>
      <c r="Q1417" s="66">
        <v>1</v>
      </c>
      <c r="R1417" s="66">
        <v>1513</v>
      </c>
      <c r="S1417" s="66"/>
    </row>
    <row r="1418" spans="1:19" x14ac:dyDescent="0.25">
      <c r="A1418" s="15">
        <v>65</v>
      </c>
      <c r="B1418" s="66"/>
      <c r="C1418" s="66">
        <v>2429</v>
      </c>
      <c r="D1418" s="66"/>
      <c r="E1418" s="66" t="s">
        <v>763</v>
      </c>
      <c r="F1418" s="66">
        <v>5</v>
      </c>
      <c r="G1418" s="66"/>
      <c r="H1418" s="66" t="e">
        <v>#N/A</v>
      </c>
      <c r="I1418" s="66"/>
      <c r="J1418" s="66" t="s">
        <v>870</v>
      </c>
      <c r="K1418" s="66"/>
      <c r="L1418" s="66"/>
      <c r="M1418" s="66"/>
      <c r="N1418" s="66"/>
      <c r="O1418" s="66" t="s">
        <v>916</v>
      </c>
      <c r="P1418" s="66"/>
      <c r="Q1418" s="66">
        <v>1</v>
      </c>
      <c r="R1418" s="66">
        <v>1514</v>
      </c>
      <c r="S1418" s="66"/>
    </row>
    <row r="1419" spans="1:19" x14ac:dyDescent="0.25">
      <c r="A1419" s="15">
        <v>65</v>
      </c>
      <c r="B1419" s="66"/>
      <c r="C1419" s="66">
        <v>2429</v>
      </c>
      <c r="D1419" s="66"/>
      <c r="E1419" s="66" t="s">
        <v>763</v>
      </c>
      <c r="F1419" s="66">
        <v>5</v>
      </c>
      <c r="G1419" s="66"/>
      <c r="H1419" s="66" t="e">
        <v>#N/A</v>
      </c>
      <c r="I1419" s="66"/>
      <c r="J1419" s="66" t="s">
        <v>870</v>
      </c>
      <c r="K1419" s="66"/>
      <c r="L1419" s="66"/>
      <c r="M1419" s="66"/>
      <c r="N1419" s="66"/>
      <c r="O1419" s="66" t="s">
        <v>917</v>
      </c>
      <c r="P1419" s="66"/>
      <c r="Q1419" s="66">
        <v>1</v>
      </c>
      <c r="R1419" s="66">
        <v>1515</v>
      </c>
      <c r="S1419" s="66"/>
    </row>
    <row r="1420" spans="1:19" x14ac:dyDescent="0.25">
      <c r="A1420" s="15">
        <v>65</v>
      </c>
      <c r="B1420" s="66"/>
      <c r="C1420" s="66">
        <v>2429</v>
      </c>
      <c r="D1420" s="66"/>
      <c r="E1420" s="66" t="s">
        <v>763</v>
      </c>
      <c r="F1420" s="66">
        <v>5</v>
      </c>
      <c r="G1420" s="66"/>
      <c r="H1420" s="66" t="e">
        <v>#N/A</v>
      </c>
      <c r="I1420" s="66"/>
      <c r="J1420" s="66" t="s">
        <v>870</v>
      </c>
      <c r="K1420" s="66"/>
      <c r="L1420" s="66"/>
      <c r="M1420" s="66"/>
      <c r="N1420" s="66"/>
      <c r="O1420" s="66" t="s">
        <v>918</v>
      </c>
      <c r="P1420" s="66"/>
      <c r="Q1420" s="66">
        <v>1</v>
      </c>
      <c r="R1420" s="66">
        <v>1516</v>
      </c>
      <c r="S1420" s="66"/>
    </row>
    <row r="1421" spans="1:19" x14ac:dyDescent="0.25">
      <c r="A1421" s="15">
        <v>65</v>
      </c>
      <c r="B1421" s="66"/>
      <c r="C1421" s="66">
        <v>2429</v>
      </c>
      <c r="D1421" s="66"/>
      <c r="E1421" s="66" t="s">
        <v>763</v>
      </c>
      <c r="F1421" s="66">
        <v>5</v>
      </c>
      <c r="G1421" s="66"/>
      <c r="H1421" s="66" t="e">
        <v>#N/A</v>
      </c>
      <c r="I1421" s="66"/>
      <c r="J1421" s="66" t="s">
        <v>870</v>
      </c>
      <c r="K1421" s="66"/>
      <c r="L1421" s="66"/>
      <c r="M1421" s="66"/>
      <c r="N1421" s="66"/>
      <c r="O1421" s="66" t="s">
        <v>919</v>
      </c>
      <c r="P1421" s="66"/>
      <c r="Q1421" s="66">
        <v>1</v>
      </c>
      <c r="R1421" s="66">
        <v>1517</v>
      </c>
      <c r="S1421" s="66"/>
    </row>
    <row r="1422" spans="1:19" x14ac:dyDescent="0.25">
      <c r="A1422" s="15">
        <v>66</v>
      </c>
      <c r="B1422" s="66"/>
      <c r="C1422" s="66"/>
      <c r="D1422" s="66"/>
      <c r="E1422" s="66"/>
      <c r="F1422" s="66"/>
      <c r="G1422" s="66"/>
      <c r="H1422" s="66"/>
      <c r="I1422" s="66"/>
      <c r="J1422" s="66"/>
      <c r="K1422" s="66"/>
      <c r="L1422" s="66"/>
      <c r="M1422" s="66"/>
      <c r="N1422" s="66"/>
      <c r="O1422" s="66"/>
      <c r="P1422" s="66"/>
      <c r="Q1422" s="66"/>
      <c r="R1422" s="66"/>
      <c r="S1422" s="66"/>
    </row>
    <row r="1423" spans="1:19" x14ac:dyDescent="0.25">
      <c r="A1423" s="15">
        <v>66</v>
      </c>
      <c r="B1423" s="66"/>
      <c r="C1423" s="66"/>
      <c r="D1423" s="66"/>
      <c r="E1423" s="66"/>
      <c r="F1423" s="66"/>
      <c r="G1423" s="66"/>
      <c r="H1423" s="66"/>
      <c r="I1423" s="66"/>
      <c r="J1423" s="66"/>
      <c r="K1423" s="66"/>
      <c r="L1423" s="66"/>
      <c r="M1423" s="66"/>
      <c r="N1423" s="66"/>
      <c r="O1423" s="66" t="s">
        <v>826</v>
      </c>
      <c r="P1423" s="66"/>
      <c r="Q1423" s="66"/>
      <c r="R1423" s="66"/>
      <c r="S1423" s="66"/>
    </row>
    <row r="1424" spans="1:19" x14ac:dyDescent="0.25">
      <c r="A1424" s="15">
        <v>66</v>
      </c>
      <c r="B1424" s="66"/>
      <c r="C1424" s="66"/>
      <c r="D1424" s="66"/>
      <c r="E1424" s="66"/>
      <c r="F1424" s="66"/>
      <c r="G1424" s="66"/>
      <c r="H1424" s="66"/>
      <c r="I1424" s="66"/>
      <c r="J1424" s="66"/>
      <c r="K1424" s="66"/>
      <c r="L1424" s="66"/>
      <c r="M1424" s="66"/>
      <c r="N1424" s="66"/>
      <c r="O1424" s="66" t="s">
        <v>837</v>
      </c>
      <c r="P1424" s="66"/>
      <c r="Q1424" s="66"/>
      <c r="R1424" s="66"/>
      <c r="S1424" s="66"/>
    </row>
    <row r="1425" spans="1:19" x14ac:dyDescent="0.25">
      <c r="A1425" s="15">
        <v>66</v>
      </c>
      <c r="B1425" s="66"/>
      <c r="C1425" s="66"/>
      <c r="D1425" s="66"/>
      <c r="E1425" s="66"/>
      <c r="F1425" s="66"/>
      <c r="G1425" s="66"/>
      <c r="H1425" s="66"/>
      <c r="I1425" s="66"/>
      <c r="J1425" s="66"/>
      <c r="K1425" s="66"/>
      <c r="L1425" s="66"/>
      <c r="M1425" s="66"/>
      <c r="N1425" s="66"/>
      <c r="O1425" s="66" t="s">
        <v>848</v>
      </c>
      <c r="P1425" s="66"/>
      <c r="Q1425" s="66"/>
      <c r="R1425" s="66"/>
      <c r="S1425" s="66"/>
    </row>
    <row r="1426" spans="1:19" x14ac:dyDescent="0.25">
      <c r="A1426" s="15">
        <v>66</v>
      </c>
      <c r="B1426" s="66"/>
      <c r="C1426" s="66" t="s">
        <v>77</v>
      </c>
      <c r="D1426" s="66"/>
      <c r="E1426" s="66" t="s">
        <v>763</v>
      </c>
      <c r="F1426" s="66">
        <v>10</v>
      </c>
      <c r="G1426" s="66"/>
      <c r="H1426" s="66">
        <v>10</v>
      </c>
      <c r="I1426" s="66">
        <v>11.916666666666666</v>
      </c>
      <c r="J1426" s="66" t="s">
        <v>850</v>
      </c>
      <c r="K1426" s="66"/>
      <c r="L1426" s="66"/>
      <c r="M1426" s="66"/>
      <c r="N1426" s="66"/>
      <c r="O1426" s="66" t="s">
        <v>851</v>
      </c>
      <c r="P1426" s="66"/>
      <c r="Q1426" s="66">
        <v>1</v>
      </c>
      <c r="R1426" s="66">
        <v>331</v>
      </c>
      <c r="S1426" s="66"/>
    </row>
    <row r="1427" spans="1:19" x14ac:dyDescent="0.25">
      <c r="A1427" s="15">
        <v>66</v>
      </c>
      <c r="B1427" s="66"/>
      <c r="C1427" s="66">
        <v>2429</v>
      </c>
      <c r="D1427" s="66"/>
      <c r="E1427" s="66" t="s">
        <v>763</v>
      </c>
      <c r="F1427" s="66">
        <v>10</v>
      </c>
      <c r="G1427" s="66"/>
      <c r="H1427" s="66"/>
      <c r="I1427" s="66">
        <v>15.666666666666666</v>
      </c>
      <c r="J1427" s="66" t="s">
        <v>850</v>
      </c>
      <c r="K1427" s="66"/>
      <c r="L1427" s="66"/>
      <c r="M1427" s="66"/>
      <c r="N1427" s="66"/>
      <c r="O1427" s="66" t="s">
        <v>853</v>
      </c>
      <c r="P1427" s="66"/>
      <c r="Q1427" s="66">
        <v>1</v>
      </c>
      <c r="R1427" s="66">
        <v>538</v>
      </c>
      <c r="S1427" s="66"/>
    </row>
    <row r="1428" spans="1:19" x14ac:dyDescent="0.25">
      <c r="A1428" s="15">
        <v>66</v>
      </c>
      <c r="B1428" s="66"/>
      <c r="C1428" s="66">
        <v>2429</v>
      </c>
      <c r="D1428" s="66"/>
      <c r="E1428" s="66" t="s">
        <v>763</v>
      </c>
      <c r="F1428" s="66">
        <v>6</v>
      </c>
      <c r="G1428" s="66"/>
      <c r="H1428" s="66"/>
      <c r="I1428" s="66">
        <v>15.666666666666666</v>
      </c>
      <c r="J1428" s="66" t="s">
        <v>850</v>
      </c>
      <c r="K1428" s="66"/>
      <c r="L1428" s="66"/>
      <c r="M1428" s="66"/>
      <c r="N1428" s="66"/>
      <c r="O1428" s="66" t="s">
        <v>854</v>
      </c>
      <c r="P1428" s="66"/>
      <c r="Q1428" s="66">
        <v>1</v>
      </c>
      <c r="R1428" s="66">
        <v>539</v>
      </c>
      <c r="S1428" s="66"/>
    </row>
    <row r="1429" spans="1:19" x14ac:dyDescent="0.25">
      <c r="A1429" s="15">
        <v>66</v>
      </c>
      <c r="B1429" s="66"/>
      <c r="C1429" s="66">
        <v>2429</v>
      </c>
      <c r="D1429" s="66"/>
      <c r="E1429" s="66" t="s">
        <v>763</v>
      </c>
      <c r="F1429" s="66">
        <v>6</v>
      </c>
      <c r="G1429" s="66"/>
      <c r="H1429" s="66"/>
      <c r="I1429" s="66">
        <v>15.666666666666666</v>
      </c>
      <c r="J1429" s="66" t="s">
        <v>850</v>
      </c>
      <c r="K1429" s="66"/>
      <c r="L1429" s="66"/>
      <c r="M1429" s="66"/>
      <c r="N1429" s="66"/>
      <c r="O1429" s="66" t="s">
        <v>855</v>
      </c>
      <c r="P1429" s="66"/>
      <c r="Q1429" s="66">
        <v>1</v>
      </c>
      <c r="R1429" s="66">
        <v>540</v>
      </c>
      <c r="S1429" s="66"/>
    </row>
    <row r="1430" spans="1:19" x14ac:dyDescent="0.25">
      <c r="A1430" s="15">
        <v>66</v>
      </c>
      <c r="B1430" s="66"/>
      <c r="C1430" s="66">
        <v>2429</v>
      </c>
      <c r="D1430" s="66"/>
      <c r="E1430" s="66" t="s">
        <v>763</v>
      </c>
      <c r="F1430" s="66">
        <v>6</v>
      </c>
      <c r="G1430" s="66"/>
      <c r="H1430" s="66"/>
      <c r="I1430" s="66">
        <v>15.666666666666666</v>
      </c>
      <c r="J1430" s="66" t="s">
        <v>850</v>
      </c>
      <c r="K1430" s="66"/>
      <c r="L1430" s="66"/>
      <c r="M1430" s="66"/>
      <c r="N1430" s="66"/>
      <c r="O1430" s="66" t="s">
        <v>856</v>
      </c>
      <c r="P1430" s="66"/>
      <c r="Q1430" s="66">
        <v>1</v>
      </c>
      <c r="R1430" s="66">
        <v>541</v>
      </c>
      <c r="S1430" s="66"/>
    </row>
    <row r="1431" spans="1:19" x14ac:dyDescent="0.25">
      <c r="A1431" s="15">
        <v>66</v>
      </c>
      <c r="B1431" s="66"/>
      <c r="C1431" s="66">
        <v>2429</v>
      </c>
      <c r="D1431" s="66"/>
      <c r="E1431" s="66" t="s">
        <v>763</v>
      </c>
      <c r="F1431" s="66">
        <v>6</v>
      </c>
      <c r="G1431" s="66"/>
      <c r="H1431" s="66"/>
      <c r="I1431" s="66">
        <v>15.666666666666666</v>
      </c>
      <c r="J1431" s="66" t="s">
        <v>850</v>
      </c>
      <c r="K1431" s="66"/>
      <c r="L1431" s="66"/>
      <c r="M1431" s="66"/>
      <c r="N1431" s="66"/>
      <c r="O1431" s="66" t="s">
        <v>857</v>
      </c>
      <c r="P1431" s="66"/>
      <c r="Q1431" s="66">
        <v>1</v>
      </c>
      <c r="R1431" s="66">
        <v>542</v>
      </c>
      <c r="S1431" s="66"/>
    </row>
    <row r="1432" spans="1:19" x14ac:dyDescent="0.25">
      <c r="A1432" s="15">
        <v>66</v>
      </c>
      <c r="B1432" s="66"/>
      <c r="C1432" s="66">
        <v>2429</v>
      </c>
      <c r="D1432" s="66"/>
      <c r="E1432" s="66" t="s">
        <v>763</v>
      </c>
      <c r="F1432" s="66">
        <v>6</v>
      </c>
      <c r="G1432" s="66"/>
      <c r="H1432" s="66"/>
      <c r="I1432" s="66">
        <v>15.666666666666666</v>
      </c>
      <c r="J1432" s="66" t="s">
        <v>850</v>
      </c>
      <c r="K1432" s="66"/>
      <c r="L1432" s="66"/>
      <c r="M1432" s="66"/>
      <c r="N1432" s="66"/>
      <c r="O1432" s="66" t="s">
        <v>858</v>
      </c>
      <c r="P1432" s="66"/>
      <c r="Q1432" s="66">
        <v>1</v>
      </c>
      <c r="R1432" s="66">
        <v>543</v>
      </c>
      <c r="S1432" s="66"/>
    </row>
    <row r="1433" spans="1:19" x14ac:dyDescent="0.25">
      <c r="A1433" s="15">
        <v>66</v>
      </c>
      <c r="B1433" s="66"/>
      <c r="C1433" s="66">
        <v>2429</v>
      </c>
      <c r="D1433" s="66"/>
      <c r="E1433" s="66" t="s">
        <v>763</v>
      </c>
      <c r="F1433" s="66">
        <v>6</v>
      </c>
      <c r="G1433" s="66"/>
      <c r="H1433" s="66"/>
      <c r="I1433" s="66">
        <v>15.666666666666666</v>
      </c>
      <c r="J1433" s="66" t="s">
        <v>850</v>
      </c>
      <c r="K1433" s="66"/>
      <c r="L1433" s="66"/>
      <c r="M1433" s="66"/>
      <c r="N1433" s="66"/>
      <c r="O1433" s="66" t="s">
        <v>859</v>
      </c>
      <c r="P1433" s="66"/>
      <c r="Q1433" s="66">
        <v>1</v>
      </c>
      <c r="R1433" s="66">
        <v>544</v>
      </c>
      <c r="S1433" s="66"/>
    </row>
    <row r="1434" spans="1:19" x14ac:dyDescent="0.25">
      <c r="A1434" s="15">
        <v>66</v>
      </c>
      <c r="B1434" s="66"/>
      <c r="C1434" s="66">
        <v>2429</v>
      </c>
      <c r="D1434" s="66"/>
      <c r="E1434" s="66" t="s">
        <v>763</v>
      </c>
      <c r="F1434" s="66">
        <v>6</v>
      </c>
      <c r="G1434" s="66"/>
      <c r="H1434" s="66"/>
      <c r="I1434" s="66">
        <v>15.666666666666666</v>
      </c>
      <c r="J1434" s="66" t="s">
        <v>850</v>
      </c>
      <c r="K1434" s="66"/>
      <c r="L1434" s="66"/>
      <c r="M1434" s="66"/>
      <c r="N1434" s="66"/>
      <c r="O1434" s="66" t="s">
        <v>860</v>
      </c>
      <c r="P1434" s="66"/>
      <c r="Q1434" s="66">
        <v>1</v>
      </c>
      <c r="R1434" s="66">
        <v>545</v>
      </c>
      <c r="S1434" s="66"/>
    </row>
    <row r="1435" spans="1:19" x14ac:dyDescent="0.25">
      <c r="A1435" s="15">
        <v>66</v>
      </c>
      <c r="B1435" s="66"/>
      <c r="C1435" s="66">
        <v>2429</v>
      </c>
      <c r="D1435" s="66"/>
      <c r="E1435" s="66" t="s">
        <v>763</v>
      </c>
      <c r="F1435" s="66">
        <v>6</v>
      </c>
      <c r="G1435" s="66"/>
      <c r="H1435" s="66"/>
      <c r="I1435" s="66">
        <v>15.666666666666666</v>
      </c>
      <c r="J1435" s="66" t="s">
        <v>850</v>
      </c>
      <c r="K1435" s="66"/>
      <c r="L1435" s="66"/>
      <c r="M1435" s="66"/>
      <c r="N1435" s="66"/>
      <c r="O1435" s="66" t="s">
        <v>861</v>
      </c>
      <c r="P1435" s="66"/>
      <c r="Q1435" s="66">
        <v>1</v>
      </c>
      <c r="R1435" s="66">
        <v>546</v>
      </c>
      <c r="S1435" s="66"/>
    </row>
    <row r="1436" spans="1:19" x14ac:dyDescent="0.25">
      <c r="A1436" s="15">
        <v>66</v>
      </c>
      <c r="B1436" s="66"/>
      <c r="C1436" s="66">
        <v>2429</v>
      </c>
      <c r="D1436" s="66"/>
      <c r="E1436" s="66" t="s">
        <v>763</v>
      </c>
      <c r="F1436" s="66">
        <v>6</v>
      </c>
      <c r="G1436" s="66"/>
      <c r="H1436" s="66"/>
      <c r="I1436" s="66">
        <v>15.666666666666666</v>
      </c>
      <c r="J1436" s="66" t="s">
        <v>850</v>
      </c>
      <c r="K1436" s="66"/>
      <c r="L1436" s="66"/>
      <c r="M1436" s="66"/>
      <c r="N1436" s="66"/>
      <c r="O1436" s="66" t="s">
        <v>862</v>
      </c>
      <c r="P1436" s="66"/>
      <c r="Q1436" s="66">
        <v>1</v>
      </c>
      <c r="R1436" s="66">
        <v>547</v>
      </c>
      <c r="S1436" s="66"/>
    </row>
    <row r="1437" spans="1:19" x14ac:dyDescent="0.25">
      <c r="A1437" s="15">
        <v>66</v>
      </c>
      <c r="B1437" s="66"/>
      <c r="C1437" s="66">
        <v>2429</v>
      </c>
      <c r="D1437" s="66"/>
      <c r="E1437" s="66" t="s">
        <v>763</v>
      </c>
      <c r="F1437" s="66">
        <v>10</v>
      </c>
      <c r="G1437" s="66"/>
      <c r="H1437" s="66"/>
      <c r="I1437" s="66">
        <v>10.583333333333334</v>
      </c>
      <c r="J1437" s="66" t="s">
        <v>850</v>
      </c>
      <c r="K1437" s="66"/>
      <c r="L1437" s="66"/>
      <c r="M1437" s="66"/>
      <c r="N1437" s="66"/>
      <c r="O1437" s="66" t="s">
        <v>863</v>
      </c>
      <c r="P1437" s="66"/>
      <c r="Q1437" s="66">
        <v>1</v>
      </c>
      <c r="R1437" s="66">
        <v>548</v>
      </c>
      <c r="S1437" s="66"/>
    </row>
    <row r="1438" spans="1:19" x14ac:dyDescent="0.25">
      <c r="A1438" s="15">
        <v>66</v>
      </c>
      <c r="B1438" s="66"/>
      <c r="C1438" s="66">
        <v>2429</v>
      </c>
      <c r="D1438" s="66"/>
      <c r="E1438" s="66" t="s">
        <v>763</v>
      </c>
      <c r="F1438" s="66">
        <v>1</v>
      </c>
      <c r="G1438" s="66"/>
      <c r="H1438" s="66" t="e">
        <v>#N/A</v>
      </c>
      <c r="I1438" s="66"/>
      <c r="J1438" s="66" t="s">
        <v>870</v>
      </c>
      <c r="K1438" s="66" t="s">
        <v>757</v>
      </c>
      <c r="L1438" s="66" t="s">
        <v>757</v>
      </c>
      <c r="M1438" s="66" t="s">
        <v>757</v>
      </c>
      <c r="N1438" s="66" t="s">
        <v>757</v>
      </c>
      <c r="O1438" s="66" t="s">
        <v>871</v>
      </c>
      <c r="P1438" s="66"/>
      <c r="Q1438" s="66">
        <v>1</v>
      </c>
      <c r="R1438" s="66">
        <v>770</v>
      </c>
      <c r="S1438" s="66"/>
    </row>
    <row r="1439" spans="1:19" x14ac:dyDescent="0.25">
      <c r="A1439" s="15">
        <v>66</v>
      </c>
      <c r="B1439" s="66"/>
      <c r="C1439" s="66">
        <v>2429</v>
      </c>
      <c r="D1439" s="66"/>
      <c r="E1439" s="66" t="s">
        <v>763</v>
      </c>
      <c r="F1439" s="66">
        <v>1</v>
      </c>
      <c r="G1439" s="66"/>
      <c r="H1439" s="66" t="e">
        <v>#N/A</v>
      </c>
      <c r="I1439" s="66"/>
      <c r="J1439" s="66" t="s">
        <v>870</v>
      </c>
      <c r="K1439" s="66" t="s">
        <v>757</v>
      </c>
      <c r="L1439" s="66" t="s">
        <v>757</v>
      </c>
      <c r="M1439" s="66" t="s">
        <v>757</v>
      </c>
      <c r="N1439" s="66" t="s">
        <v>757</v>
      </c>
      <c r="O1439" s="66" t="s">
        <v>872</v>
      </c>
      <c r="P1439" s="66"/>
      <c r="Q1439" s="66">
        <v>1</v>
      </c>
      <c r="R1439" s="66">
        <v>771</v>
      </c>
      <c r="S1439" s="66"/>
    </row>
    <row r="1440" spans="1:19" x14ac:dyDescent="0.25">
      <c r="A1440" s="15">
        <v>66</v>
      </c>
      <c r="B1440" s="66"/>
      <c r="C1440" s="66">
        <v>2429</v>
      </c>
      <c r="D1440" s="66"/>
      <c r="E1440" s="66" t="s">
        <v>763</v>
      </c>
      <c r="F1440" s="66">
        <v>1</v>
      </c>
      <c r="G1440" s="66"/>
      <c r="H1440" s="66" t="e">
        <v>#N/A</v>
      </c>
      <c r="I1440" s="66"/>
      <c r="J1440" s="66" t="s">
        <v>870</v>
      </c>
      <c r="K1440" s="66" t="s">
        <v>757</v>
      </c>
      <c r="L1440" s="66" t="s">
        <v>757</v>
      </c>
      <c r="M1440" s="66" t="s">
        <v>757</v>
      </c>
      <c r="N1440" s="66" t="s">
        <v>757</v>
      </c>
      <c r="O1440" s="66" t="s">
        <v>873</v>
      </c>
      <c r="P1440" s="66"/>
      <c r="Q1440" s="66">
        <v>1</v>
      </c>
      <c r="R1440" s="66">
        <v>772</v>
      </c>
      <c r="S1440" s="66"/>
    </row>
    <row r="1441" spans="1:19" x14ac:dyDescent="0.25">
      <c r="A1441" s="15">
        <v>66</v>
      </c>
      <c r="B1441" s="66"/>
      <c r="C1441" s="66">
        <v>2429</v>
      </c>
      <c r="D1441" s="66"/>
      <c r="E1441" s="66" t="s">
        <v>763</v>
      </c>
      <c r="F1441" s="66">
        <v>1</v>
      </c>
      <c r="G1441" s="66"/>
      <c r="H1441" s="66" t="e">
        <v>#N/A</v>
      </c>
      <c r="I1441" s="66"/>
      <c r="J1441" s="66" t="s">
        <v>870</v>
      </c>
      <c r="K1441" s="66" t="s">
        <v>757</v>
      </c>
      <c r="L1441" s="66" t="s">
        <v>757</v>
      </c>
      <c r="M1441" s="66" t="s">
        <v>757</v>
      </c>
      <c r="N1441" s="66" t="s">
        <v>757</v>
      </c>
      <c r="O1441" s="66" t="s">
        <v>874</v>
      </c>
      <c r="P1441" s="66"/>
      <c r="Q1441" s="66">
        <v>1</v>
      </c>
      <c r="R1441" s="66">
        <v>773</v>
      </c>
      <c r="S1441" s="66"/>
    </row>
    <row r="1442" spans="1:19" x14ac:dyDescent="0.25">
      <c r="A1442" s="15">
        <v>66</v>
      </c>
      <c r="B1442" s="66"/>
      <c r="C1442" s="66">
        <v>2429</v>
      </c>
      <c r="D1442" s="66"/>
      <c r="E1442" s="66" t="s">
        <v>763</v>
      </c>
      <c r="F1442" s="66">
        <v>1</v>
      </c>
      <c r="G1442" s="66"/>
      <c r="H1442" s="66" t="e">
        <v>#N/A</v>
      </c>
      <c r="I1442" s="66"/>
      <c r="J1442" s="66" t="s">
        <v>870</v>
      </c>
      <c r="K1442" s="66" t="s">
        <v>757</v>
      </c>
      <c r="L1442" s="66" t="s">
        <v>757</v>
      </c>
      <c r="M1442" s="66" t="s">
        <v>757</v>
      </c>
      <c r="N1442" s="66" t="s">
        <v>757</v>
      </c>
      <c r="O1442" s="66" t="s">
        <v>875</v>
      </c>
      <c r="P1442" s="66"/>
      <c r="Q1442" s="66">
        <v>1</v>
      </c>
      <c r="R1442" s="66">
        <v>774</v>
      </c>
      <c r="S1442" s="66"/>
    </row>
    <row r="1443" spans="1:19" x14ac:dyDescent="0.25">
      <c r="A1443" s="15">
        <v>66</v>
      </c>
      <c r="B1443" s="66"/>
      <c r="C1443" s="66">
        <v>2429</v>
      </c>
      <c r="D1443" s="66"/>
      <c r="E1443" s="66" t="s">
        <v>763</v>
      </c>
      <c r="F1443" s="66">
        <v>1</v>
      </c>
      <c r="G1443" s="66"/>
      <c r="H1443" s="66" t="e">
        <v>#N/A</v>
      </c>
      <c r="I1443" s="66"/>
      <c r="J1443" s="66" t="s">
        <v>870</v>
      </c>
      <c r="K1443" s="66" t="s">
        <v>757</v>
      </c>
      <c r="L1443" s="66" t="s">
        <v>757</v>
      </c>
      <c r="M1443" s="66" t="s">
        <v>757</v>
      </c>
      <c r="N1443" s="66" t="s">
        <v>757</v>
      </c>
      <c r="O1443" s="66" t="s">
        <v>876</v>
      </c>
      <c r="P1443" s="66"/>
      <c r="Q1443" s="66">
        <v>1</v>
      </c>
      <c r="R1443" s="66">
        <v>775</v>
      </c>
      <c r="S1443" s="66"/>
    </row>
    <row r="1444" spans="1:19" x14ac:dyDescent="0.25">
      <c r="A1444" s="15">
        <v>66</v>
      </c>
      <c r="B1444" s="66"/>
      <c r="C1444" s="66">
        <v>2429</v>
      </c>
      <c r="D1444" s="66"/>
      <c r="E1444" s="66" t="s">
        <v>763</v>
      </c>
      <c r="F1444" s="66">
        <v>1</v>
      </c>
      <c r="G1444" s="66"/>
      <c r="H1444" s="66" t="e">
        <v>#N/A</v>
      </c>
      <c r="I1444" s="66"/>
      <c r="J1444" s="66" t="s">
        <v>870</v>
      </c>
      <c r="K1444" s="66" t="s">
        <v>757</v>
      </c>
      <c r="L1444" s="66" t="s">
        <v>757</v>
      </c>
      <c r="M1444" s="66" t="s">
        <v>757</v>
      </c>
      <c r="N1444" s="66" t="s">
        <v>757</v>
      </c>
      <c r="O1444" s="66" t="s">
        <v>877</v>
      </c>
      <c r="P1444" s="66"/>
      <c r="Q1444" s="66">
        <v>1</v>
      </c>
      <c r="R1444" s="66">
        <v>776</v>
      </c>
      <c r="S1444" s="66"/>
    </row>
    <row r="1445" spans="1:19" x14ac:dyDescent="0.25">
      <c r="A1445" s="15">
        <v>66</v>
      </c>
      <c r="B1445" s="66"/>
      <c r="C1445" s="66">
        <v>2429</v>
      </c>
      <c r="D1445" s="66"/>
      <c r="E1445" s="66" t="s">
        <v>763</v>
      </c>
      <c r="F1445" s="66">
        <v>1</v>
      </c>
      <c r="G1445" s="66"/>
      <c r="H1445" s="66" t="e">
        <v>#N/A</v>
      </c>
      <c r="I1445" s="66"/>
      <c r="J1445" s="66" t="s">
        <v>870</v>
      </c>
      <c r="K1445" s="66" t="s">
        <v>757</v>
      </c>
      <c r="L1445" s="66" t="s">
        <v>757</v>
      </c>
      <c r="M1445" s="66" t="s">
        <v>757</v>
      </c>
      <c r="N1445" s="66" t="s">
        <v>757</v>
      </c>
      <c r="O1445" s="66" t="s">
        <v>878</v>
      </c>
      <c r="P1445" s="66"/>
      <c r="Q1445" s="66">
        <v>1</v>
      </c>
      <c r="R1445" s="66">
        <v>777</v>
      </c>
      <c r="S1445" s="66"/>
    </row>
    <row r="1446" spans="1:19" x14ac:dyDescent="0.25">
      <c r="A1446" s="15">
        <v>66</v>
      </c>
      <c r="B1446" s="66"/>
      <c r="C1446" s="66">
        <v>2429</v>
      </c>
      <c r="D1446" s="66"/>
      <c r="E1446" s="66" t="s">
        <v>763</v>
      </c>
      <c r="F1446" s="66">
        <v>1</v>
      </c>
      <c r="G1446" s="66"/>
      <c r="H1446" s="66" t="e">
        <v>#N/A</v>
      </c>
      <c r="I1446" s="66"/>
      <c r="J1446" s="66" t="s">
        <v>870</v>
      </c>
      <c r="K1446" s="66" t="s">
        <v>757</v>
      </c>
      <c r="L1446" s="66" t="s">
        <v>757</v>
      </c>
      <c r="M1446" s="66" t="s">
        <v>757</v>
      </c>
      <c r="N1446" s="66" t="s">
        <v>757</v>
      </c>
      <c r="O1446" s="66" t="s">
        <v>879</v>
      </c>
      <c r="P1446" s="66"/>
      <c r="Q1446" s="66">
        <v>1</v>
      </c>
      <c r="R1446" s="66">
        <v>778</v>
      </c>
      <c r="S1446" s="66"/>
    </row>
    <row r="1447" spans="1:19" x14ac:dyDescent="0.25">
      <c r="A1447" s="15">
        <v>66</v>
      </c>
      <c r="B1447" s="66"/>
      <c r="C1447" s="66">
        <v>2429</v>
      </c>
      <c r="D1447" s="66"/>
      <c r="E1447" s="66" t="s">
        <v>763</v>
      </c>
      <c r="F1447" s="66">
        <v>1</v>
      </c>
      <c r="G1447" s="66"/>
      <c r="H1447" s="66" t="e">
        <v>#N/A</v>
      </c>
      <c r="I1447" s="66"/>
      <c r="J1447" s="66" t="s">
        <v>870</v>
      </c>
      <c r="K1447" s="66" t="s">
        <v>757</v>
      </c>
      <c r="L1447" s="66" t="s">
        <v>757</v>
      </c>
      <c r="M1447" s="66" t="s">
        <v>757</v>
      </c>
      <c r="N1447" s="66" t="s">
        <v>757</v>
      </c>
      <c r="O1447" s="66" t="s">
        <v>880</v>
      </c>
      <c r="P1447" s="66"/>
      <c r="Q1447" s="66">
        <v>1</v>
      </c>
      <c r="R1447" s="66">
        <v>779</v>
      </c>
      <c r="S1447" s="66"/>
    </row>
    <row r="1448" spans="1:19" x14ac:dyDescent="0.25">
      <c r="A1448" s="15">
        <v>66</v>
      </c>
      <c r="B1448" s="66"/>
      <c r="C1448" s="66">
        <v>2429</v>
      </c>
      <c r="D1448" s="66"/>
      <c r="E1448" s="66" t="s">
        <v>763</v>
      </c>
      <c r="F1448" s="66">
        <v>1</v>
      </c>
      <c r="G1448" s="66"/>
      <c r="H1448" s="66" t="e">
        <v>#N/A</v>
      </c>
      <c r="I1448" s="66"/>
      <c r="J1448" s="66" t="s">
        <v>870</v>
      </c>
      <c r="K1448" s="66" t="s">
        <v>757</v>
      </c>
      <c r="L1448" s="66" t="s">
        <v>757</v>
      </c>
      <c r="M1448" s="66" t="s">
        <v>757</v>
      </c>
      <c r="N1448" s="66" t="s">
        <v>757</v>
      </c>
      <c r="O1448" s="66" t="s">
        <v>881</v>
      </c>
      <c r="P1448" s="66"/>
      <c r="Q1448" s="66">
        <v>1</v>
      </c>
      <c r="R1448" s="66">
        <v>780</v>
      </c>
      <c r="S1448" s="66"/>
    </row>
    <row r="1449" spans="1:19" x14ac:dyDescent="0.25">
      <c r="A1449" s="15">
        <v>66</v>
      </c>
      <c r="B1449" s="66"/>
      <c r="C1449" s="66">
        <v>2429</v>
      </c>
      <c r="D1449" s="66"/>
      <c r="E1449" s="66" t="s">
        <v>763</v>
      </c>
      <c r="F1449" s="66">
        <v>0</v>
      </c>
      <c r="G1449" s="66"/>
      <c r="H1449" s="66">
        <v>3</v>
      </c>
      <c r="I1449" s="66" t="e">
        <v>#N/A</v>
      </c>
      <c r="J1449" s="66" t="s">
        <v>870</v>
      </c>
      <c r="K1449" s="66"/>
      <c r="L1449" s="66"/>
      <c r="M1449" s="66"/>
      <c r="N1449" s="66"/>
      <c r="O1449" s="66" t="s">
        <v>883</v>
      </c>
      <c r="P1449" s="66"/>
      <c r="Q1449" s="66">
        <v>1</v>
      </c>
      <c r="R1449" s="66">
        <v>997</v>
      </c>
      <c r="S1449" s="66"/>
    </row>
    <row r="1450" spans="1:19" x14ac:dyDescent="0.25">
      <c r="A1450" s="15">
        <v>66</v>
      </c>
      <c r="B1450" s="66"/>
      <c r="C1450" s="66">
        <v>2429</v>
      </c>
      <c r="D1450" s="66"/>
      <c r="E1450" s="66" t="s">
        <v>763</v>
      </c>
      <c r="F1450" s="66">
        <v>0</v>
      </c>
      <c r="G1450" s="66"/>
      <c r="H1450" s="66">
        <v>3</v>
      </c>
      <c r="I1450" s="66" t="e">
        <v>#N/A</v>
      </c>
      <c r="J1450" s="66" t="s">
        <v>870</v>
      </c>
      <c r="K1450" s="66"/>
      <c r="L1450" s="66"/>
      <c r="M1450" s="66"/>
      <c r="N1450" s="66"/>
      <c r="O1450" s="66" t="s">
        <v>884</v>
      </c>
      <c r="P1450" s="66"/>
      <c r="Q1450" s="66">
        <v>1</v>
      </c>
      <c r="R1450" s="66">
        <v>998</v>
      </c>
      <c r="S1450" s="66"/>
    </row>
    <row r="1451" spans="1:19" x14ac:dyDescent="0.25">
      <c r="A1451" s="15">
        <v>66</v>
      </c>
      <c r="B1451" s="66"/>
      <c r="C1451" s="66">
        <v>2429</v>
      </c>
      <c r="D1451" s="66"/>
      <c r="E1451" s="66" t="s">
        <v>763</v>
      </c>
      <c r="F1451" s="66">
        <v>0</v>
      </c>
      <c r="G1451" s="66"/>
      <c r="H1451" s="66">
        <v>3</v>
      </c>
      <c r="I1451" s="66" t="e">
        <v>#N/A</v>
      </c>
      <c r="J1451" s="66" t="s">
        <v>870</v>
      </c>
      <c r="K1451" s="66"/>
      <c r="L1451" s="66"/>
      <c r="M1451" s="66"/>
      <c r="N1451" s="66"/>
      <c r="O1451" s="66" t="s">
        <v>885</v>
      </c>
      <c r="P1451" s="66"/>
      <c r="Q1451" s="66">
        <v>1</v>
      </c>
      <c r="R1451" s="66">
        <v>999</v>
      </c>
      <c r="S1451" s="66"/>
    </row>
    <row r="1452" spans="1:19" x14ac:dyDescent="0.25">
      <c r="A1452" s="15">
        <v>66</v>
      </c>
      <c r="B1452" s="66"/>
      <c r="C1452" s="66">
        <v>2429</v>
      </c>
      <c r="D1452" s="66"/>
      <c r="E1452" s="66" t="s">
        <v>763</v>
      </c>
      <c r="F1452" s="66">
        <v>0</v>
      </c>
      <c r="G1452" s="66"/>
      <c r="H1452" s="66">
        <v>3</v>
      </c>
      <c r="I1452" s="66" t="e">
        <v>#N/A</v>
      </c>
      <c r="J1452" s="66" t="s">
        <v>870</v>
      </c>
      <c r="K1452" s="66"/>
      <c r="L1452" s="66"/>
      <c r="M1452" s="66"/>
      <c r="N1452" s="66"/>
      <c r="O1452" s="66" t="s">
        <v>886</v>
      </c>
      <c r="P1452" s="66"/>
      <c r="Q1452" s="66">
        <v>1</v>
      </c>
      <c r="R1452" s="66">
        <v>1000</v>
      </c>
      <c r="S1452" s="66"/>
    </row>
    <row r="1453" spans="1:19" x14ac:dyDescent="0.25">
      <c r="A1453" s="15">
        <v>66</v>
      </c>
      <c r="B1453" s="66"/>
      <c r="C1453" s="66">
        <v>2429</v>
      </c>
      <c r="D1453" s="66"/>
      <c r="E1453" s="66" t="s">
        <v>763</v>
      </c>
      <c r="F1453" s="66">
        <v>0</v>
      </c>
      <c r="G1453" s="66"/>
      <c r="H1453" s="66">
        <v>3</v>
      </c>
      <c r="I1453" s="66" t="e">
        <v>#N/A</v>
      </c>
      <c r="J1453" s="66" t="s">
        <v>870</v>
      </c>
      <c r="K1453" s="66"/>
      <c r="L1453" s="66"/>
      <c r="M1453" s="66"/>
      <c r="N1453" s="66"/>
      <c r="O1453" s="66" t="s">
        <v>887</v>
      </c>
      <c r="P1453" s="66"/>
      <c r="Q1453" s="66">
        <v>1</v>
      </c>
      <c r="R1453" s="66">
        <v>1001</v>
      </c>
      <c r="S1453" s="66"/>
    </row>
    <row r="1454" spans="1:19" x14ac:dyDescent="0.25">
      <c r="A1454" s="15">
        <v>66</v>
      </c>
      <c r="B1454" s="66"/>
      <c r="C1454" s="66">
        <v>2429</v>
      </c>
      <c r="D1454" s="66"/>
      <c r="E1454" s="66" t="s">
        <v>763</v>
      </c>
      <c r="F1454" s="66">
        <v>0</v>
      </c>
      <c r="G1454" s="66"/>
      <c r="H1454" s="66">
        <v>3</v>
      </c>
      <c r="I1454" s="66" t="e">
        <v>#N/A</v>
      </c>
      <c r="J1454" s="66" t="s">
        <v>870</v>
      </c>
      <c r="K1454" s="66"/>
      <c r="L1454" s="66"/>
      <c r="M1454" s="66"/>
      <c r="N1454" s="66"/>
      <c r="O1454" s="66" t="s">
        <v>888</v>
      </c>
      <c r="P1454" s="66"/>
      <c r="Q1454" s="66">
        <v>1</v>
      </c>
      <c r="R1454" s="66">
        <v>1002</v>
      </c>
      <c r="S1454" s="66"/>
    </row>
    <row r="1455" spans="1:19" x14ac:dyDescent="0.25">
      <c r="A1455" s="15">
        <v>66</v>
      </c>
      <c r="B1455" s="66"/>
      <c r="C1455" s="66">
        <v>2429</v>
      </c>
      <c r="D1455" s="66"/>
      <c r="E1455" s="66" t="s">
        <v>763</v>
      </c>
      <c r="F1455" s="66">
        <v>0</v>
      </c>
      <c r="G1455" s="66"/>
      <c r="H1455" s="66">
        <v>3</v>
      </c>
      <c r="I1455" s="66" t="e">
        <v>#N/A</v>
      </c>
      <c r="J1455" s="66" t="s">
        <v>870</v>
      </c>
      <c r="K1455" s="66"/>
      <c r="L1455" s="66"/>
      <c r="M1455" s="66"/>
      <c r="N1455" s="66"/>
      <c r="O1455" s="66" t="s">
        <v>889</v>
      </c>
      <c r="P1455" s="66"/>
      <c r="Q1455" s="66">
        <v>1</v>
      </c>
      <c r="R1455" s="66">
        <v>1003</v>
      </c>
      <c r="S1455" s="66"/>
    </row>
    <row r="1456" spans="1:19" x14ac:dyDescent="0.25">
      <c r="A1456" s="15">
        <v>66</v>
      </c>
      <c r="B1456" s="66"/>
      <c r="C1456" s="66">
        <v>2429</v>
      </c>
      <c r="D1456" s="66"/>
      <c r="E1456" s="66" t="s">
        <v>763</v>
      </c>
      <c r="F1456" s="66">
        <v>0</v>
      </c>
      <c r="G1456" s="66"/>
      <c r="H1456" s="66">
        <v>3</v>
      </c>
      <c r="I1456" s="66" t="e">
        <v>#N/A</v>
      </c>
      <c r="J1456" s="66" t="s">
        <v>870</v>
      </c>
      <c r="K1456" s="66"/>
      <c r="L1456" s="66"/>
      <c r="M1456" s="66"/>
      <c r="N1456" s="66"/>
      <c r="O1456" s="66" t="s">
        <v>890</v>
      </c>
      <c r="P1456" s="66"/>
      <c r="Q1456" s="66">
        <v>1</v>
      </c>
      <c r="R1456" s="66">
        <v>1004</v>
      </c>
      <c r="S1456" s="66"/>
    </row>
    <row r="1457" spans="1:19" x14ac:dyDescent="0.25">
      <c r="A1457" s="15">
        <v>66</v>
      </c>
      <c r="B1457" s="66"/>
      <c r="C1457" s="66">
        <v>2429</v>
      </c>
      <c r="D1457" s="66"/>
      <c r="E1457" s="66" t="s">
        <v>763</v>
      </c>
      <c r="F1457" s="66">
        <v>0</v>
      </c>
      <c r="G1457" s="66"/>
      <c r="H1457" s="66">
        <v>3</v>
      </c>
      <c r="I1457" s="66" t="e">
        <v>#N/A</v>
      </c>
      <c r="J1457" s="66" t="s">
        <v>870</v>
      </c>
      <c r="K1457" s="66"/>
      <c r="L1457" s="66"/>
      <c r="M1457" s="66"/>
      <c r="N1457" s="66"/>
      <c r="O1457" s="66" t="s">
        <v>891</v>
      </c>
      <c r="P1457" s="66"/>
      <c r="Q1457" s="66">
        <v>1</v>
      </c>
      <c r="R1457" s="66">
        <v>1005</v>
      </c>
      <c r="S1457" s="66"/>
    </row>
    <row r="1458" spans="1:19" x14ac:dyDescent="0.25">
      <c r="A1458" s="15">
        <v>66</v>
      </c>
      <c r="B1458" s="66"/>
      <c r="C1458" s="66">
        <v>2429</v>
      </c>
      <c r="D1458" s="66"/>
      <c r="E1458" s="66" t="s">
        <v>763</v>
      </c>
      <c r="F1458" s="66">
        <v>0</v>
      </c>
      <c r="G1458" s="66"/>
      <c r="H1458" s="66">
        <v>3</v>
      </c>
      <c r="I1458" s="66" t="e">
        <v>#N/A</v>
      </c>
      <c r="J1458" s="66" t="s">
        <v>870</v>
      </c>
      <c r="K1458" s="66"/>
      <c r="L1458" s="66"/>
      <c r="M1458" s="66"/>
      <c r="N1458" s="66"/>
      <c r="O1458" s="66" t="s">
        <v>892</v>
      </c>
      <c r="P1458" s="66"/>
      <c r="Q1458" s="66">
        <v>1</v>
      </c>
      <c r="R1458" s="66">
        <v>1006</v>
      </c>
      <c r="S1458" s="66"/>
    </row>
    <row r="1459" spans="1:19" x14ac:dyDescent="0.25">
      <c r="A1459" s="15">
        <v>66</v>
      </c>
      <c r="B1459" s="66"/>
      <c r="C1459" s="66">
        <v>2429</v>
      </c>
      <c r="D1459" s="66"/>
      <c r="E1459" s="66" t="s">
        <v>763</v>
      </c>
      <c r="F1459" s="66">
        <v>0</v>
      </c>
      <c r="G1459" s="66"/>
      <c r="H1459" s="66">
        <v>3</v>
      </c>
      <c r="I1459" s="66" t="e">
        <v>#N/A</v>
      </c>
      <c r="J1459" s="66" t="s">
        <v>870</v>
      </c>
      <c r="K1459" s="66"/>
      <c r="L1459" s="66"/>
      <c r="M1459" s="66"/>
      <c r="N1459" s="66"/>
      <c r="O1459" s="66" t="s">
        <v>893</v>
      </c>
      <c r="P1459" s="66"/>
      <c r="Q1459" s="66">
        <v>1</v>
      </c>
      <c r="R1459" s="66">
        <v>1007</v>
      </c>
      <c r="S1459" s="66"/>
    </row>
    <row r="1460" spans="1:19" x14ac:dyDescent="0.25">
      <c r="A1460" s="15">
        <v>66</v>
      </c>
      <c r="B1460" s="66"/>
      <c r="C1460" s="66">
        <v>2429</v>
      </c>
      <c r="D1460" s="66"/>
      <c r="E1460" s="66" t="s">
        <v>763</v>
      </c>
      <c r="F1460" s="66">
        <v>3</v>
      </c>
      <c r="G1460" s="66"/>
      <c r="H1460" s="66">
        <v>3</v>
      </c>
      <c r="I1460" s="66" t="e">
        <v>#N/A</v>
      </c>
      <c r="J1460" s="66" t="s">
        <v>870</v>
      </c>
      <c r="K1460" s="66"/>
      <c r="L1460" s="66"/>
      <c r="M1460" s="66"/>
      <c r="N1460" s="66"/>
      <c r="O1460" s="66" t="s">
        <v>895</v>
      </c>
      <c r="P1460" s="66"/>
      <c r="Q1460" s="66">
        <v>1</v>
      </c>
      <c r="R1460" s="66">
        <v>1224</v>
      </c>
      <c r="S1460" s="66"/>
    </row>
    <row r="1461" spans="1:19" x14ac:dyDescent="0.25">
      <c r="A1461" s="15">
        <v>66</v>
      </c>
      <c r="B1461" s="66"/>
      <c r="C1461" s="66">
        <v>2429</v>
      </c>
      <c r="D1461" s="66"/>
      <c r="E1461" s="66" t="s">
        <v>763</v>
      </c>
      <c r="F1461" s="66">
        <v>3</v>
      </c>
      <c r="G1461" s="66"/>
      <c r="H1461" s="66">
        <v>3</v>
      </c>
      <c r="I1461" s="66" t="e">
        <v>#N/A</v>
      </c>
      <c r="J1461" s="66" t="s">
        <v>870</v>
      </c>
      <c r="K1461" s="66"/>
      <c r="L1461" s="66"/>
      <c r="M1461" s="66"/>
      <c r="N1461" s="66"/>
      <c r="O1461" s="66" t="s">
        <v>896</v>
      </c>
      <c r="P1461" s="66"/>
      <c r="Q1461" s="66">
        <v>1</v>
      </c>
      <c r="R1461" s="66">
        <v>1225</v>
      </c>
      <c r="S1461" s="66"/>
    </row>
    <row r="1462" spans="1:19" x14ac:dyDescent="0.25">
      <c r="A1462" s="15">
        <v>66</v>
      </c>
      <c r="B1462" s="66"/>
      <c r="C1462" s="66">
        <v>2429</v>
      </c>
      <c r="D1462" s="66"/>
      <c r="E1462" s="66" t="s">
        <v>763</v>
      </c>
      <c r="F1462" s="66">
        <v>3</v>
      </c>
      <c r="G1462" s="66"/>
      <c r="H1462" s="66">
        <v>3</v>
      </c>
      <c r="I1462" s="66" t="e">
        <v>#N/A</v>
      </c>
      <c r="J1462" s="66" t="s">
        <v>870</v>
      </c>
      <c r="K1462" s="66"/>
      <c r="L1462" s="66"/>
      <c r="M1462" s="66"/>
      <c r="N1462" s="66"/>
      <c r="O1462" s="66" t="s">
        <v>897</v>
      </c>
      <c r="P1462" s="66"/>
      <c r="Q1462" s="66">
        <v>1</v>
      </c>
      <c r="R1462" s="66">
        <v>1226</v>
      </c>
      <c r="S1462" s="66"/>
    </row>
    <row r="1463" spans="1:19" x14ac:dyDescent="0.25">
      <c r="A1463" s="15">
        <v>66</v>
      </c>
      <c r="B1463" s="66"/>
      <c r="C1463" s="66">
        <v>2429</v>
      </c>
      <c r="D1463" s="66"/>
      <c r="E1463" s="66" t="s">
        <v>763</v>
      </c>
      <c r="F1463" s="66">
        <v>3</v>
      </c>
      <c r="G1463" s="66"/>
      <c r="H1463" s="66">
        <v>3</v>
      </c>
      <c r="I1463" s="66" t="e">
        <v>#N/A</v>
      </c>
      <c r="J1463" s="66" t="s">
        <v>870</v>
      </c>
      <c r="K1463" s="66"/>
      <c r="L1463" s="66"/>
      <c r="M1463" s="66"/>
      <c r="N1463" s="66"/>
      <c r="O1463" s="66" t="s">
        <v>898</v>
      </c>
      <c r="P1463" s="66"/>
      <c r="Q1463" s="66">
        <v>1</v>
      </c>
      <c r="R1463" s="66">
        <v>1227</v>
      </c>
      <c r="S1463" s="66"/>
    </row>
    <row r="1464" spans="1:19" x14ac:dyDescent="0.25">
      <c r="A1464" s="15">
        <v>66</v>
      </c>
      <c r="B1464" s="66"/>
      <c r="C1464" s="66">
        <v>2429</v>
      </c>
      <c r="D1464" s="66"/>
      <c r="E1464" s="66" t="s">
        <v>763</v>
      </c>
      <c r="F1464" s="66">
        <v>3</v>
      </c>
      <c r="G1464" s="66"/>
      <c r="H1464" s="66">
        <v>3</v>
      </c>
      <c r="I1464" s="66" t="e">
        <v>#N/A</v>
      </c>
      <c r="J1464" s="66" t="s">
        <v>870</v>
      </c>
      <c r="K1464" s="66"/>
      <c r="L1464" s="66"/>
      <c r="M1464" s="66"/>
      <c r="N1464" s="66"/>
      <c r="O1464" s="66" t="s">
        <v>899</v>
      </c>
      <c r="P1464" s="66"/>
      <c r="Q1464" s="66">
        <v>1</v>
      </c>
      <c r="R1464" s="66">
        <v>1228</v>
      </c>
      <c r="S1464" s="66"/>
    </row>
    <row r="1465" spans="1:19" x14ac:dyDescent="0.25">
      <c r="A1465" s="15">
        <v>66</v>
      </c>
      <c r="B1465" s="66"/>
      <c r="C1465" s="66">
        <v>2429</v>
      </c>
      <c r="D1465" s="66"/>
      <c r="E1465" s="66" t="s">
        <v>763</v>
      </c>
      <c r="F1465" s="66">
        <v>3</v>
      </c>
      <c r="G1465" s="66"/>
      <c r="H1465" s="66">
        <v>3</v>
      </c>
      <c r="I1465" s="66" t="e">
        <v>#N/A</v>
      </c>
      <c r="J1465" s="66" t="s">
        <v>870</v>
      </c>
      <c r="K1465" s="66"/>
      <c r="L1465" s="66"/>
      <c r="M1465" s="66"/>
      <c r="N1465" s="66"/>
      <c r="O1465" s="66" t="s">
        <v>900</v>
      </c>
      <c r="P1465" s="66"/>
      <c r="Q1465" s="66">
        <v>1</v>
      </c>
      <c r="R1465" s="66">
        <v>1229</v>
      </c>
      <c r="S1465" s="66"/>
    </row>
    <row r="1466" spans="1:19" x14ac:dyDescent="0.25">
      <c r="A1466" s="15">
        <v>66</v>
      </c>
      <c r="B1466" s="66"/>
      <c r="C1466" s="66">
        <v>2429</v>
      </c>
      <c r="D1466" s="66"/>
      <c r="E1466" s="66" t="s">
        <v>763</v>
      </c>
      <c r="F1466" s="66">
        <v>3</v>
      </c>
      <c r="G1466" s="66"/>
      <c r="H1466" s="66">
        <v>3</v>
      </c>
      <c r="I1466" s="66" t="e">
        <v>#N/A</v>
      </c>
      <c r="J1466" s="66" t="s">
        <v>870</v>
      </c>
      <c r="K1466" s="66"/>
      <c r="L1466" s="66"/>
      <c r="M1466" s="66"/>
      <c r="N1466" s="66"/>
      <c r="O1466" s="66" t="s">
        <v>901</v>
      </c>
      <c r="P1466" s="66"/>
      <c r="Q1466" s="66">
        <v>1</v>
      </c>
      <c r="R1466" s="66">
        <v>1230</v>
      </c>
      <c r="S1466" s="66"/>
    </row>
    <row r="1467" spans="1:19" x14ac:dyDescent="0.25">
      <c r="A1467" s="15">
        <v>66</v>
      </c>
      <c r="B1467" s="66"/>
      <c r="C1467" s="66">
        <v>2429</v>
      </c>
      <c r="D1467" s="66"/>
      <c r="E1467" s="66" t="s">
        <v>763</v>
      </c>
      <c r="F1467" s="66">
        <v>3</v>
      </c>
      <c r="G1467" s="66"/>
      <c r="H1467" s="66">
        <v>3</v>
      </c>
      <c r="I1467" s="66" t="e">
        <v>#N/A</v>
      </c>
      <c r="J1467" s="66" t="s">
        <v>870</v>
      </c>
      <c r="K1467" s="66"/>
      <c r="L1467" s="66"/>
      <c r="M1467" s="66"/>
      <c r="N1467" s="66"/>
      <c r="O1467" s="66" t="s">
        <v>902</v>
      </c>
      <c r="P1467" s="66"/>
      <c r="Q1467" s="66">
        <v>1</v>
      </c>
      <c r="R1467" s="66">
        <v>1231</v>
      </c>
      <c r="S1467" s="66"/>
    </row>
    <row r="1468" spans="1:19" x14ac:dyDescent="0.25">
      <c r="A1468" s="15">
        <v>66</v>
      </c>
      <c r="B1468" s="66"/>
      <c r="C1468" s="66">
        <v>2429</v>
      </c>
      <c r="D1468" s="66"/>
      <c r="E1468" s="66" t="s">
        <v>763</v>
      </c>
      <c r="F1468" s="66">
        <v>3</v>
      </c>
      <c r="G1468" s="66"/>
      <c r="H1468" s="66">
        <v>3</v>
      </c>
      <c r="I1468" s="66" t="e">
        <v>#N/A</v>
      </c>
      <c r="J1468" s="66" t="s">
        <v>870</v>
      </c>
      <c r="K1468" s="66"/>
      <c r="L1468" s="66"/>
      <c r="M1468" s="66"/>
      <c r="N1468" s="66"/>
      <c r="O1468" s="66" t="s">
        <v>903</v>
      </c>
      <c r="P1468" s="66"/>
      <c r="Q1468" s="66">
        <v>1</v>
      </c>
      <c r="R1468" s="66">
        <v>1232</v>
      </c>
      <c r="S1468" s="66"/>
    </row>
    <row r="1469" spans="1:19" x14ac:dyDescent="0.25">
      <c r="A1469" s="15">
        <v>66</v>
      </c>
      <c r="B1469" s="66"/>
      <c r="C1469" s="66">
        <v>2429</v>
      </c>
      <c r="D1469" s="66"/>
      <c r="E1469" s="66" t="s">
        <v>763</v>
      </c>
      <c r="F1469" s="66">
        <v>3</v>
      </c>
      <c r="G1469" s="66"/>
      <c r="H1469" s="66">
        <v>3</v>
      </c>
      <c r="I1469" s="66" t="e">
        <v>#N/A</v>
      </c>
      <c r="J1469" s="66" t="s">
        <v>870</v>
      </c>
      <c r="K1469" s="66"/>
      <c r="L1469" s="66"/>
      <c r="M1469" s="66"/>
      <c r="N1469" s="66"/>
      <c r="O1469" s="66" t="s">
        <v>904</v>
      </c>
      <c r="P1469" s="66"/>
      <c r="Q1469" s="66">
        <v>1</v>
      </c>
      <c r="R1469" s="66">
        <v>1233</v>
      </c>
      <c r="S1469" s="66"/>
    </row>
    <row r="1470" spans="1:19" x14ac:dyDescent="0.25">
      <c r="A1470" s="15">
        <v>66</v>
      </c>
      <c r="B1470" s="66"/>
      <c r="C1470" s="66">
        <v>2429</v>
      </c>
      <c r="D1470" s="66"/>
      <c r="E1470" s="66" t="s">
        <v>763</v>
      </c>
      <c r="F1470" s="66">
        <v>3</v>
      </c>
      <c r="G1470" s="66"/>
      <c r="H1470" s="66">
        <v>3</v>
      </c>
      <c r="I1470" s="66" t="e">
        <v>#N/A</v>
      </c>
      <c r="J1470" s="66" t="s">
        <v>870</v>
      </c>
      <c r="K1470" s="66"/>
      <c r="L1470" s="66"/>
      <c r="M1470" s="66"/>
      <c r="N1470" s="66"/>
      <c r="O1470" s="66" t="s">
        <v>905</v>
      </c>
      <c r="P1470" s="66"/>
      <c r="Q1470" s="66">
        <v>1</v>
      </c>
      <c r="R1470" s="66">
        <v>1234</v>
      </c>
      <c r="S1470" s="66"/>
    </row>
    <row r="1471" spans="1:19" x14ac:dyDescent="0.25">
      <c r="A1471" s="15">
        <v>66</v>
      </c>
      <c r="B1471" s="66"/>
      <c r="C1471" s="66">
        <v>2429</v>
      </c>
      <c r="D1471" s="66"/>
      <c r="E1471" s="66" t="s">
        <v>763</v>
      </c>
      <c r="F1471" s="66">
        <v>3</v>
      </c>
      <c r="G1471" s="66"/>
      <c r="H1471" s="66" t="e">
        <v>#N/A</v>
      </c>
      <c r="I1471" s="66"/>
      <c r="J1471" s="66" t="s">
        <v>870</v>
      </c>
      <c r="K1471" s="66"/>
      <c r="L1471" s="66"/>
      <c r="M1471" s="66"/>
      <c r="N1471" s="66"/>
      <c r="O1471" s="66" t="s">
        <v>907</v>
      </c>
      <c r="P1471" s="66"/>
      <c r="Q1471" s="66">
        <v>1</v>
      </c>
      <c r="R1471" s="66">
        <v>1311</v>
      </c>
      <c r="S1471" s="66"/>
    </row>
    <row r="1472" spans="1:19" x14ac:dyDescent="0.25">
      <c r="A1472" s="15">
        <v>66</v>
      </c>
      <c r="B1472" s="66"/>
      <c r="C1472" s="66">
        <v>2429</v>
      </c>
      <c r="D1472" s="66"/>
      <c r="E1472" s="66" t="s">
        <v>763</v>
      </c>
      <c r="F1472" s="66">
        <v>5</v>
      </c>
      <c r="G1472" s="66"/>
      <c r="H1472" s="66" t="e">
        <v>#N/A</v>
      </c>
      <c r="I1472" s="66"/>
      <c r="J1472" s="66" t="s">
        <v>870</v>
      </c>
      <c r="K1472" s="66"/>
      <c r="L1472" s="66"/>
      <c r="M1472" s="66"/>
      <c r="N1472" s="66"/>
      <c r="O1472" s="66" t="s">
        <v>909</v>
      </c>
      <c r="P1472" s="66"/>
      <c r="Q1472" s="66">
        <v>1</v>
      </c>
      <c r="R1472" s="66">
        <v>1518</v>
      </c>
      <c r="S1472" s="66"/>
    </row>
    <row r="1473" spans="1:19" x14ac:dyDescent="0.25">
      <c r="A1473" s="15">
        <v>66</v>
      </c>
      <c r="B1473" s="66"/>
      <c r="C1473" s="66">
        <v>2429</v>
      </c>
      <c r="D1473" s="66"/>
      <c r="E1473" s="66" t="s">
        <v>763</v>
      </c>
      <c r="F1473" s="66">
        <v>5</v>
      </c>
      <c r="G1473" s="66"/>
      <c r="H1473" s="66" t="e">
        <v>#N/A</v>
      </c>
      <c r="I1473" s="66"/>
      <c r="J1473" s="66" t="s">
        <v>870</v>
      </c>
      <c r="K1473" s="66"/>
      <c r="L1473" s="66"/>
      <c r="M1473" s="66"/>
      <c r="N1473" s="66"/>
      <c r="O1473" s="66" t="s">
        <v>910</v>
      </c>
      <c r="P1473" s="66"/>
      <c r="Q1473" s="66">
        <v>1</v>
      </c>
      <c r="R1473" s="66">
        <v>1519</v>
      </c>
      <c r="S1473" s="66"/>
    </row>
    <row r="1474" spans="1:19" x14ac:dyDescent="0.25">
      <c r="A1474" s="15">
        <v>66</v>
      </c>
      <c r="B1474" s="66"/>
      <c r="C1474" s="66">
        <v>2429</v>
      </c>
      <c r="D1474" s="66"/>
      <c r="E1474" s="66" t="s">
        <v>763</v>
      </c>
      <c r="F1474" s="66">
        <v>5</v>
      </c>
      <c r="G1474" s="66"/>
      <c r="H1474" s="66" t="e">
        <v>#N/A</v>
      </c>
      <c r="I1474" s="66"/>
      <c r="J1474" s="66" t="s">
        <v>870</v>
      </c>
      <c r="K1474" s="66"/>
      <c r="L1474" s="66"/>
      <c r="M1474" s="66"/>
      <c r="N1474" s="66"/>
      <c r="O1474" s="66" t="s">
        <v>911</v>
      </c>
      <c r="P1474" s="66"/>
      <c r="Q1474" s="66">
        <v>1</v>
      </c>
      <c r="R1474" s="66">
        <v>1520</v>
      </c>
      <c r="S1474" s="66"/>
    </row>
    <row r="1475" spans="1:19" x14ac:dyDescent="0.25">
      <c r="A1475" s="15">
        <v>66</v>
      </c>
      <c r="B1475" s="66"/>
      <c r="C1475" s="66">
        <v>2429</v>
      </c>
      <c r="D1475" s="66"/>
      <c r="E1475" s="66" t="s">
        <v>763</v>
      </c>
      <c r="F1475" s="66">
        <v>5</v>
      </c>
      <c r="G1475" s="66"/>
      <c r="H1475" s="66" t="e">
        <v>#N/A</v>
      </c>
      <c r="I1475" s="66"/>
      <c r="J1475" s="66" t="s">
        <v>870</v>
      </c>
      <c r="K1475" s="66"/>
      <c r="L1475" s="66"/>
      <c r="M1475" s="66"/>
      <c r="N1475" s="66"/>
      <c r="O1475" s="66" t="s">
        <v>912</v>
      </c>
      <c r="P1475" s="66"/>
      <c r="Q1475" s="66">
        <v>1</v>
      </c>
      <c r="R1475" s="66">
        <v>1521</v>
      </c>
      <c r="S1475" s="66"/>
    </row>
    <row r="1476" spans="1:19" x14ac:dyDescent="0.25">
      <c r="A1476" s="15">
        <v>66</v>
      </c>
      <c r="B1476" s="66"/>
      <c r="C1476" s="66">
        <v>2429</v>
      </c>
      <c r="D1476" s="66"/>
      <c r="E1476" s="66" t="s">
        <v>763</v>
      </c>
      <c r="F1476" s="66">
        <v>5</v>
      </c>
      <c r="G1476" s="66"/>
      <c r="H1476" s="66" t="e">
        <v>#N/A</v>
      </c>
      <c r="I1476" s="66"/>
      <c r="J1476" s="66" t="s">
        <v>870</v>
      </c>
      <c r="K1476" s="66"/>
      <c r="L1476" s="66"/>
      <c r="M1476" s="66"/>
      <c r="N1476" s="66"/>
      <c r="O1476" s="66" t="s">
        <v>913</v>
      </c>
      <c r="P1476" s="66"/>
      <c r="Q1476" s="66">
        <v>1</v>
      </c>
      <c r="R1476" s="66">
        <v>1522</v>
      </c>
      <c r="S1476" s="66"/>
    </row>
    <row r="1477" spans="1:19" x14ac:dyDescent="0.25">
      <c r="A1477" s="15">
        <v>66</v>
      </c>
      <c r="B1477" s="66"/>
      <c r="C1477" s="66">
        <v>2429</v>
      </c>
      <c r="D1477" s="66"/>
      <c r="E1477" s="66" t="s">
        <v>763</v>
      </c>
      <c r="F1477" s="66">
        <v>5</v>
      </c>
      <c r="G1477" s="66"/>
      <c r="H1477" s="66" t="e">
        <v>#N/A</v>
      </c>
      <c r="I1477" s="66"/>
      <c r="J1477" s="66" t="s">
        <v>870</v>
      </c>
      <c r="K1477" s="66"/>
      <c r="L1477" s="66"/>
      <c r="M1477" s="66"/>
      <c r="N1477" s="66"/>
      <c r="O1477" s="66" t="s">
        <v>914</v>
      </c>
      <c r="P1477" s="66"/>
      <c r="Q1477" s="66">
        <v>1</v>
      </c>
      <c r="R1477" s="66">
        <v>1523</v>
      </c>
      <c r="S1477" s="66"/>
    </row>
    <row r="1478" spans="1:19" x14ac:dyDescent="0.25">
      <c r="A1478" s="15">
        <v>66</v>
      </c>
      <c r="B1478" s="66"/>
      <c r="C1478" s="66">
        <v>2429</v>
      </c>
      <c r="D1478" s="66"/>
      <c r="E1478" s="66" t="s">
        <v>763</v>
      </c>
      <c r="F1478" s="66">
        <v>5</v>
      </c>
      <c r="G1478" s="66"/>
      <c r="H1478" s="66" t="e">
        <v>#N/A</v>
      </c>
      <c r="I1478" s="66"/>
      <c r="J1478" s="66" t="s">
        <v>870</v>
      </c>
      <c r="K1478" s="66"/>
      <c r="L1478" s="66"/>
      <c r="M1478" s="66"/>
      <c r="N1478" s="66"/>
      <c r="O1478" s="66" t="s">
        <v>915</v>
      </c>
      <c r="P1478" s="66"/>
      <c r="Q1478" s="66">
        <v>1</v>
      </c>
      <c r="R1478" s="66">
        <v>1524</v>
      </c>
      <c r="S1478" s="66"/>
    </row>
    <row r="1479" spans="1:19" x14ac:dyDescent="0.25">
      <c r="A1479" s="15">
        <v>66</v>
      </c>
      <c r="B1479" s="66"/>
      <c r="C1479" s="66">
        <v>2429</v>
      </c>
      <c r="D1479" s="66"/>
      <c r="E1479" s="66" t="s">
        <v>763</v>
      </c>
      <c r="F1479" s="66">
        <v>5</v>
      </c>
      <c r="G1479" s="66"/>
      <c r="H1479" s="66" t="e">
        <v>#N/A</v>
      </c>
      <c r="I1479" s="66"/>
      <c r="J1479" s="66" t="s">
        <v>870</v>
      </c>
      <c r="K1479" s="66"/>
      <c r="L1479" s="66"/>
      <c r="M1479" s="66"/>
      <c r="N1479" s="66"/>
      <c r="O1479" s="66" t="s">
        <v>916</v>
      </c>
      <c r="P1479" s="66"/>
      <c r="Q1479" s="66">
        <v>1</v>
      </c>
      <c r="R1479" s="66">
        <v>1525</v>
      </c>
      <c r="S1479" s="66"/>
    </row>
    <row r="1480" spans="1:19" x14ac:dyDescent="0.25">
      <c r="A1480" s="15">
        <v>66</v>
      </c>
      <c r="B1480" s="66"/>
      <c r="C1480" s="66">
        <v>2429</v>
      </c>
      <c r="D1480" s="66"/>
      <c r="E1480" s="66" t="s">
        <v>763</v>
      </c>
      <c r="F1480" s="66">
        <v>5</v>
      </c>
      <c r="G1480" s="66"/>
      <c r="H1480" s="66" t="e">
        <v>#N/A</v>
      </c>
      <c r="I1480" s="66"/>
      <c r="J1480" s="66" t="s">
        <v>870</v>
      </c>
      <c r="K1480" s="66"/>
      <c r="L1480" s="66"/>
      <c r="M1480" s="66"/>
      <c r="N1480" s="66"/>
      <c r="O1480" s="66" t="s">
        <v>917</v>
      </c>
      <c r="P1480" s="66"/>
      <c r="Q1480" s="66">
        <v>1</v>
      </c>
      <c r="R1480" s="66">
        <v>1526</v>
      </c>
      <c r="S1480" s="66"/>
    </row>
    <row r="1481" spans="1:19" x14ac:dyDescent="0.25">
      <c r="A1481" s="15">
        <v>66</v>
      </c>
      <c r="B1481" s="66"/>
      <c r="C1481" s="66">
        <v>2429</v>
      </c>
      <c r="D1481" s="66"/>
      <c r="E1481" s="66" t="s">
        <v>763</v>
      </c>
      <c r="F1481" s="66">
        <v>5</v>
      </c>
      <c r="G1481" s="66"/>
      <c r="H1481" s="66" t="e">
        <v>#N/A</v>
      </c>
      <c r="I1481" s="66"/>
      <c r="J1481" s="66" t="s">
        <v>870</v>
      </c>
      <c r="K1481" s="66"/>
      <c r="L1481" s="66"/>
      <c r="M1481" s="66"/>
      <c r="N1481" s="66"/>
      <c r="O1481" s="66" t="s">
        <v>918</v>
      </c>
      <c r="P1481" s="66"/>
      <c r="Q1481" s="66">
        <v>1</v>
      </c>
      <c r="R1481" s="66">
        <v>1527</v>
      </c>
      <c r="S1481" s="66"/>
    </row>
    <row r="1482" spans="1:19" x14ac:dyDescent="0.25">
      <c r="A1482" s="15">
        <v>66</v>
      </c>
      <c r="B1482" s="66"/>
      <c r="C1482" s="66">
        <v>2429</v>
      </c>
      <c r="D1482" s="66"/>
      <c r="E1482" s="66" t="s">
        <v>763</v>
      </c>
      <c r="F1482" s="66">
        <v>5</v>
      </c>
      <c r="G1482" s="66"/>
      <c r="H1482" s="66" t="e">
        <v>#N/A</v>
      </c>
      <c r="I1482" s="66"/>
      <c r="J1482" s="66" t="s">
        <v>870</v>
      </c>
      <c r="K1482" s="66"/>
      <c r="L1482" s="66"/>
      <c r="M1482" s="66"/>
      <c r="N1482" s="66"/>
      <c r="O1482" s="66" t="s">
        <v>919</v>
      </c>
      <c r="P1482" s="66"/>
      <c r="Q1482" s="66">
        <v>1</v>
      </c>
      <c r="R1482" s="66">
        <v>1528</v>
      </c>
      <c r="S1482" s="66"/>
    </row>
    <row r="1483" spans="1:19" x14ac:dyDescent="0.25">
      <c r="A1483" s="15">
        <v>67</v>
      </c>
      <c r="B1483" s="66"/>
      <c r="C1483" s="66"/>
      <c r="D1483" s="66"/>
      <c r="E1483" s="66"/>
      <c r="F1483" s="66"/>
      <c r="G1483" s="66"/>
      <c r="H1483" s="66"/>
      <c r="I1483" s="66"/>
      <c r="J1483" s="66"/>
      <c r="K1483" s="66"/>
      <c r="L1483" s="66"/>
      <c r="M1483" s="66"/>
      <c r="N1483" s="66"/>
      <c r="O1483" s="66"/>
      <c r="P1483" s="66"/>
      <c r="Q1483" s="66"/>
      <c r="R1483" s="66"/>
      <c r="S1483" s="66"/>
    </row>
    <row r="1484" spans="1:19" x14ac:dyDescent="0.25">
      <c r="A1484" s="15">
        <v>67</v>
      </c>
      <c r="B1484" s="66"/>
      <c r="C1484" s="66"/>
      <c r="D1484" s="66"/>
      <c r="E1484" s="66"/>
      <c r="F1484" s="66"/>
      <c r="G1484" s="66"/>
      <c r="H1484" s="66"/>
      <c r="I1484" s="66"/>
      <c r="J1484" s="66"/>
      <c r="K1484" s="66"/>
      <c r="L1484" s="66"/>
      <c r="M1484" s="66"/>
      <c r="N1484" s="66"/>
      <c r="O1484" s="66" t="s">
        <v>827</v>
      </c>
      <c r="P1484" s="66"/>
      <c r="Q1484" s="66"/>
      <c r="R1484" s="66"/>
      <c r="S1484" s="66"/>
    </row>
    <row r="1485" spans="1:19" x14ac:dyDescent="0.25">
      <c r="A1485" s="15">
        <v>67</v>
      </c>
      <c r="B1485" s="66"/>
      <c r="C1485" s="66"/>
      <c r="D1485" s="66"/>
      <c r="E1485" s="66"/>
      <c r="F1485" s="66"/>
      <c r="G1485" s="66"/>
      <c r="H1485" s="66"/>
      <c r="I1485" s="66"/>
      <c r="J1485" s="66"/>
      <c r="K1485" s="66"/>
      <c r="L1485" s="66"/>
      <c r="M1485" s="66"/>
      <c r="N1485" s="66"/>
      <c r="O1485" s="66" t="s">
        <v>837</v>
      </c>
      <c r="P1485" s="66"/>
      <c r="Q1485" s="66"/>
      <c r="R1485" s="66"/>
      <c r="S1485" s="66"/>
    </row>
    <row r="1486" spans="1:19" x14ac:dyDescent="0.25">
      <c r="A1486" s="15">
        <v>67</v>
      </c>
      <c r="B1486" s="66"/>
      <c r="C1486" s="66"/>
      <c r="D1486" s="66"/>
      <c r="E1486" s="66"/>
      <c r="F1486" s="66"/>
      <c r="G1486" s="66"/>
      <c r="H1486" s="66"/>
      <c r="I1486" s="66"/>
      <c r="J1486" s="66"/>
      <c r="K1486" s="66"/>
      <c r="L1486" s="66"/>
      <c r="M1486" s="66"/>
      <c r="N1486" s="66"/>
      <c r="O1486" s="66" t="s">
        <v>848</v>
      </c>
      <c r="P1486" s="66"/>
      <c r="Q1486" s="66"/>
      <c r="R1486" s="66"/>
      <c r="S1486" s="66"/>
    </row>
    <row r="1487" spans="1:19" x14ac:dyDescent="0.25">
      <c r="A1487" s="15">
        <v>67</v>
      </c>
      <c r="B1487" s="66"/>
      <c r="C1487" s="66" t="s">
        <v>77</v>
      </c>
      <c r="D1487" s="66"/>
      <c r="E1487" s="66" t="s">
        <v>763</v>
      </c>
      <c r="F1487" s="66">
        <v>10</v>
      </c>
      <c r="G1487" s="66"/>
      <c r="H1487" s="66">
        <v>10</v>
      </c>
      <c r="I1487" s="66">
        <v>11.916666666666666</v>
      </c>
      <c r="J1487" s="66" t="s">
        <v>850</v>
      </c>
      <c r="K1487" s="66"/>
      <c r="L1487" s="66"/>
      <c r="M1487" s="66"/>
      <c r="N1487" s="66"/>
      <c r="O1487" s="66" t="s">
        <v>851</v>
      </c>
      <c r="P1487" s="66"/>
      <c r="Q1487" s="66">
        <v>1</v>
      </c>
      <c r="R1487" s="66">
        <v>332</v>
      </c>
      <c r="S1487" s="66"/>
    </row>
    <row r="1488" spans="1:19" x14ac:dyDescent="0.25">
      <c r="A1488" s="15">
        <v>67</v>
      </c>
      <c r="B1488" s="66"/>
      <c r="C1488" s="66">
        <v>2429</v>
      </c>
      <c r="D1488" s="66"/>
      <c r="E1488" s="66" t="s">
        <v>763</v>
      </c>
      <c r="F1488" s="66">
        <v>10</v>
      </c>
      <c r="G1488" s="66"/>
      <c r="H1488" s="66"/>
      <c r="I1488" s="66">
        <v>15.666666666666666</v>
      </c>
      <c r="J1488" s="66" t="s">
        <v>850</v>
      </c>
      <c r="K1488" s="66"/>
      <c r="L1488" s="66"/>
      <c r="M1488" s="66"/>
      <c r="N1488" s="66"/>
      <c r="O1488" s="66" t="s">
        <v>853</v>
      </c>
      <c r="P1488" s="66"/>
      <c r="Q1488" s="66">
        <v>1</v>
      </c>
      <c r="R1488" s="66">
        <v>549</v>
      </c>
      <c r="S1488" s="66"/>
    </row>
    <row r="1489" spans="1:19" x14ac:dyDescent="0.25">
      <c r="A1489" s="15">
        <v>67</v>
      </c>
      <c r="B1489" s="66"/>
      <c r="C1489" s="66">
        <v>2429</v>
      </c>
      <c r="D1489" s="66"/>
      <c r="E1489" s="66" t="s">
        <v>763</v>
      </c>
      <c r="F1489" s="66">
        <v>6</v>
      </c>
      <c r="G1489" s="66"/>
      <c r="H1489" s="66"/>
      <c r="I1489" s="66">
        <v>15.666666666666666</v>
      </c>
      <c r="J1489" s="66" t="s">
        <v>850</v>
      </c>
      <c r="K1489" s="66"/>
      <c r="L1489" s="66"/>
      <c r="M1489" s="66"/>
      <c r="N1489" s="66"/>
      <c r="O1489" s="66" t="s">
        <v>854</v>
      </c>
      <c r="P1489" s="66"/>
      <c r="Q1489" s="66">
        <v>1</v>
      </c>
      <c r="R1489" s="66">
        <v>550</v>
      </c>
      <c r="S1489" s="66"/>
    </row>
    <row r="1490" spans="1:19" x14ac:dyDescent="0.25">
      <c r="A1490" s="15">
        <v>67</v>
      </c>
      <c r="B1490" s="66"/>
      <c r="C1490" s="66">
        <v>2429</v>
      </c>
      <c r="D1490" s="66"/>
      <c r="E1490" s="66" t="s">
        <v>763</v>
      </c>
      <c r="F1490" s="66">
        <v>6</v>
      </c>
      <c r="G1490" s="66"/>
      <c r="H1490" s="66"/>
      <c r="I1490" s="66">
        <v>15.666666666666666</v>
      </c>
      <c r="J1490" s="66" t="s">
        <v>850</v>
      </c>
      <c r="K1490" s="66"/>
      <c r="L1490" s="66"/>
      <c r="M1490" s="66"/>
      <c r="N1490" s="66"/>
      <c r="O1490" s="66" t="s">
        <v>855</v>
      </c>
      <c r="P1490" s="66"/>
      <c r="Q1490" s="66">
        <v>1</v>
      </c>
      <c r="R1490" s="66">
        <v>551</v>
      </c>
      <c r="S1490" s="66"/>
    </row>
    <row r="1491" spans="1:19" x14ac:dyDescent="0.25">
      <c r="A1491" s="15">
        <v>67</v>
      </c>
      <c r="B1491" s="66"/>
      <c r="C1491" s="66">
        <v>2429</v>
      </c>
      <c r="D1491" s="66"/>
      <c r="E1491" s="66" t="s">
        <v>763</v>
      </c>
      <c r="F1491" s="66">
        <v>6</v>
      </c>
      <c r="G1491" s="66"/>
      <c r="H1491" s="66"/>
      <c r="I1491" s="66">
        <v>15.666666666666666</v>
      </c>
      <c r="J1491" s="66" t="s">
        <v>850</v>
      </c>
      <c r="K1491" s="66"/>
      <c r="L1491" s="66"/>
      <c r="M1491" s="66"/>
      <c r="N1491" s="66"/>
      <c r="O1491" s="66" t="s">
        <v>856</v>
      </c>
      <c r="P1491" s="66"/>
      <c r="Q1491" s="66">
        <v>1</v>
      </c>
      <c r="R1491" s="66">
        <v>552</v>
      </c>
      <c r="S1491" s="66"/>
    </row>
    <row r="1492" spans="1:19" x14ac:dyDescent="0.25">
      <c r="A1492" s="15">
        <v>67</v>
      </c>
      <c r="B1492" s="66"/>
      <c r="C1492" s="66">
        <v>2429</v>
      </c>
      <c r="D1492" s="66"/>
      <c r="E1492" s="66" t="s">
        <v>763</v>
      </c>
      <c r="F1492" s="66">
        <v>6</v>
      </c>
      <c r="G1492" s="66"/>
      <c r="H1492" s="66"/>
      <c r="I1492" s="66">
        <v>15.666666666666666</v>
      </c>
      <c r="J1492" s="66" t="s">
        <v>850</v>
      </c>
      <c r="K1492" s="66"/>
      <c r="L1492" s="66"/>
      <c r="M1492" s="66"/>
      <c r="N1492" s="66"/>
      <c r="O1492" s="66" t="s">
        <v>857</v>
      </c>
      <c r="P1492" s="66"/>
      <c r="Q1492" s="66">
        <v>1</v>
      </c>
      <c r="R1492" s="66">
        <v>553</v>
      </c>
      <c r="S1492" s="66"/>
    </row>
    <row r="1493" spans="1:19" x14ac:dyDescent="0.25">
      <c r="A1493" s="15">
        <v>67</v>
      </c>
      <c r="B1493" s="66"/>
      <c r="C1493" s="66">
        <v>2429</v>
      </c>
      <c r="D1493" s="66"/>
      <c r="E1493" s="66" t="s">
        <v>763</v>
      </c>
      <c r="F1493" s="66">
        <v>6</v>
      </c>
      <c r="G1493" s="66"/>
      <c r="H1493" s="66"/>
      <c r="I1493" s="66">
        <v>15.666666666666666</v>
      </c>
      <c r="J1493" s="66" t="s">
        <v>850</v>
      </c>
      <c r="K1493" s="66"/>
      <c r="L1493" s="66"/>
      <c r="M1493" s="66"/>
      <c r="N1493" s="66"/>
      <c r="O1493" s="66" t="s">
        <v>858</v>
      </c>
      <c r="P1493" s="66"/>
      <c r="Q1493" s="66">
        <v>1</v>
      </c>
      <c r="R1493" s="66">
        <v>554</v>
      </c>
      <c r="S1493" s="66"/>
    </row>
    <row r="1494" spans="1:19" x14ac:dyDescent="0.25">
      <c r="A1494" s="15">
        <v>67</v>
      </c>
      <c r="B1494" s="66"/>
      <c r="C1494" s="66">
        <v>2429</v>
      </c>
      <c r="D1494" s="66"/>
      <c r="E1494" s="66" t="s">
        <v>763</v>
      </c>
      <c r="F1494" s="66">
        <v>6</v>
      </c>
      <c r="G1494" s="66"/>
      <c r="H1494" s="66"/>
      <c r="I1494" s="66">
        <v>15.666666666666666</v>
      </c>
      <c r="J1494" s="66" t="s">
        <v>850</v>
      </c>
      <c r="K1494" s="66"/>
      <c r="L1494" s="66"/>
      <c r="M1494" s="66"/>
      <c r="N1494" s="66"/>
      <c r="O1494" s="66" t="s">
        <v>859</v>
      </c>
      <c r="P1494" s="66"/>
      <c r="Q1494" s="66">
        <v>1</v>
      </c>
      <c r="R1494" s="66">
        <v>555</v>
      </c>
      <c r="S1494" s="66"/>
    </row>
    <row r="1495" spans="1:19" x14ac:dyDescent="0.25">
      <c r="A1495" s="15">
        <v>67</v>
      </c>
      <c r="B1495" s="66"/>
      <c r="C1495" s="66">
        <v>2429</v>
      </c>
      <c r="D1495" s="66"/>
      <c r="E1495" s="66" t="s">
        <v>763</v>
      </c>
      <c r="F1495" s="66">
        <v>6</v>
      </c>
      <c r="G1495" s="66"/>
      <c r="H1495" s="66"/>
      <c r="I1495" s="66">
        <v>15.666666666666666</v>
      </c>
      <c r="J1495" s="66" t="s">
        <v>850</v>
      </c>
      <c r="K1495" s="66"/>
      <c r="L1495" s="66"/>
      <c r="M1495" s="66"/>
      <c r="N1495" s="66"/>
      <c r="O1495" s="66" t="s">
        <v>860</v>
      </c>
      <c r="P1495" s="66"/>
      <c r="Q1495" s="66">
        <v>1</v>
      </c>
      <c r="R1495" s="66">
        <v>556</v>
      </c>
      <c r="S1495" s="66"/>
    </row>
    <row r="1496" spans="1:19" x14ac:dyDescent="0.25">
      <c r="A1496" s="15">
        <v>67</v>
      </c>
      <c r="B1496" s="66"/>
      <c r="C1496" s="66">
        <v>2429</v>
      </c>
      <c r="D1496" s="66"/>
      <c r="E1496" s="66" t="s">
        <v>763</v>
      </c>
      <c r="F1496" s="66">
        <v>6</v>
      </c>
      <c r="G1496" s="66"/>
      <c r="H1496" s="66"/>
      <c r="I1496" s="66">
        <v>15.666666666666666</v>
      </c>
      <c r="J1496" s="66" t="s">
        <v>850</v>
      </c>
      <c r="K1496" s="66"/>
      <c r="L1496" s="66"/>
      <c r="M1496" s="66"/>
      <c r="N1496" s="66"/>
      <c r="O1496" s="66" t="s">
        <v>861</v>
      </c>
      <c r="P1496" s="66"/>
      <c r="Q1496" s="66">
        <v>1</v>
      </c>
      <c r="R1496" s="66">
        <v>557</v>
      </c>
      <c r="S1496" s="66"/>
    </row>
    <row r="1497" spans="1:19" x14ac:dyDescent="0.25">
      <c r="A1497" s="15">
        <v>67</v>
      </c>
      <c r="B1497" s="66"/>
      <c r="C1497" s="66">
        <v>2429</v>
      </c>
      <c r="D1497" s="66"/>
      <c r="E1497" s="66" t="s">
        <v>763</v>
      </c>
      <c r="F1497" s="66">
        <v>6</v>
      </c>
      <c r="G1497" s="66"/>
      <c r="H1497" s="66"/>
      <c r="I1497" s="66">
        <v>15.666666666666666</v>
      </c>
      <c r="J1497" s="66" t="s">
        <v>850</v>
      </c>
      <c r="K1497" s="66"/>
      <c r="L1497" s="66"/>
      <c r="M1497" s="66"/>
      <c r="N1497" s="66"/>
      <c r="O1497" s="66" t="s">
        <v>862</v>
      </c>
      <c r="P1497" s="66"/>
      <c r="Q1497" s="66">
        <v>1</v>
      </c>
      <c r="R1497" s="66">
        <v>558</v>
      </c>
      <c r="S1497" s="66"/>
    </row>
    <row r="1498" spans="1:19" x14ac:dyDescent="0.25">
      <c r="A1498" s="15">
        <v>67</v>
      </c>
      <c r="B1498" s="66"/>
      <c r="C1498" s="66">
        <v>2429</v>
      </c>
      <c r="D1498" s="66"/>
      <c r="E1498" s="66" t="s">
        <v>763</v>
      </c>
      <c r="F1498" s="66">
        <v>10</v>
      </c>
      <c r="G1498" s="66"/>
      <c r="H1498" s="66"/>
      <c r="I1498" s="66">
        <v>10.583333333333334</v>
      </c>
      <c r="J1498" s="66" t="s">
        <v>850</v>
      </c>
      <c r="K1498" s="66"/>
      <c r="L1498" s="66"/>
      <c r="M1498" s="66"/>
      <c r="N1498" s="66"/>
      <c r="O1498" s="66" t="s">
        <v>863</v>
      </c>
      <c r="P1498" s="66"/>
      <c r="Q1498" s="66">
        <v>1</v>
      </c>
      <c r="R1498" s="66">
        <v>559</v>
      </c>
      <c r="S1498" s="66"/>
    </row>
    <row r="1499" spans="1:19" x14ac:dyDescent="0.25">
      <c r="A1499" s="15">
        <v>67</v>
      </c>
      <c r="B1499" s="66"/>
      <c r="C1499" s="66">
        <v>2429</v>
      </c>
      <c r="D1499" s="66"/>
      <c r="E1499" s="66" t="s">
        <v>763</v>
      </c>
      <c r="F1499" s="66">
        <v>1</v>
      </c>
      <c r="G1499" s="66"/>
      <c r="H1499" s="66" t="e">
        <v>#N/A</v>
      </c>
      <c r="I1499" s="66"/>
      <c r="J1499" s="66" t="s">
        <v>870</v>
      </c>
      <c r="K1499" s="66" t="s">
        <v>757</v>
      </c>
      <c r="L1499" s="66" t="s">
        <v>757</v>
      </c>
      <c r="M1499" s="66" t="s">
        <v>757</v>
      </c>
      <c r="N1499" s="66" t="s">
        <v>757</v>
      </c>
      <c r="O1499" s="66" t="s">
        <v>871</v>
      </c>
      <c r="P1499" s="66"/>
      <c r="Q1499" s="66">
        <v>1</v>
      </c>
      <c r="R1499" s="66">
        <v>781</v>
      </c>
      <c r="S1499" s="66"/>
    </row>
    <row r="1500" spans="1:19" x14ac:dyDescent="0.25">
      <c r="A1500" s="15">
        <v>67</v>
      </c>
      <c r="B1500" s="66"/>
      <c r="C1500" s="66">
        <v>2429</v>
      </c>
      <c r="D1500" s="66"/>
      <c r="E1500" s="66" t="s">
        <v>763</v>
      </c>
      <c r="F1500" s="66">
        <v>1</v>
      </c>
      <c r="G1500" s="66"/>
      <c r="H1500" s="66" t="e">
        <v>#N/A</v>
      </c>
      <c r="I1500" s="66"/>
      <c r="J1500" s="66" t="s">
        <v>870</v>
      </c>
      <c r="K1500" s="66" t="s">
        <v>757</v>
      </c>
      <c r="L1500" s="66" t="s">
        <v>757</v>
      </c>
      <c r="M1500" s="66" t="s">
        <v>757</v>
      </c>
      <c r="N1500" s="66" t="s">
        <v>757</v>
      </c>
      <c r="O1500" s="66" t="s">
        <v>872</v>
      </c>
      <c r="P1500" s="66"/>
      <c r="Q1500" s="66">
        <v>1</v>
      </c>
      <c r="R1500" s="66">
        <v>782</v>
      </c>
      <c r="S1500" s="66"/>
    </row>
    <row r="1501" spans="1:19" x14ac:dyDescent="0.25">
      <c r="A1501" s="15">
        <v>67</v>
      </c>
      <c r="B1501" s="66"/>
      <c r="C1501" s="66">
        <v>2429</v>
      </c>
      <c r="D1501" s="66"/>
      <c r="E1501" s="66" t="s">
        <v>763</v>
      </c>
      <c r="F1501" s="66">
        <v>1</v>
      </c>
      <c r="G1501" s="66"/>
      <c r="H1501" s="66" t="e">
        <v>#N/A</v>
      </c>
      <c r="I1501" s="66"/>
      <c r="J1501" s="66" t="s">
        <v>870</v>
      </c>
      <c r="K1501" s="66" t="s">
        <v>757</v>
      </c>
      <c r="L1501" s="66" t="s">
        <v>757</v>
      </c>
      <c r="M1501" s="66" t="s">
        <v>757</v>
      </c>
      <c r="N1501" s="66" t="s">
        <v>757</v>
      </c>
      <c r="O1501" s="66" t="s">
        <v>873</v>
      </c>
      <c r="P1501" s="66"/>
      <c r="Q1501" s="66">
        <v>1</v>
      </c>
      <c r="R1501" s="66">
        <v>783</v>
      </c>
      <c r="S1501" s="66"/>
    </row>
    <row r="1502" spans="1:19" x14ac:dyDescent="0.25">
      <c r="A1502" s="15">
        <v>67</v>
      </c>
      <c r="B1502" s="66"/>
      <c r="C1502" s="66">
        <v>2429</v>
      </c>
      <c r="D1502" s="66"/>
      <c r="E1502" s="66" t="s">
        <v>763</v>
      </c>
      <c r="F1502" s="66">
        <v>1</v>
      </c>
      <c r="G1502" s="66"/>
      <c r="H1502" s="66" t="e">
        <v>#N/A</v>
      </c>
      <c r="I1502" s="66"/>
      <c r="J1502" s="66" t="s">
        <v>870</v>
      </c>
      <c r="K1502" s="66" t="s">
        <v>757</v>
      </c>
      <c r="L1502" s="66" t="s">
        <v>757</v>
      </c>
      <c r="M1502" s="66" t="s">
        <v>757</v>
      </c>
      <c r="N1502" s="66" t="s">
        <v>757</v>
      </c>
      <c r="O1502" s="66" t="s">
        <v>874</v>
      </c>
      <c r="P1502" s="66"/>
      <c r="Q1502" s="66">
        <v>1</v>
      </c>
      <c r="R1502" s="66">
        <v>784</v>
      </c>
      <c r="S1502" s="66"/>
    </row>
    <row r="1503" spans="1:19" x14ac:dyDescent="0.25">
      <c r="A1503" s="15">
        <v>67</v>
      </c>
      <c r="B1503" s="66"/>
      <c r="C1503" s="66">
        <v>2429</v>
      </c>
      <c r="D1503" s="66"/>
      <c r="E1503" s="66" t="s">
        <v>763</v>
      </c>
      <c r="F1503" s="66">
        <v>1</v>
      </c>
      <c r="G1503" s="66"/>
      <c r="H1503" s="66" t="e">
        <v>#N/A</v>
      </c>
      <c r="I1503" s="66"/>
      <c r="J1503" s="66" t="s">
        <v>870</v>
      </c>
      <c r="K1503" s="66" t="s">
        <v>757</v>
      </c>
      <c r="L1503" s="66" t="s">
        <v>757</v>
      </c>
      <c r="M1503" s="66" t="s">
        <v>757</v>
      </c>
      <c r="N1503" s="66" t="s">
        <v>757</v>
      </c>
      <c r="O1503" s="66" t="s">
        <v>875</v>
      </c>
      <c r="P1503" s="66"/>
      <c r="Q1503" s="66">
        <v>1</v>
      </c>
      <c r="R1503" s="66">
        <v>785</v>
      </c>
      <c r="S1503" s="66"/>
    </row>
    <row r="1504" spans="1:19" x14ac:dyDescent="0.25">
      <c r="A1504" s="15">
        <v>67</v>
      </c>
      <c r="B1504" s="66"/>
      <c r="C1504" s="66">
        <v>2429</v>
      </c>
      <c r="D1504" s="66"/>
      <c r="E1504" s="66" t="s">
        <v>763</v>
      </c>
      <c r="F1504" s="66">
        <v>1</v>
      </c>
      <c r="G1504" s="66"/>
      <c r="H1504" s="66" t="e">
        <v>#N/A</v>
      </c>
      <c r="I1504" s="66"/>
      <c r="J1504" s="66" t="s">
        <v>870</v>
      </c>
      <c r="K1504" s="66" t="s">
        <v>757</v>
      </c>
      <c r="L1504" s="66" t="s">
        <v>757</v>
      </c>
      <c r="M1504" s="66" t="s">
        <v>757</v>
      </c>
      <c r="N1504" s="66" t="s">
        <v>757</v>
      </c>
      <c r="O1504" s="66" t="s">
        <v>876</v>
      </c>
      <c r="P1504" s="66"/>
      <c r="Q1504" s="66">
        <v>1</v>
      </c>
      <c r="R1504" s="66">
        <v>786</v>
      </c>
      <c r="S1504" s="66"/>
    </row>
    <row r="1505" spans="1:19" x14ac:dyDescent="0.25">
      <c r="A1505" s="15">
        <v>67</v>
      </c>
      <c r="B1505" s="66"/>
      <c r="C1505" s="66">
        <v>2429</v>
      </c>
      <c r="D1505" s="66"/>
      <c r="E1505" s="66" t="s">
        <v>763</v>
      </c>
      <c r="F1505" s="66">
        <v>1</v>
      </c>
      <c r="G1505" s="66"/>
      <c r="H1505" s="66" t="e">
        <v>#N/A</v>
      </c>
      <c r="I1505" s="66"/>
      <c r="J1505" s="66" t="s">
        <v>870</v>
      </c>
      <c r="K1505" s="66" t="s">
        <v>757</v>
      </c>
      <c r="L1505" s="66" t="s">
        <v>757</v>
      </c>
      <c r="M1505" s="66" t="s">
        <v>757</v>
      </c>
      <c r="N1505" s="66" t="s">
        <v>757</v>
      </c>
      <c r="O1505" s="66" t="s">
        <v>877</v>
      </c>
      <c r="P1505" s="66"/>
      <c r="Q1505" s="66">
        <v>1</v>
      </c>
      <c r="R1505" s="66">
        <v>787</v>
      </c>
      <c r="S1505" s="66"/>
    </row>
    <row r="1506" spans="1:19" x14ac:dyDescent="0.25">
      <c r="A1506" s="15">
        <v>67</v>
      </c>
      <c r="B1506" s="66"/>
      <c r="C1506" s="66">
        <v>2429</v>
      </c>
      <c r="D1506" s="66"/>
      <c r="E1506" s="66" t="s">
        <v>763</v>
      </c>
      <c r="F1506" s="66">
        <v>1</v>
      </c>
      <c r="G1506" s="66"/>
      <c r="H1506" s="66" t="e">
        <v>#N/A</v>
      </c>
      <c r="I1506" s="66"/>
      <c r="J1506" s="66" t="s">
        <v>870</v>
      </c>
      <c r="K1506" s="66" t="s">
        <v>757</v>
      </c>
      <c r="L1506" s="66" t="s">
        <v>757</v>
      </c>
      <c r="M1506" s="66" t="s">
        <v>757</v>
      </c>
      <c r="N1506" s="66" t="s">
        <v>757</v>
      </c>
      <c r="O1506" s="66" t="s">
        <v>878</v>
      </c>
      <c r="P1506" s="66"/>
      <c r="Q1506" s="66">
        <v>1</v>
      </c>
      <c r="R1506" s="66">
        <v>788</v>
      </c>
      <c r="S1506" s="66"/>
    </row>
    <row r="1507" spans="1:19" x14ac:dyDescent="0.25">
      <c r="A1507" s="15">
        <v>67</v>
      </c>
      <c r="B1507" s="66"/>
      <c r="C1507" s="66">
        <v>2429</v>
      </c>
      <c r="D1507" s="66"/>
      <c r="E1507" s="66" t="s">
        <v>763</v>
      </c>
      <c r="F1507" s="66">
        <v>1</v>
      </c>
      <c r="G1507" s="66"/>
      <c r="H1507" s="66" t="e">
        <v>#N/A</v>
      </c>
      <c r="I1507" s="66"/>
      <c r="J1507" s="66" t="s">
        <v>870</v>
      </c>
      <c r="K1507" s="66" t="s">
        <v>757</v>
      </c>
      <c r="L1507" s="66" t="s">
        <v>757</v>
      </c>
      <c r="M1507" s="66" t="s">
        <v>757</v>
      </c>
      <c r="N1507" s="66" t="s">
        <v>757</v>
      </c>
      <c r="O1507" s="66" t="s">
        <v>879</v>
      </c>
      <c r="P1507" s="66"/>
      <c r="Q1507" s="66">
        <v>1</v>
      </c>
      <c r="R1507" s="66">
        <v>789</v>
      </c>
      <c r="S1507" s="66"/>
    </row>
    <row r="1508" spans="1:19" x14ac:dyDescent="0.25">
      <c r="A1508" s="15">
        <v>67</v>
      </c>
      <c r="B1508" s="66"/>
      <c r="C1508" s="66">
        <v>2429</v>
      </c>
      <c r="D1508" s="66"/>
      <c r="E1508" s="66" t="s">
        <v>763</v>
      </c>
      <c r="F1508" s="66">
        <v>1</v>
      </c>
      <c r="G1508" s="66"/>
      <c r="H1508" s="66" t="e">
        <v>#N/A</v>
      </c>
      <c r="I1508" s="66"/>
      <c r="J1508" s="66" t="s">
        <v>870</v>
      </c>
      <c r="K1508" s="66" t="s">
        <v>757</v>
      </c>
      <c r="L1508" s="66" t="s">
        <v>757</v>
      </c>
      <c r="M1508" s="66" t="s">
        <v>757</v>
      </c>
      <c r="N1508" s="66" t="s">
        <v>757</v>
      </c>
      <c r="O1508" s="66" t="s">
        <v>880</v>
      </c>
      <c r="P1508" s="66"/>
      <c r="Q1508" s="66">
        <v>1</v>
      </c>
      <c r="R1508" s="66">
        <v>790</v>
      </c>
      <c r="S1508" s="66"/>
    </row>
    <row r="1509" spans="1:19" x14ac:dyDescent="0.25">
      <c r="A1509" s="15">
        <v>67</v>
      </c>
      <c r="B1509" s="66"/>
      <c r="C1509" s="66">
        <v>2429</v>
      </c>
      <c r="D1509" s="66"/>
      <c r="E1509" s="66" t="s">
        <v>763</v>
      </c>
      <c r="F1509" s="66">
        <v>1</v>
      </c>
      <c r="G1509" s="66"/>
      <c r="H1509" s="66" t="e">
        <v>#N/A</v>
      </c>
      <c r="I1509" s="66"/>
      <c r="J1509" s="66" t="s">
        <v>870</v>
      </c>
      <c r="K1509" s="66" t="s">
        <v>757</v>
      </c>
      <c r="L1509" s="66" t="s">
        <v>757</v>
      </c>
      <c r="M1509" s="66" t="s">
        <v>757</v>
      </c>
      <c r="N1509" s="66" t="s">
        <v>757</v>
      </c>
      <c r="O1509" s="66" t="s">
        <v>881</v>
      </c>
      <c r="P1509" s="66"/>
      <c r="Q1509" s="66">
        <v>1</v>
      </c>
      <c r="R1509" s="66">
        <v>791</v>
      </c>
      <c r="S1509" s="66"/>
    </row>
    <row r="1510" spans="1:19" x14ac:dyDescent="0.25">
      <c r="A1510" s="15">
        <v>67</v>
      </c>
      <c r="B1510" s="66"/>
      <c r="C1510" s="66">
        <v>2429</v>
      </c>
      <c r="D1510" s="66"/>
      <c r="E1510" s="66" t="s">
        <v>763</v>
      </c>
      <c r="F1510" s="66">
        <v>0</v>
      </c>
      <c r="G1510" s="66"/>
      <c r="H1510" s="66">
        <v>3</v>
      </c>
      <c r="I1510" s="66" t="e">
        <v>#N/A</v>
      </c>
      <c r="J1510" s="66" t="s">
        <v>870</v>
      </c>
      <c r="K1510" s="66"/>
      <c r="L1510" s="66"/>
      <c r="M1510" s="66"/>
      <c r="N1510" s="66"/>
      <c r="O1510" s="66" t="s">
        <v>883</v>
      </c>
      <c r="P1510" s="66"/>
      <c r="Q1510" s="66">
        <v>1</v>
      </c>
      <c r="R1510" s="66">
        <v>1008</v>
      </c>
      <c r="S1510" s="66"/>
    </row>
    <row r="1511" spans="1:19" x14ac:dyDescent="0.25">
      <c r="A1511" s="15">
        <v>67</v>
      </c>
      <c r="B1511" s="66"/>
      <c r="C1511" s="66">
        <v>2429</v>
      </c>
      <c r="D1511" s="66"/>
      <c r="E1511" s="66" t="s">
        <v>763</v>
      </c>
      <c r="F1511" s="66">
        <v>0</v>
      </c>
      <c r="G1511" s="66"/>
      <c r="H1511" s="66">
        <v>3</v>
      </c>
      <c r="I1511" s="66" t="e">
        <v>#N/A</v>
      </c>
      <c r="J1511" s="66" t="s">
        <v>870</v>
      </c>
      <c r="K1511" s="66"/>
      <c r="L1511" s="66"/>
      <c r="M1511" s="66"/>
      <c r="N1511" s="66"/>
      <c r="O1511" s="66" t="s">
        <v>884</v>
      </c>
      <c r="P1511" s="66"/>
      <c r="Q1511" s="66">
        <v>1</v>
      </c>
      <c r="R1511" s="66">
        <v>1009</v>
      </c>
      <c r="S1511" s="66"/>
    </row>
    <row r="1512" spans="1:19" x14ac:dyDescent="0.25">
      <c r="A1512" s="15">
        <v>67</v>
      </c>
      <c r="B1512" s="66"/>
      <c r="C1512" s="66">
        <v>2429</v>
      </c>
      <c r="D1512" s="66"/>
      <c r="E1512" s="66" t="s">
        <v>763</v>
      </c>
      <c r="F1512" s="66">
        <v>0</v>
      </c>
      <c r="G1512" s="66"/>
      <c r="H1512" s="66">
        <v>3</v>
      </c>
      <c r="I1512" s="66" t="e">
        <v>#N/A</v>
      </c>
      <c r="J1512" s="66" t="s">
        <v>870</v>
      </c>
      <c r="K1512" s="66"/>
      <c r="L1512" s="66"/>
      <c r="M1512" s="66"/>
      <c r="N1512" s="66"/>
      <c r="O1512" s="66" t="s">
        <v>885</v>
      </c>
      <c r="P1512" s="66"/>
      <c r="Q1512" s="66">
        <v>1</v>
      </c>
      <c r="R1512" s="66">
        <v>1010</v>
      </c>
      <c r="S1512" s="66"/>
    </row>
    <row r="1513" spans="1:19" x14ac:dyDescent="0.25">
      <c r="A1513" s="15">
        <v>67</v>
      </c>
      <c r="B1513" s="66"/>
      <c r="C1513" s="66">
        <v>2429</v>
      </c>
      <c r="D1513" s="66"/>
      <c r="E1513" s="66" t="s">
        <v>763</v>
      </c>
      <c r="F1513" s="66">
        <v>0</v>
      </c>
      <c r="G1513" s="66"/>
      <c r="H1513" s="66">
        <v>3</v>
      </c>
      <c r="I1513" s="66" t="e">
        <v>#N/A</v>
      </c>
      <c r="J1513" s="66" t="s">
        <v>870</v>
      </c>
      <c r="K1513" s="66"/>
      <c r="L1513" s="66"/>
      <c r="M1513" s="66"/>
      <c r="N1513" s="66"/>
      <c r="O1513" s="66" t="s">
        <v>886</v>
      </c>
      <c r="P1513" s="66"/>
      <c r="Q1513" s="66">
        <v>1</v>
      </c>
      <c r="R1513" s="66">
        <v>1011</v>
      </c>
      <c r="S1513" s="66"/>
    </row>
    <row r="1514" spans="1:19" x14ac:dyDescent="0.25">
      <c r="A1514" s="15">
        <v>67</v>
      </c>
      <c r="B1514" s="66"/>
      <c r="C1514" s="66">
        <v>2429</v>
      </c>
      <c r="D1514" s="66"/>
      <c r="E1514" s="66" t="s">
        <v>763</v>
      </c>
      <c r="F1514" s="66">
        <v>0</v>
      </c>
      <c r="G1514" s="66"/>
      <c r="H1514" s="66">
        <v>3</v>
      </c>
      <c r="I1514" s="66" t="e">
        <v>#N/A</v>
      </c>
      <c r="J1514" s="66" t="s">
        <v>870</v>
      </c>
      <c r="K1514" s="66"/>
      <c r="L1514" s="66"/>
      <c r="M1514" s="66"/>
      <c r="N1514" s="66"/>
      <c r="O1514" s="66" t="s">
        <v>887</v>
      </c>
      <c r="P1514" s="66"/>
      <c r="Q1514" s="66">
        <v>1</v>
      </c>
      <c r="R1514" s="66">
        <v>1012</v>
      </c>
      <c r="S1514" s="66"/>
    </row>
    <row r="1515" spans="1:19" x14ac:dyDescent="0.25">
      <c r="A1515" s="15">
        <v>67</v>
      </c>
      <c r="B1515" s="66"/>
      <c r="C1515" s="66">
        <v>2429</v>
      </c>
      <c r="D1515" s="66"/>
      <c r="E1515" s="66" t="s">
        <v>763</v>
      </c>
      <c r="F1515" s="66">
        <v>0</v>
      </c>
      <c r="G1515" s="66"/>
      <c r="H1515" s="66">
        <v>3</v>
      </c>
      <c r="I1515" s="66" t="e">
        <v>#N/A</v>
      </c>
      <c r="J1515" s="66" t="s">
        <v>870</v>
      </c>
      <c r="K1515" s="66"/>
      <c r="L1515" s="66"/>
      <c r="M1515" s="66"/>
      <c r="N1515" s="66"/>
      <c r="O1515" s="66" t="s">
        <v>888</v>
      </c>
      <c r="P1515" s="66"/>
      <c r="Q1515" s="66">
        <v>1</v>
      </c>
      <c r="R1515" s="66">
        <v>1013</v>
      </c>
      <c r="S1515" s="66"/>
    </row>
    <row r="1516" spans="1:19" x14ac:dyDescent="0.25">
      <c r="A1516" s="15">
        <v>67</v>
      </c>
      <c r="B1516" s="66"/>
      <c r="C1516" s="66">
        <v>2429</v>
      </c>
      <c r="D1516" s="66"/>
      <c r="E1516" s="66" t="s">
        <v>763</v>
      </c>
      <c r="F1516" s="66">
        <v>0</v>
      </c>
      <c r="G1516" s="66"/>
      <c r="H1516" s="66">
        <v>3</v>
      </c>
      <c r="I1516" s="66" t="e">
        <v>#N/A</v>
      </c>
      <c r="J1516" s="66" t="s">
        <v>870</v>
      </c>
      <c r="K1516" s="66"/>
      <c r="L1516" s="66"/>
      <c r="M1516" s="66"/>
      <c r="N1516" s="66"/>
      <c r="O1516" s="66" t="s">
        <v>889</v>
      </c>
      <c r="P1516" s="66"/>
      <c r="Q1516" s="66">
        <v>1</v>
      </c>
      <c r="R1516" s="66">
        <v>1014</v>
      </c>
      <c r="S1516" s="66"/>
    </row>
    <row r="1517" spans="1:19" x14ac:dyDescent="0.25">
      <c r="A1517" s="15">
        <v>67</v>
      </c>
      <c r="B1517" s="66"/>
      <c r="C1517" s="66">
        <v>2429</v>
      </c>
      <c r="D1517" s="66"/>
      <c r="E1517" s="66" t="s">
        <v>763</v>
      </c>
      <c r="F1517" s="66">
        <v>0</v>
      </c>
      <c r="G1517" s="66"/>
      <c r="H1517" s="66">
        <v>3</v>
      </c>
      <c r="I1517" s="66" t="e">
        <v>#N/A</v>
      </c>
      <c r="J1517" s="66" t="s">
        <v>870</v>
      </c>
      <c r="K1517" s="66"/>
      <c r="L1517" s="66"/>
      <c r="M1517" s="66"/>
      <c r="N1517" s="66"/>
      <c r="O1517" s="66" t="s">
        <v>890</v>
      </c>
      <c r="P1517" s="66"/>
      <c r="Q1517" s="66">
        <v>1</v>
      </c>
      <c r="R1517" s="66">
        <v>1015</v>
      </c>
      <c r="S1517" s="66"/>
    </row>
    <row r="1518" spans="1:19" x14ac:dyDescent="0.25">
      <c r="A1518" s="15">
        <v>67</v>
      </c>
      <c r="B1518" s="66"/>
      <c r="C1518" s="66">
        <v>2429</v>
      </c>
      <c r="D1518" s="66"/>
      <c r="E1518" s="66" t="s">
        <v>763</v>
      </c>
      <c r="F1518" s="66">
        <v>0</v>
      </c>
      <c r="G1518" s="66"/>
      <c r="H1518" s="66">
        <v>3</v>
      </c>
      <c r="I1518" s="66" t="e">
        <v>#N/A</v>
      </c>
      <c r="J1518" s="66" t="s">
        <v>870</v>
      </c>
      <c r="K1518" s="66"/>
      <c r="L1518" s="66"/>
      <c r="M1518" s="66"/>
      <c r="N1518" s="66"/>
      <c r="O1518" s="66" t="s">
        <v>891</v>
      </c>
      <c r="P1518" s="66"/>
      <c r="Q1518" s="66">
        <v>1</v>
      </c>
      <c r="R1518" s="66">
        <v>1016</v>
      </c>
      <c r="S1518" s="66"/>
    </row>
    <row r="1519" spans="1:19" x14ac:dyDescent="0.25">
      <c r="A1519" s="15">
        <v>67</v>
      </c>
      <c r="B1519" s="66"/>
      <c r="C1519" s="66">
        <v>2429</v>
      </c>
      <c r="D1519" s="66"/>
      <c r="E1519" s="66" t="s">
        <v>763</v>
      </c>
      <c r="F1519" s="66">
        <v>0</v>
      </c>
      <c r="G1519" s="66"/>
      <c r="H1519" s="66">
        <v>3</v>
      </c>
      <c r="I1519" s="66" t="e">
        <v>#N/A</v>
      </c>
      <c r="J1519" s="66" t="s">
        <v>870</v>
      </c>
      <c r="K1519" s="66"/>
      <c r="L1519" s="66"/>
      <c r="M1519" s="66"/>
      <c r="N1519" s="66"/>
      <c r="O1519" s="66" t="s">
        <v>892</v>
      </c>
      <c r="P1519" s="66"/>
      <c r="Q1519" s="66">
        <v>1</v>
      </c>
      <c r="R1519" s="66">
        <v>1017</v>
      </c>
      <c r="S1519" s="66"/>
    </row>
    <row r="1520" spans="1:19" x14ac:dyDescent="0.25">
      <c r="A1520" s="15">
        <v>67</v>
      </c>
      <c r="B1520" s="66"/>
      <c r="C1520" s="66">
        <v>2429</v>
      </c>
      <c r="D1520" s="66"/>
      <c r="E1520" s="66" t="s">
        <v>763</v>
      </c>
      <c r="F1520" s="66">
        <v>0</v>
      </c>
      <c r="G1520" s="66"/>
      <c r="H1520" s="66">
        <v>3</v>
      </c>
      <c r="I1520" s="66" t="e">
        <v>#N/A</v>
      </c>
      <c r="J1520" s="66" t="s">
        <v>870</v>
      </c>
      <c r="K1520" s="66"/>
      <c r="L1520" s="66"/>
      <c r="M1520" s="66"/>
      <c r="N1520" s="66"/>
      <c r="O1520" s="66" t="s">
        <v>893</v>
      </c>
      <c r="P1520" s="66"/>
      <c r="Q1520" s="66">
        <v>1</v>
      </c>
      <c r="R1520" s="66">
        <v>1018</v>
      </c>
      <c r="S1520" s="66"/>
    </row>
    <row r="1521" spans="1:19" x14ac:dyDescent="0.25">
      <c r="A1521" s="15">
        <v>67</v>
      </c>
      <c r="B1521" s="66"/>
      <c r="C1521" s="66">
        <v>2429</v>
      </c>
      <c r="D1521" s="66"/>
      <c r="E1521" s="66" t="s">
        <v>763</v>
      </c>
      <c r="F1521" s="66">
        <v>3</v>
      </c>
      <c r="G1521" s="66"/>
      <c r="H1521" s="66">
        <v>3</v>
      </c>
      <c r="I1521" s="66" t="e">
        <v>#N/A</v>
      </c>
      <c r="J1521" s="66" t="s">
        <v>870</v>
      </c>
      <c r="K1521" s="66"/>
      <c r="L1521" s="66"/>
      <c r="M1521" s="66"/>
      <c r="N1521" s="66"/>
      <c r="O1521" s="66" t="s">
        <v>895</v>
      </c>
      <c r="P1521" s="66"/>
      <c r="Q1521" s="66">
        <v>1</v>
      </c>
      <c r="R1521" s="66">
        <v>1235</v>
      </c>
      <c r="S1521" s="66"/>
    </row>
    <row r="1522" spans="1:19" x14ac:dyDescent="0.25">
      <c r="A1522" s="15">
        <v>67</v>
      </c>
      <c r="B1522" s="66"/>
      <c r="C1522" s="66">
        <v>2429</v>
      </c>
      <c r="D1522" s="66"/>
      <c r="E1522" s="66" t="s">
        <v>763</v>
      </c>
      <c r="F1522" s="66">
        <v>3</v>
      </c>
      <c r="G1522" s="66"/>
      <c r="H1522" s="66">
        <v>3</v>
      </c>
      <c r="I1522" s="66" t="e">
        <v>#N/A</v>
      </c>
      <c r="J1522" s="66" t="s">
        <v>870</v>
      </c>
      <c r="K1522" s="66"/>
      <c r="L1522" s="66"/>
      <c r="M1522" s="66"/>
      <c r="N1522" s="66"/>
      <c r="O1522" s="66" t="s">
        <v>896</v>
      </c>
      <c r="P1522" s="66"/>
      <c r="Q1522" s="66">
        <v>1</v>
      </c>
      <c r="R1522" s="66">
        <v>1236</v>
      </c>
      <c r="S1522" s="66"/>
    </row>
    <row r="1523" spans="1:19" x14ac:dyDescent="0.25">
      <c r="A1523" s="15">
        <v>67</v>
      </c>
      <c r="B1523" s="66"/>
      <c r="C1523" s="66">
        <v>2429</v>
      </c>
      <c r="D1523" s="66"/>
      <c r="E1523" s="66" t="s">
        <v>763</v>
      </c>
      <c r="F1523" s="66">
        <v>3</v>
      </c>
      <c r="G1523" s="66"/>
      <c r="H1523" s="66">
        <v>3</v>
      </c>
      <c r="I1523" s="66" t="e">
        <v>#N/A</v>
      </c>
      <c r="J1523" s="66" t="s">
        <v>870</v>
      </c>
      <c r="K1523" s="66"/>
      <c r="L1523" s="66"/>
      <c r="M1523" s="66"/>
      <c r="N1523" s="66"/>
      <c r="O1523" s="66" t="s">
        <v>897</v>
      </c>
      <c r="P1523" s="66"/>
      <c r="Q1523" s="66">
        <v>1</v>
      </c>
      <c r="R1523" s="66">
        <v>1237</v>
      </c>
      <c r="S1523" s="66"/>
    </row>
    <row r="1524" spans="1:19" x14ac:dyDescent="0.25">
      <c r="A1524" s="15">
        <v>67</v>
      </c>
      <c r="B1524" s="66"/>
      <c r="C1524" s="66">
        <v>2429</v>
      </c>
      <c r="D1524" s="66"/>
      <c r="E1524" s="66" t="s">
        <v>763</v>
      </c>
      <c r="F1524" s="66">
        <v>3</v>
      </c>
      <c r="G1524" s="66"/>
      <c r="H1524" s="66">
        <v>3</v>
      </c>
      <c r="I1524" s="66" t="e">
        <v>#N/A</v>
      </c>
      <c r="J1524" s="66" t="s">
        <v>870</v>
      </c>
      <c r="K1524" s="66"/>
      <c r="L1524" s="66"/>
      <c r="M1524" s="66"/>
      <c r="N1524" s="66"/>
      <c r="O1524" s="66" t="s">
        <v>898</v>
      </c>
      <c r="P1524" s="66"/>
      <c r="Q1524" s="66">
        <v>1</v>
      </c>
      <c r="R1524" s="66">
        <v>1238</v>
      </c>
      <c r="S1524" s="66"/>
    </row>
    <row r="1525" spans="1:19" x14ac:dyDescent="0.25">
      <c r="A1525" s="15">
        <v>67</v>
      </c>
      <c r="B1525" s="66"/>
      <c r="C1525" s="66">
        <v>2429</v>
      </c>
      <c r="D1525" s="66"/>
      <c r="E1525" s="66" t="s">
        <v>763</v>
      </c>
      <c r="F1525" s="66">
        <v>3</v>
      </c>
      <c r="G1525" s="66"/>
      <c r="H1525" s="66">
        <v>3</v>
      </c>
      <c r="I1525" s="66" t="e">
        <v>#N/A</v>
      </c>
      <c r="J1525" s="66" t="s">
        <v>870</v>
      </c>
      <c r="K1525" s="66"/>
      <c r="L1525" s="66"/>
      <c r="M1525" s="66"/>
      <c r="N1525" s="66"/>
      <c r="O1525" s="66" t="s">
        <v>899</v>
      </c>
      <c r="P1525" s="66"/>
      <c r="Q1525" s="66">
        <v>1</v>
      </c>
      <c r="R1525" s="66">
        <v>1239</v>
      </c>
      <c r="S1525" s="66"/>
    </row>
    <row r="1526" spans="1:19" x14ac:dyDescent="0.25">
      <c r="A1526" s="15">
        <v>67</v>
      </c>
      <c r="B1526" s="66"/>
      <c r="C1526" s="66">
        <v>2429</v>
      </c>
      <c r="D1526" s="66"/>
      <c r="E1526" s="66" t="s">
        <v>763</v>
      </c>
      <c r="F1526" s="66">
        <v>3</v>
      </c>
      <c r="G1526" s="66"/>
      <c r="H1526" s="66">
        <v>3</v>
      </c>
      <c r="I1526" s="66" t="e">
        <v>#N/A</v>
      </c>
      <c r="J1526" s="66" t="s">
        <v>870</v>
      </c>
      <c r="K1526" s="66"/>
      <c r="L1526" s="66"/>
      <c r="M1526" s="66"/>
      <c r="N1526" s="66"/>
      <c r="O1526" s="66" t="s">
        <v>900</v>
      </c>
      <c r="P1526" s="66"/>
      <c r="Q1526" s="66">
        <v>1</v>
      </c>
      <c r="R1526" s="66">
        <v>1240</v>
      </c>
      <c r="S1526" s="66"/>
    </row>
    <row r="1527" spans="1:19" x14ac:dyDescent="0.25">
      <c r="A1527" s="15">
        <v>67</v>
      </c>
      <c r="B1527" s="66"/>
      <c r="C1527" s="66">
        <v>2429</v>
      </c>
      <c r="D1527" s="66"/>
      <c r="E1527" s="66" t="s">
        <v>763</v>
      </c>
      <c r="F1527" s="66">
        <v>3</v>
      </c>
      <c r="G1527" s="66"/>
      <c r="H1527" s="66">
        <v>3</v>
      </c>
      <c r="I1527" s="66" t="e">
        <v>#N/A</v>
      </c>
      <c r="J1527" s="66" t="s">
        <v>870</v>
      </c>
      <c r="K1527" s="66"/>
      <c r="L1527" s="66"/>
      <c r="M1527" s="66"/>
      <c r="N1527" s="66"/>
      <c r="O1527" s="66" t="s">
        <v>901</v>
      </c>
      <c r="P1527" s="66"/>
      <c r="Q1527" s="66">
        <v>1</v>
      </c>
      <c r="R1527" s="66">
        <v>1241</v>
      </c>
      <c r="S1527" s="66"/>
    </row>
    <row r="1528" spans="1:19" x14ac:dyDescent="0.25">
      <c r="A1528" s="15">
        <v>67</v>
      </c>
      <c r="B1528" s="66"/>
      <c r="C1528" s="66">
        <v>2429</v>
      </c>
      <c r="D1528" s="66"/>
      <c r="E1528" s="66" t="s">
        <v>763</v>
      </c>
      <c r="F1528" s="66">
        <v>3</v>
      </c>
      <c r="G1528" s="66"/>
      <c r="H1528" s="66">
        <v>3</v>
      </c>
      <c r="I1528" s="66" t="e">
        <v>#N/A</v>
      </c>
      <c r="J1528" s="66" t="s">
        <v>870</v>
      </c>
      <c r="K1528" s="66"/>
      <c r="L1528" s="66"/>
      <c r="M1528" s="66"/>
      <c r="N1528" s="66"/>
      <c r="O1528" s="66" t="s">
        <v>902</v>
      </c>
      <c r="P1528" s="66"/>
      <c r="Q1528" s="66">
        <v>1</v>
      </c>
      <c r="R1528" s="66">
        <v>1242</v>
      </c>
      <c r="S1528" s="66"/>
    </row>
    <row r="1529" spans="1:19" x14ac:dyDescent="0.25">
      <c r="A1529" s="15">
        <v>67</v>
      </c>
      <c r="B1529" s="66"/>
      <c r="C1529" s="66">
        <v>2429</v>
      </c>
      <c r="D1529" s="66"/>
      <c r="E1529" s="66" t="s">
        <v>763</v>
      </c>
      <c r="F1529" s="66">
        <v>3</v>
      </c>
      <c r="G1529" s="66"/>
      <c r="H1529" s="66">
        <v>3</v>
      </c>
      <c r="I1529" s="66" t="e">
        <v>#N/A</v>
      </c>
      <c r="J1529" s="66" t="s">
        <v>870</v>
      </c>
      <c r="K1529" s="66"/>
      <c r="L1529" s="66"/>
      <c r="M1529" s="66"/>
      <c r="N1529" s="66"/>
      <c r="O1529" s="66" t="s">
        <v>903</v>
      </c>
      <c r="P1529" s="66"/>
      <c r="Q1529" s="66">
        <v>1</v>
      </c>
      <c r="R1529" s="66">
        <v>1243</v>
      </c>
      <c r="S1529" s="66"/>
    </row>
    <row r="1530" spans="1:19" x14ac:dyDescent="0.25">
      <c r="A1530" s="15">
        <v>67</v>
      </c>
      <c r="B1530" s="66"/>
      <c r="C1530" s="66">
        <v>2429</v>
      </c>
      <c r="D1530" s="66"/>
      <c r="E1530" s="66" t="s">
        <v>763</v>
      </c>
      <c r="F1530" s="66">
        <v>3</v>
      </c>
      <c r="G1530" s="66"/>
      <c r="H1530" s="66">
        <v>3</v>
      </c>
      <c r="I1530" s="66" t="e">
        <v>#N/A</v>
      </c>
      <c r="J1530" s="66" t="s">
        <v>870</v>
      </c>
      <c r="K1530" s="66"/>
      <c r="L1530" s="66"/>
      <c r="M1530" s="66"/>
      <c r="N1530" s="66"/>
      <c r="O1530" s="66" t="s">
        <v>904</v>
      </c>
      <c r="P1530" s="66"/>
      <c r="Q1530" s="66">
        <v>1</v>
      </c>
      <c r="R1530" s="66">
        <v>1244</v>
      </c>
      <c r="S1530" s="66"/>
    </row>
    <row r="1531" spans="1:19" x14ac:dyDescent="0.25">
      <c r="A1531" s="15">
        <v>67</v>
      </c>
      <c r="B1531" s="66"/>
      <c r="C1531" s="66">
        <v>2429</v>
      </c>
      <c r="D1531" s="66"/>
      <c r="E1531" s="66" t="s">
        <v>763</v>
      </c>
      <c r="F1531" s="66">
        <v>3</v>
      </c>
      <c r="G1531" s="66"/>
      <c r="H1531" s="66">
        <v>3</v>
      </c>
      <c r="I1531" s="66" t="e">
        <v>#N/A</v>
      </c>
      <c r="J1531" s="66" t="s">
        <v>870</v>
      </c>
      <c r="K1531" s="66"/>
      <c r="L1531" s="66"/>
      <c r="M1531" s="66"/>
      <c r="N1531" s="66"/>
      <c r="O1531" s="66" t="s">
        <v>905</v>
      </c>
      <c r="P1531" s="66"/>
      <c r="Q1531" s="66">
        <v>1</v>
      </c>
      <c r="R1531" s="66">
        <v>1245</v>
      </c>
      <c r="S1531" s="66"/>
    </row>
    <row r="1532" spans="1:19" x14ac:dyDescent="0.25">
      <c r="A1532" s="15">
        <v>67</v>
      </c>
      <c r="B1532" s="66"/>
      <c r="C1532" s="66">
        <v>2429</v>
      </c>
      <c r="D1532" s="66"/>
      <c r="E1532" s="66" t="s">
        <v>763</v>
      </c>
      <c r="F1532" s="66">
        <v>3</v>
      </c>
      <c r="G1532" s="66"/>
      <c r="H1532" s="66" t="e">
        <v>#N/A</v>
      </c>
      <c r="I1532" s="66"/>
      <c r="J1532" s="66" t="s">
        <v>870</v>
      </c>
      <c r="K1532" s="66"/>
      <c r="L1532" s="66"/>
      <c r="M1532" s="66"/>
      <c r="N1532" s="66"/>
      <c r="O1532" s="66" t="s">
        <v>907</v>
      </c>
      <c r="P1532" s="66"/>
      <c r="Q1532" s="66">
        <v>1</v>
      </c>
      <c r="R1532" s="66">
        <v>1312</v>
      </c>
      <c r="S1532" s="66"/>
    </row>
    <row r="1533" spans="1:19" x14ac:dyDescent="0.25">
      <c r="A1533" s="15">
        <v>67</v>
      </c>
      <c r="B1533" s="66"/>
      <c r="C1533" s="66">
        <v>2429</v>
      </c>
      <c r="D1533" s="66"/>
      <c r="E1533" s="66" t="s">
        <v>763</v>
      </c>
      <c r="F1533" s="66">
        <v>5</v>
      </c>
      <c r="G1533" s="66"/>
      <c r="H1533" s="66" t="e">
        <v>#N/A</v>
      </c>
      <c r="I1533" s="66"/>
      <c r="J1533" s="66" t="s">
        <v>870</v>
      </c>
      <c r="K1533" s="66"/>
      <c r="L1533" s="66"/>
      <c r="M1533" s="66"/>
      <c r="N1533" s="66"/>
      <c r="O1533" s="66" t="s">
        <v>909</v>
      </c>
      <c r="P1533" s="66"/>
      <c r="Q1533" s="66">
        <v>1</v>
      </c>
      <c r="R1533" s="66">
        <v>1529</v>
      </c>
      <c r="S1533" s="66"/>
    </row>
    <row r="1534" spans="1:19" x14ac:dyDescent="0.25">
      <c r="A1534" s="15">
        <v>67</v>
      </c>
      <c r="B1534" s="66"/>
      <c r="C1534" s="66">
        <v>2429</v>
      </c>
      <c r="D1534" s="66"/>
      <c r="E1534" s="66" t="s">
        <v>763</v>
      </c>
      <c r="F1534" s="66">
        <v>5</v>
      </c>
      <c r="G1534" s="66"/>
      <c r="H1534" s="66" t="e">
        <v>#N/A</v>
      </c>
      <c r="I1534" s="66"/>
      <c r="J1534" s="66" t="s">
        <v>870</v>
      </c>
      <c r="K1534" s="66"/>
      <c r="L1534" s="66"/>
      <c r="M1534" s="66"/>
      <c r="N1534" s="66"/>
      <c r="O1534" s="66" t="s">
        <v>910</v>
      </c>
      <c r="P1534" s="66"/>
      <c r="Q1534" s="66">
        <v>1</v>
      </c>
      <c r="R1534" s="66">
        <v>1530</v>
      </c>
      <c r="S1534" s="66"/>
    </row>
    <row r="1535" spans="1:19" x14ac:dyDescent="0.25">
      <c r="A1535" s="15">
        <v>67</v>
      </c>
      <c r="B1535" s="66"/>
      <c r="C1535" s="66">
        <v>2429</v>
      </c>
      <c r="D1535" s="66"/>
      <c r="E1535" s="66" t="s">
        <v>763</v>
      </c>
      <c r="F1535" s="66">
        <v>5</v>
      </c>
      <c r="G1535" s="66"/>
      <c r="H1535" s="66" t="e">
        <v>#N/A</v>
      </c>
      <c r="I1535" s="66"/>
      <c r="J1535" s="66" t="s">
        <v>870</v>
      </c>
      <c r="K1535" s="66"/>
      <c r="L1535" s="66"/>
      <c r="M1535" s="66"/>
      <c r="N1535" s="66"/>
      <c r="O1535" s="66" t="s">
        <v>911</v>
      </c>
      <c r="P1535" s="66"/>
      <c r="Q1535" s="66">
        <v>1</v>
      </c>
      <c r="R1535" s="66">
        <v>1531</v>
      </c>
      <c r="S1535" s="66"/>
    </row>
    <row r="1536" spans="1:19" x14ac:dyDescent="0.25">
      <c r="A1536" s="15">
        <v>67</v>
      </c>
      <c r="B1536" s="66"/>
      <c r="C1536" s="66">
        <v>2429</v>
      </c>
      <c r="D1536" s="66"/>
      <c r="E1536" s="66" t="s">
        <v>763</v>
      </c>
      <c r="F1536" s="66">
        <v>5</v>
      </c>
      <c r="G1536" s="66"/>
      <c r="H1536" s="66" t="e">
        <v>#N/A</v>
      </c>
      <c r="I1536" s="66"/>
      <c r="J1536" s="66" t="s">
        <v>870</v>
      </c>
      <c r="K1536" s="66"/>
      <c r="L1536" s="66"/>
      <c r="M1536" s="66"/>
      <c r="N1536" s="66"/>
      <c r="O1536" s="66" t="s">
        <v>912</v>
      </c>
      <c r="P1536" s="66"/>
      <c r="Q1536" s="66">
        <v>1</v>
      </c>
      <c r="R1536" s="66">
        <v>1532</v>
      </c>
      <c r="S1536" s="66"/>
    </row>
    <row r="1537" spans="1:19" x14ac:dyDescent="0.25">
      <c r="A1537" s="15">
        <v>67</v>
      </c>
      <c r="B1537" s="66"/>
      <c r="C1537" s="66">
        <v>2429</v>
      </c>
      <c r="D1537" s="66"/>
      <c r="E1537" s="66" t="s">
        <v>763</v>
      </c>
      <c r="F1537" s="66">
        <v>5</v>
      </c>
      <c r="G1537" s="66"/>
      <c r="H1537" s="66" t="e">
        <v>#N/A</v>
      </c>
      <c r="I1537" s="66"/>
      <c r="J1537" s="66" t="s">
        <v>870</v>
      </c>
      <c r="K1537" s="66"/>
      <c r="L1537" s="66"/>
      <c r="M1537" s="66"/>
      <c r="N1537" s="66"/>
      <c r="O1537" s="66" t="s">
        <v>913</v>
      </c>
      <c r="P1537" s="66"/>
      <c r="Q1537" s="66">
        <v>1</v>
      </c>
      <c r="R1537" s="66">
        <v>1533</v>
      </c>
      <c r="S1537" s="66"/>
    </row>
    <row r="1538" spans="1:19" x14ac:dyDescent="0.25">
      <c r="A1538" s="15">
        <v>67</v>
      </c>
      <c r="B1538" s="66"/>
      <c r="C1538" s="66">
        <v>2429</v>
      </c>
      <c r="D1538" s="66"/>
      <c r="E1538" s="66" t="s">
        <v>763</v>
      </c>
      <c r="F1538" s="66">
        <v>5</v>
      </c>
      <c r="G1538" s="66"/>
      <c r="H1538" s="66" t="e">
        <v>#N/A</v>
      </c>
      <c r="I1538" s="66"/>
      <c r="J1538" s="66" t="s">
        <v>870</v>
      </c>
      <c r="K1538" s="66"/>
      <c r="L1538" s="66"/>
      <c r="M1538" s="66"/>
      <c r="N1538" s="66"/>
      <c r="O1538" s="66" t="s">
        <v>914</v>
      </c>
      <c r="P1538" s="66"/>
      <c r="Q1538" s="66">
        <v>1</v>
      </c>
      <c r="R1538" s="66">
        <v>1534</v>
      </c>
      <c r="S1538" s="66"/>
    </row>
    <row r="1539" spans="1:19" x14ac:dyDescent="0.25">
      <c r="A1539" s="15">
        <v>67</v>
      </c>
      <c r="B1539" s="66"/>
      <c r="C1539" s="66">
        <v>2429</v>
      </c>
      <c r="D1539" s="66"/>
      <c r="E1539" s="66" t="s">
        <v>763</v>
      </c>
      <c r="F1539" s="66">
        <v>5</v>
      </c>
      <c r="G1539" s="66"/>
      <c r="H1539" s="66" t="e">
        <v>#N/A</v>
      </c>
      <c r="I1539" s="66"/>
      <c r="J1539" s="66" t="s">
        <v>870</v>
      </c>
      <c r="K1539" s="66"/>
      <c r="L1539" s="66"/>
      <c r="M1539" s="66"/>
      <c r="N1539" s="66"/>
      <c r="O1539" s="66" t="s">
        <v>915</v>
      </c>
      <c r="P1539" s="66"/>
      <c r="Q1539" s="66">
        <v>1</v>
      </c>
      <c r="R1539" s="66">
        <v>1535</v>
      </c>
      <c r="S1539" s="66"/>
    </row>
    <row r="1540" spans="1:19" x14ac:dyDescent="0.25">
      <c r="A1540" s="15">
        <v>67</v>
      </c>
      <c r="B1540" s="66"/>
      <c r="C1540" s="66">
        <v>2429</v>
      </c>
      <c r="D1540" s="66"/>
      <c r="E1540" s="66" t="s">
        <v>763</v>
      </c>
      <c r="F1540" s="66">
        <v>5</v>
      </c>
      <c r="G1540" s="66"/>
      <c r="H1540" s="66" t="e">
        <v>#N/A</v>
      </c>
      <c r="I1540" s="66"/>
      <c r="J1540" s="66" t="s">
        <v>870</v>
      </c>
      <c r="K1540" s="66"/>
      <c r="L1540" s="66"/>
      <c r="M1540" s="66"/>
      <c r="N1540" s="66"/>
      <c r="O1540" s="66" t="s">
        <v>916</v>
      </c>
      <c r="P1540" s="66"/>
      <c r="Q1540" s="66">
        <v>1</v>
      </c>
      <c r="R1540" s="66">
        <v>1536</v>
      </c>
      <c r="S1540" s="66"/>
    </row>
    <row r="1541" spans="1:19" x14ac:dyDescent="0.25">
      <c r="A1541" s="15">
        <v>67</v>
      </c>
      <c r="B1541" s="66"/>
      <c r="C1541" s="66">
        <v>2429</v>
      </c>
      <c r="D1541" s="66"/>
      <c r="E1541" s="66" t="s">
        <v>763</v>
      </c>
      <c r="F1541" s="66">
        <v>5</v>
      </c>
      <c r="G1541" s="66"/>
      <c r="H1541" s="66" t="e">
        <v>#N/A</v>
      </c>
      <c r="I1541" s="66"/>
      <c r="J1541" s="66" t="s">
        <v>870</v>
      </c>
      <c r="K1541" s="66"/>
      <c r="L1541" s="66"/>
      <c r="M1541" s="66"/>
      <c r="N1541" s="66"/>
      <c r="O1541" s="66" t="s">
        <v>917</v>
      </c>
      <c r="P1541" s="66"/>
      <c r="Q1541" s="66">
        <v>1</v>
      </c>
      <c r="R1541" s="66">
        <v>1537</v>
      </c>
      <c r="S1541" s="66"/>
    </row>
    <row r="1542" spans="1:19" x14ac:dyDescent="0.25">
      <c r="A1542" s="15">
        <v>67</v>
      </c>
      <c r="B1542" s="66"/>
      <c r="C1542" s="66">
        <v>2429</v>
      </c>
      <c r="D1542" s="66"/>
      <c r="E1542" s="66" t="s">
        <v>763</v>
      </c>
      <c r="F1542" s="66">
        <v>5</v>
      </c>
      <c r="G1542" s="66"/>
      <c r="H1542" s="66" t="e">
        <v>#N/A</v>
      </c>
      <c r="I1542" s="66"/>
      <c r="J1542" s="66" t="s">
        <v>870</v>
      </c>
      <c r="K1542" s="66"/>
      <c r="L1542" s="66"/>
      <c r="M1542" s="66"/>
      <c r="N1542" s="66"/>
      <c r="O1542" s="66" t="s">
        <v>918</v>
      </c>
      <c r="P1542" s="66"/>
      <c r="Q1542" s="66">
        <v>1</v>
      </c>
      <c r="R1542" s="66">
        <v>1538</v>
      </c>
      <c r="S1542" s="66"/>
    </row>
    <row r="1543" spans="1:19" x14ac:dyDescent="0.25">
      <c r="A1543" s="15">
        <v>67</v>
      </c>
      <c r="B1543" s="66"/>
      <c r="C1543" s="66">
        <v>2429</v>
      </c>
      <c r="D1543" s="66"/>
      <c r="E1543" s="66" t="s">
        <v>763</v>
      </c>
      <c r="F1543" s="66">
        <v>5</v>
      </c>
      <c r="G1543" s="66"/>
      <c r="H1543" s="66" t="e">
        <v>#N/A</v>
      </c>
      <c r="I1543" s="66"/>
      <c r="J1543" s="66" t="s">
        <v>870</v>
      </c>
      <c r="K1543" s="66"/>
      <c r="L1543" s="66"/>
      <c r="M1543" s="66"/>
      <c r="N1543" s="66"/>
      <c r="O1543" s="66" t="s">
        <v>919</v>
      </c>
      <c r="P1543" s="66"/>
      <c r="Q1543" s="66">
        <v>1</v>
      </c>
      <c r="R1543" s="66">
        <v>1539</v>
      </c>
      <c r="S1543" s="66"/>
    </row>
  </sheetData>
  <sortState xmlns:xlrd2="http://schemas.microsoft.com/office/spreadsheetml/2017/richdata2" ref="A2:S1543">
    <sortCondition ref="A2:A1543"/>
  </sortState>
  <conditionalFormatting sqref="R1:R1048576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C66C9-759D-402F-88F3-F2BC4CFE45E7}">
  <sheetPr codeName="Sheet13"/>
  <dimension ref="A1:AB126"/>
  <sheetViews>
    <sheetView workbookViewId="0">
      <selection activeCell="O21" sqref="O21"/>
    </sheetView>
  </sheetViews>
  <sheetFormatPr defaultColWidth="9" defaultRowHeight="15" x14ac:dyDescent="0.25"/>
  <cols>
    <col min="1" max="2" width="4.7109375" bestFit="1" customWidth="1"/>
    <col min="3" max="3" width="5.28515625" bestFit="1" customWidth="1"/>
    <col min="4" max="4" width="4" bestFit="1" customWidth="1"/>
    <col min="5" max="6" width="5" bestFit="1" customWidth="1"/>
    <col min="7" max="7" width="10.140625" bestFit="1" customWidth="1"/>
    <col min="8" max="8" width="7.42578125" bestFit="1" customWidth="1"/>
    <col min="9" max="9" width="11.85546875" bestFit="1" customWidth="1"/>
    <col min="10" max="10" width="5.7109375" bestFit="1" customWidth="1"/>
    <col min="11" max="11" width="12" bestFit="1" customWidth="1"/>
    <col min="12" max="12" width="7.140625" bestFit="1" customWidth="1"/>
    <col min="13" max="13" width="9.140625" bestFit="1" customWidth="1"/>
    <col min="14" max="15" width="11.140625" bestFit="1" customWidth="1"/>
    <col min="16" max="16" width="9.28515625" bestFit="1" customWidth="1"/>
    <col min="17" max="18" width="11.28515625" bestFit="1" customWidth="1"/>
    <col min="19" max="19" width="7.7109375" bestFit="1" customWidth="1"/>
    <col min="20" max="20" width="4.42578125" bestFit="1" customWidth="1"/>
    <col min="21" max="21" width="14.42578125" bestFit="1" customWidth="1"/>
    <col min="22" max="22" width="14.5703125" bestFit="1" customWidth="1"/>
    <col min="23" max="23" width="8.140625" bestFit="1" customWidth="1"/>
    <col min="24" max="24" width="5.85546875" bestFit="1" customWidth="1"/>
    <col min="25" max="25" width="6" bestFit="1" customWidth="1"/>
    <col min="26" max="26" width="11.5703125" bestFit="1" customWidth="1"/>
    <col min="27" max="27" width="10.42578125" bestFit="1" customWidth="1"/>
    <col min="28" max="28" width="5.42578125" bestFit="1" customWidth="1"/>
    <col min="29" max="29" width="7.5703125" bestFit="1" customWidth="1"/>
    <col min="30" max="30" width="6.7109375" bestFit="1" customWidth="1"/>
    <col min="31" max="31" width="7.28515625" bestFit="1" customWidth="1"/>
    <col min="32" max="32" width="6.28515625" bestFit="1" customWidth="1"/>
  </cols>
  <sheetData>
    <row r="1" spans="1:28" x14ac:dyDescent="0.25">
      <c r="A1" t="s">
        <v>538</v>
      </c>
      <c r="B1" t="s">
        <v>539</v>
      </c>
      <c r="C1" t="s">
        <v>540</v>
      </c>
      <c r="D1" t="s">
        <v>53</v>
      </c>
      <c r="E1" t="s">
        <v>65</v>
      </c>
      <c r="F1" t="s">
        <v>63</v>
      </c>
      <c r="G1" t="s">
        <v>648</v>
      </c>
      <c r="H1" t="s">
        <v>541</v>
      </c>
      <c r="I1" t="s">
        <v>542</v>
      </c>
      <c r="J1" t="s">
        <v>295</v>
      </c>
      <c r="K1" t="s">
        <v>543</v>
      </c>
      <c r="L1" t="s">
        <v>649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544</v>
      </c>
      <c r="T1" t="s">
        <v>650</v>
      </c>
      <c r="U1" t="s">
        <v>651</v>
      </c>
      <c r="V1" t="s">
        <v>652</v>
      </c>
      <c r="W1" t="s">
        <v>653</v>
      </c>
      <c r="X1" t="s">
        <v>654</v>
      </c>
      <c r="Y1" t="s">
        <v>655</v>
      </c>
      <c r="Z1" t="s">
        <v>656</v>
      </c>
      <c r="AA1" t="s">
        <v>657</v>
      </c>
      <c r="AB1" t="s">
        <v>920</v>
      </c>
    </row>
    <row r="2" spans="1:28" x14ac:dyDescent="0.25">
      <c r="A2" t="s">
        <v>720</v>
      </c>
      <c r="W2" t="s">
        <v>605</v>
      </c>
      <c r="X2" t="s">
        <v>720</v>
      </c>
      <c r="Z2" t="s">
        <v>718</v>
      </c>
    </row>
    <row r="3" spans="1:28" x14ac:dyDescent="0.25">
      <c r="A3">
        <v>1</v>
      </c>
      <c r="W3" t="s">
        <v>607</v>
      </c>
      <c r="X3" t="s">
        <v>720</v>
      </c>
    </row>
    <row r="4" spans="1:28" x14ac:dyDescent="0.25">
      <c r="A4" t="s">
        <v>690</v>
      </c>
      <c r="W4" t="s">
        <v>606</v>
      </c>
      <c r="X4" t="s">
        <v>720</v>
      </c>
      <c r="Z4" t="s">
        <v>690</v>
      </c>
    </row>
    <row r="5" spans="1:28" x14ac:dyDescent="0.25">
      <c r="A5">
        <v>6</v>
      </c>
      <c r="S5">
        <v>6</v>
      </c>
      <c r="W5" t="s">
        <v>602</v>
      </c>
      <c r="X5" t="s">
        <v>720</v>
      </c>
      <c r="Z5" t="s">
        <v>695</v>
      </c>
    </row>
    <row r="6" spans="1:28" x14ac:dyDescent="0.25">
      <c r="A6">
        <v>6</v>
      </c>
      <c r="S6">
        <v>6</v>
      </c>
      <c r="W6" t="s">
        <v>602</v>
      </c>
      <c r="X6" t="s">
        <v>720</v>
      </c>
      <c r="Z6" t="s">
        <v>706</v>
      </c>
    </row>
    <row r="7" spans="1:28" x14ac:dyDescent="0.25">
      <c r="A7">
        <v>6</v>
      </c>
      <c r="S7">
        <v>6</v>
      </c>
      <c r="W7" t="s">
        <v>602</v>
      </c>
      <c r="X7" t="s">
        <v>720</v>
      </c>
      <c r="Z7" t="s">
        <v>715</v>
      </c>
    </row>
    <row r="8" spans="1:28" x14ac:dyDescent="0.25">
      <c r="A8">
        <v>6</v>
      </c>
      <c r="S8">
        <v>6</v>
      </c>
      <c r="W8" t="s">
        <v>602</v>
      </c>
      <c r="X8" t="s">
        <v>720</v>
      </c>
      <c r="Z8" t="s">
        <v>722</v>
      </c>
    </row>
    <row r="9" spans="1:28" x14ac:dyDescent="0.25">
      <c r="A9">
        <v>6</v>
      </c>
      <c r="S9">
        <v>6</v>
      </c>
      <c r="W9" t="s">
        <v>602</v>
      </c>
      <c r="X9" t="s">
        <v>720</v>
      </c>
      <c r="Z9" t="s">
        <v>728</v>
      </c>
    </row>
    <row r="10" spans="1:28" x14ac:dyDescent="0.25">
      <c r="A10" t="s">
        <v>701</v>
      </c>
      <c r="W10" t="s">
        <v>605</v>
      </c>
      <c r="X10" t="s">
        <v>701</v>
      </c>
      <c r="Z10" t="s">
        <v>699</v>
      </c>
    </row>
    <row r="11" spans="1:28" x14ac:dyDescent="0.25">
      <c r="A11" t="s">
        <v>701</v>
      </c>
      <c r="W11" t="s">
        <v>605</v>
      </c>
      <c r="X11" t="s">
        <v>701</v>
      </c>
      <c r="Z11" t="s">
        <v>706</v>
      </c>
    </row>
    <row r="12" spans="1:28" x14ac:dyDescent="0.25">
      <c r="A12" t="s">
        <v>701</v>
      </c>
      <c r="W12" t="s">
        <v>605</v>
      </c>
      <c r="X12" t="s">
        <v>701</v>
      </c>
      <c r="Z12" t="s">
        <v>721</v>
      </c>
    </row>
    <row r="13" spans="1:28" x14ac:dyDescent="0.25">
      <c r="A13" t="s">
        <v>701</v>
      </c>
      <c r="W13" t="s">
        <v>605</v>
      </c>
      <c r="X13" t="s">
        <v>701</v>
      </c>
      <c r="Z13" t="s">
        <v>723</v>
      </c>
    </row>
    <row r="14" spans="1:28" x14ac:dyDescent="0.25">
      <c r="A14" t="s">
        <v>701</v>
      </c>
      <c r="W14" t="s">
        <v>605</v>
      </c>
      <c r="X14" t="s">
        <v>701</v>
      </c>
      <c r="Z14" t="s">
        <v>727</v>
      </c>
    </row>
    <row r="15" spans="1:28" x14ac:dyDescent="0.25">
      <c r="A15">
        <v>2</v>
      </c>
      <c r="W15" t="s">
        <v>607</v>
      </c>
      <c r="X15" t="s">
        <v>701</v>
      </c>
    </row>
    <row r="16" spans="1:28" x14ac:dyDescent="0.25">
      <c r="A16" t="s">
        <v>706</v>
      </c>
      <c r="W16" t="s">
        <v>606</v>
      </c>
      <c r="X16" t="s">
        <v>701</v>
      </c>
      <c r="Z16" t="s">
        <v>706</v>
      </c>
    </row>
    <row r="17" spans="1:26" x14ac:dyDescent="0.25">
      <c r="A17">
        <v>8</v>
      </c>
      <c r="S17">
        <v>8</v>
      </c>
      <c r="W17" t="s">
        <v>602</v>
      </c>
      <c r="X17" t="s">
        <v>701</v>
      </c>
      <c r="Z17" t="s">
        <v>707</v>
      </c>
    </row>
    <row r="18" spans="1:26" x14ac:dyDescent="0.25">
      <c r="A18">
        <v>8</v>
      </c>
      <c r="S18">
        <v>8</v>
      </c>
      <c r="W18" t="s">
        <v>602</v>
      </c>
      <c r="X18" t="s">
        <v>701</v>
      </c>
      <c r="Z18" t="s">
        <v>699</v>
      </c>
    </row>
    <row r="19" spans="1:26" x14ac:dyDescent="0.25">
      <c r="A19">
        <v>8</v>
      </c>
      <c r="S19">
        <v>8</v>
      </c>
      <c r="W19" t="s">
        <v>602</v>
      </c>
      <c r="X19" t="s">
        <v>701</v>
      </c>
      <c r="Z19" t="s">
        <v>721</v>
      </c>
    </row>
    <row r="20" spans="1:26" x14ac:dyDescent="0.25">
      <c r="A20">
        <v>8</v>
      </c>
      <c r="S20">
        <v>8</v>
      </c>
      <c r="W20" t="s">
        <v>602</v>
      </c>
      <c r="X20" t="s">
        <v>701</v>
      </c>
      <c r="Z20" t="s">
        <v>715</v>
      </c>
    </row>
    <row r="21" spans="1:26" x14ac:dyDescent="0.25">
      <c r="A21">
        <v>8</v>
      </c>
      <c r="S21">
        <v>8</v>
      </c>
      <c r="W21" t="s">
        <v>602</v>
      </c>
      <c r="X21" t="s">
        <v>701</v>
      </c>
      <c r="Z21" t="s">
        <v>729</v>
      </c>
    </row>
    <row r="22" spans="1:26" x14ac:dyDescent="0.25">
      <c r="A22" t="s">
        <v>694</v>
      </c>
      <c r="W22" t="s">
        <v>605</v>
      </c>
      <c r="X22" t="s">
        <v>694</v>
      </c>
      <c r="Z22" t="s">
        <v>690</v>
      </c>
    </row>
    <row r="23" spans="1:26" x14ac:dyDescent="0.25">
      <c r="A23">
        <v>3</v>
      </c>
      <c r="W23" t="s">
        <v>607</v>
      </c>
      <c r="X23" t="s">
        <v>694</v>
      </c>
    </row>
    <row r="24" spans="1:26" x14ac:dyDescent="0.25">
      <c r="A24" t="s">
        <v>728</v>
      </c>
      <c r="W24" t="s">
        <v>606</v>
      </c>
      <c r="X24" t="s">
        <v>694</v>
      </c>
      <c r="Z24" t="s">
        <v>728</v>
      </c>
    </row>
    <row r="25" spans="1:26" x14ac:dyDescent="0.25">
      <c r="A25">
        <v>10</v>
      </c>
      <c r="S25">
        <v>10</v>
      </c>
      <c r="W25" t="s">
        <v>602</v>
      </c>
      <c r="X25" t="s">
        <v>694</v>
      </c>
      <c r="Z25" t="s">
        <v>713</v>
      </c>
    </row>
    <row r="26" spans="1:26" x14ac:dyDescent="0.25">
      <c r="A26">
        <v>10</v>
      </c>
      <c r="S26">
        <v>10</v>
      </c>
      <c r="W26" t="s">
        <v>602</v>
      </c>
      <c r="X26" t="s">
        <v>694</v>
      </c>
      <c r="Z26" t="s">
        <v>715</v>
      </c>
    </row>
    <row r="27" spans="1:26" x14ac:dyDescent="0.25">
      <c r="A27">
        <v>10</v>
      </c>
      <c r="S27">
        <v>10</v>
      </c>
      <c r="W27" t="s">
        <v>602</v>
      </c>
      <c r="X27" t="s">
        <v>694</v>
      </c>
      <c r="Z27" t="s">
        <v>718</v>
      </c>
    </row>
    <row r="28" spans="1:26" x14ac:dyDescent="0.25">
      <c r="A28" t="s">
        <v>705</v>
      </c>
      <c r="W28" t="s">
        <v>605</v>
      </c>
      <c r="X28" t="s">
        <v>705</v>
      </c>
      <c r="Z28" t="s">
        <v>699</v>
      </c>
    </row>
    <row r="29" spans="1:26" x14ac:dyDescent="0.25">
      <c r="A29" t="s">
        <v>705</v>
      </c>
      <c r="W29" t="s">
        <v>605</v>
      </c>
      <c r="X29" t="s">
        <v>705</v>
      </c>
      <c r="Z29" t="s">
        <v>723</v>
      </c>
    </row>
    <row r="30" spans="1:26" x14ac:dyDescent="0.25">
      <c r="A30">
        <v>4</v>
      </c>
      <c r="W30" t="s">
        <v>607</v>
      </c>
      <c r="X30" t="s">
        <v>705</v>
      </c>
    </row>
    <row r="31" spans="1:26" x14ac:dyDescent="0.25">
      <c r="A31" t="s">
        <v>707</v>
      </c>
      <c r="W31" t="s">
        <v>606</v>
      </c>
      <c r="X31" t="s">
        <v>705</v>
      </c>
      <c r="Z31" t="s">
        <v>707</v>
      </c>
    </row>
    <row r="32" spans="1:26" x14ac:dyDescent="0.25">
      <c r="A32">
        <v>12</v>
      </c>
      <c r="S32">
        <v>12</v>
      </c>
      <c r="W32" t="s">
        <v>602</v>
      </c>
      <c r="X32" t="s">
        <v>705</v>
      </c>
      <c r="Z32" t="s">
        <v>699</v>
      </c>
    </row>
    <row r="33" spans="1:26" x14ac:dyDescent="0.25">
      <c r="A33">
        <v>12</v>
      </c>
      <c r="S33">
        <v>12</v>
      </c>
      <c r="W33" t="s">
        <v>602</v>
      </c>
      <c r="X33" t="s">
        <v>705</v>
      </c>
      <c r="Z33" t="s">
        <v>706</v>
      </c>
    </row>
    <row r="34" spans="1:26" x14ac:dyDescent="0.25">
      <c r="A34">
        <v>12</v>
      </c>
      <c r="S34">
        <v>12</v>
      </c>
      <c r="W34" t="s">
        <v>602</v>
      </c>
      <c r="X34" t="s">
        <v>705</v>
      </c>
      <c r="Z34" t="s">
        <v>721</v>
      </c>
    </row>
    <row r="35" spans="1:26" x14ac:dyDescent="0.25">
      <c r="A35">
        <v>12</v>
      </c>
      <c r="S35">
        <v>12</v>
      </c>
      <c r="W35" t="s">
        <v>602</v>
      </c>
      <c r="X35" t="s">
        <v>705</v>
      </c>
      <c r="Z35" t="s">
        <v>723</v>
      </c>
    </row>
    <row r="36" spans="1:26" x14ac:dyDescent="0.25">
      <c r="A36">
        <v>12</v>
      </c>
      <c r="S36">
        <v>12</v>
      </c>
      <c r="W36" t="s">
        <v>602</v>
      </c>
      <c r="X36" t="s">
        <v>705</v>
      </c>
      <c r="Z36" t="s">
        <v>727</v>
      </c>
    </row>
    <row r="37" spans="1:26" x14ac:dyDescent="0.25">
      <c r="A37" t="s">
        <v>711</v>
      </c>
      <c r="W37" t="s">
        <v>605</v>
      </c>
      <c r="X37" t="s">
        <v>711</v>
      </c>
      <c r="Z37" t="s">
        <v>699</v>
      </c>
    </row>
    <row r="38" spans="1:26" x14ac:dyDescent="0.25">
      <c r="A38">
        <v>5</v>
      </c>
      <c r="W38" t="s">
        <v>607</v>
      </c>
      <c r="X38" t="s">
        <v>711</v>
      </c>
    </row>
    <row r="39" spans="1:26" x14ac:dyDescent="0.25">
      <c r="A39" t="s">
        <v>718</v>
      </c>
      <c r="W39" t="s">
        <v>606</v>
      </c>
      <c r="X39" t="s">
        <v>711</v>
      </c>
      <c r="Z39" t="s">
        <v>718</v>
      </c>
    </row>
    <row r="40" spans="1:26" x14ac:dyDescent="0.25">
      <c r="A40">
        <v>14</v>
      </c>
      <c r="S40">
        <v>14</v>
      </c>
      <c r="W40" t="s">
        <v>602</v>
      </c>
      <c r="X40" t="s">
        <v>711</v>
      </c>
      <c r="Z40" t="s">
        <v>690</v>
      </c>
    </row>
    <row r="41" spans="1:26" x14ac:dyDescent="0.25">
      <c r="A41" t="s">
        <v>729</v>
      </c>
      <c r="W41" t="s">
        <v>605</v>
      </c>
      <c r="X41" t="s">
        <v>729</v>
      </c>
      <c r="Z41" t="s">
        <v>729</v>
      </c>
    </row>
    <row r="42" spans="1:26" x14ac:dyDescent="0.25">
      <c r="A42">
        <v>6</v>
      </c>
      <c r="W42" t="s">
        <v>607</v>
      </c>
      <c r="X42" t="s">
        <v>729</v>
      </c>
    </row>
    <row r="43" spans="1:26" x14ac:dyDescent="0.25">
      <c r="A43" t="s">
        <v>723</v>
      </c>
      <c r="W43" t="s">
        <v>606</v>
      </c>
      <c r="X43" t="s">
        <v>729</v>
      </c>
      <c r="Z43" t="s">
        <v>723</v>
      </c>
    </row>
    <row r="44" spans="1:26" x14ac:dyDescent="0.25">
      <c r="A44">
        <v>16</v>
      </c>
      <c r="S44">
        <v>16</v>
      </c>
      <c r="W44" t="s">
        <v>602</v>
      </c>
      <c r="X44" t="s">
        <v>729</v>
      </c>
      <c r="Z44" t="s">
        <v>699</v>
      </c>
    </row>
    <row r="45" spans="1:26" x14ac:dyDescent="0.25">
      <c r="A45">
        <v>16</v>
      </c>
      <c r="S45">
        <v>16</v>
      </c>
      <c r="W45" t="s">
        <v>602</v>
      </c>
      <c r="X45" t="s">
        <v>729</v>
      </c>
      <c r="Z45" t="s">
        <v>723</v>
      </c>
    </row>
    <row r="46" spans="1:26" x14ac:dyDescent="0.25">
      <c r="A46" t="s">
        <v>715</v>
      </c>
      <c r="W46" t="s">
        <v>605</v>
      </c>
      <c r="X46" t="s">
        <v>715</v>
      </c>
      <c r="Z46" t="s">
        <v>715</v>
      </c>
    </row>
    <row r="47" spans="1:26" x14ac:dyDescent="0.25">
      <c r="A47">
        <v>7</v>
      </c>
      <c r="W47" t="s">
        <v>607</v>
      </c>
      <c r="X47" t="s">
        <v>715</v>
      </c>
    </row>
    <row r="48" spans="1:26" x14ac:dyDescent="0.25">
      <c r="A48" t="s">
        <v>721</v>
      </c>
      <c r="W48" t="s">
        <v>606</v>
      </c>
      <c r="X48" t="s">
        <v>715</v>
      </c>
      <c r="Z48" t="s">
        <v>721</v>
      </c>
    </row>
    <row r="49" spans="1:26" x14ac:dyDescent="0.25">
      <c r="A49">
        <v>18</v>
      </c>
      <c r="S49">
        <v>18</v>
      </c>
      <c r="W49" t="s">
        <v>602</v>
      </c>
      <c r="X49" t="s">
        <v>715</v>
      </c>
      <c r="Z49" t="s">
        <v>699</v>
      </c>
    </row>
    <row r="50" spans="1:26" x14ac:dyDescent="0.25">
      <c r="A50" t="s">
        <v>713</v>
      </c>
      <c r="W50" t="s">
        <v>605</v>
      </c>
      <c r="X50" t="s">
        <v>713</v>
      </c>
      <c r="Z50" t="s">
        <v>713</v>
      </c>
    </row>
    <row r="51" spans="1:26" x14ac:dyDescent="0.25">
      <c r="A51">
        <v>8</v>
      </c>
      <c r="W51" t="s">
        <v>607</v>
      </c>
      <c r="X51" t="s">
        <v>713</v>
      </c>
    </row>
    <row r="52" spans="1:26" x14ac:dyDescent="0.25">
      <c r="A52" t="s">
        <v>722</v>
      </c>
      <c r="W52" t="s">
        <v>606</v>
      </c>
      <c r="X52" t="s">
        <v>713</v>
      </c>
      <c r="Z52" t="s">
        <v>722</v>
      </c>
    </row>
    <row r="53" spans="1:26" x14ac:dyDescent="0.25">
      <c r="A53" t="s">
        <v>698</v>
      </c>
      <c r="W53" t="s">
        <v>605</v>
      </c>
      <c r="X53" t="s">
        <v>698</v>
      </c>
      <c r="Z53" t="s">
        <v>695</v>
      </c>
    </row>
    <row r="54" spans="1:26" x14ac:dyDescent="0.25">
      <c r="A54" t="s">
        <v>698</v>
      </c>
      <c r="W54" t="s">
        <v>605</v>
      </c>
      <c r="X54" t="s">
        <v>698</v>
      </c>
      <c r="Z54" t="s">
        <v>699</v>
      </c>
    </row>
    <row r="55" spans="1:26" x14ac:dyDescent="0.25">
      <c r="A55" t="s">
        <v>698</v>
      </c>
      <c r="W55" t="s">
        <v>605</v>
      </c>
      <c r="X55" t="s">
        <v>698</v>
      </c>
      <c r="Z55" t="s">
        <v>706</v>
      </c>
    </row>
    <row r="56" spans="1:26" x14ac:dyDescent="0.25">
      <c r="A56" t="s">
        <v>698</v>
      </c>
      <c r="W56" t="s">
        <v>605</v>
      </c>
      <c r="X56" t="s">
        <v>698</v>
      </c>
      <c r="Z56" t="s">
        <v>722</v>
      </c>
    </row>
    <row r="57" spans="1:26" x14ac:dyDescent="0.25">
      <c r="A57" t="s">
        <v>698</v>
      </c>
      <c r="W57" t="s">
        <v>605</v>
      </c>
      <c r="X57" t="s">
        <v>698</v>
      </c>
      <c r="Z57" t="s">
        <v>723</v>
      </c>
    </row>
    <row r="58" spans="1:26" x14ac:dyDescent="0.25">
      <c r="A58" t="s">
        <v>698</v>
      </c>
      <c r="W58" t="s">
        <v>605</v>
      </c>
      <c r="X58" t="s">
        <v>698</v>
      </c>
      <c r="Z58" t="s">
        <v>728</v>
      </c>
    </row>
    <row r="59" spans="1:26" x14ac:dyDescent="0.25">
      <c r="A59">
        <v>9</v>
      </c>
      <c r="W59" t="s">
        <v>607</v>
      </c>
      <c r="X59" t="s">
        <v>698</v>
      </c>
    </row>
    <row r="60" spans="1:26" x14ac:dyDescent="0.25">
      <c r="A60" t="s">
        <v>699</v>
      </c>
      <c r="W60" t="s">
        <v>606</v>
      </c>
      <c r="X60" t="s">
        <v>698</v>
      </c>
      <c r="Z60" t="s">
        <v>699</v>
      </c>
    </row>
    <row r="61" spans="1:26" x14ac:dyDescent="0.25">
      <c r="A61" t="s">
        <v>709</v>
      </c>
      <c r="W61" t="s">
        <v>605</v>
      </c>
      <c r="X61" t="s">
        <v>709</v>
      </c>
      <c r="Z61" t="s">
        <v>707</v>
      </c>
    </row>
    <row r="62" spans="1:26" x14ac:dyDescent="0.25">
      <c r="A62" t="s">
        <v>709</v>
      </c>
      <c r="W62" t="s">
        <v>605</v>
      </c>
      <c r="X62" t="s">
        <v>709</v>
      </c>
      <c r="Z62" t="s">
        <v>699</v>
      </c>
    </row>
    <row r="63" spans="1:26" x14ac:dyDescent="0.25">
      <c r="A63" t="s">
        <v>709</v>
      </c>
      <c r="W63" t="s">
        <v>605</v>
      </c>
      <c r="X63" t="s">
        <v>709</v>
      </c>
      <c r="Z63" t="s">
        <v>721</v>
      </c>
    </row>
    <row r="64" spans="1:26" x14ac:dyDescent="0.25">
      <c r="A64">
        <v>10</v>
      </c>
      <c r="W64" t="s">
        <v>607</v>
      </c>
      <c r="X64" t="s">
        <v>709</v>
      </c>
    </row>
    <row r="65" spans="1:26" x14ac:dyDescent="0.25">
      <c r="A65" t="s">
        <v>729</v>
      </c>
      <c r="W65" t="s">
        <v>606</v>
      </c>
      <c r="X65" t="s">
        <v>709</v>
      </c>
      <c r="Z65" t="s">
        <v>729</v>
      </c>
    </row>
    <row r="66" spans="1:26" x14ac:dyDescent="0.25">
      <c r="A66">
        <v>11</v>
      </c>
      <c r="W66" t="s">
        <v>607</v>
      </c>
      <c r="X66">
        <v>11</v>
      </c>
    </row>
    <row r="67" spans="1:26" x14ac:dyDescent="0.25">
      <c r="A67" t="s">
        <v>715</v>
      </c>
      <c r="W67" t="s">
        <v>606</v>
      </c>
      <c r="X67">
        <v>11</v>
      </c>
      <c r="Z67" t="s">
        <v>715</v>
      </c>
    </row>
    <row r="68" spans="1:26" x14ac:dyDescent="0.25">
      <c r="A68">
        <v>12</v>
      </c>
      <c r="W68" t="s">
        <v>607</v>
      </c>
      <c r="X68">
        <v>12</v>
      </c>
    </row>
    <row r="69" spans="1:26" x14ac:dyDescent="0.25">
      <c r="A69" t="s">
        <v>727</v>
      </c>
      <c r="W69" t="s">
        <v>606</v>
      </c>
      <c r="X69">
        <v>12</v>
      </c>
      <c r="Z69" t="s">
        <v>727</v>
      </c>
    </row>
    <row r="70" spans="1:26" x14ac:dyDescent="0.25">
      <c r="A70">
        <v>13</v>
      </c>
      <c r="W70" t="s">
        <v>607</v>
      </c>
      <c r="X70">
        <v>13</v>
      </c>
    </row>
    <row r="71" spans="1:26" x14ac:dyDescent="0.25">
      <c r="A71" t="s">
        <v>713</v>
      </c>
      <c r="W71" t="s">
        <v>606</v>
      </c>
      <c r="X71">
        <v>13</v>
      </c>
      <c r="Z71" t="s">
        <v>713</v>
      </c>
    </row>
    <row r="72" spans="1:26" x14ac:dyDescent="0.25">
      <c r="A72">
        <v>14</v>
      </c>
      <c r="W72" t="s">
        <v>607</v>
      </c>
      <c r="X72">
        <v>14</v>
      </c>
    </row>
    <row r="73" spans="1:26" x14ac:dyDescent="0.25">
      <c r="A73" t="s">
        <v>695</v>
      </c>
      <c r="W73" t="s">
        <v>606</v>
      </c>
      <c r="X73">
        <v>14</v>
      </c>
      <c r="Z73" t="s">
        <v>695</v>
      </c>
    </row>
    <row r="74" spans="1:26" x14ac:dyDescent="0.25">
      <c r="A74">
        <v>15</v>
      </c>
      <c r="W74" t="s">
        <v>607</v>
      </c>
      <c r="X74">
        <v>15</v>
      </c>
    </row>
    <row r="75" spans="1:26" x14ac:dyDescent="0.25">
      <c r="A75">
        <v>16</v>
      </c>
      <c r="W75" t="s">
        <v>607</v>
      </c>
      <c r="X75">
        <v>16</v>
      </c>
    </row>
    <row r="76" spans="1:26" x14ac:dyDescent="0.25">
      <c r="A76">
        <v>17</v>
      </c>
      <c r="W76" t="s">
        <v>607</v>
      </c>
      <c r="X76">
        <v>17</v>
      </c>
    </row>
    <row r="77" spans="1:26" x14ac:dyDescent="0.25">
      <c r="A77">
        <v>18</v>
      </c>
      <c r="W77" t="s">
        <v>607</v>
      </c>
      <c r="X77">
        <v>18</v>
      </c>
    </row>
    <row r="78" spans="1:26" x14ac:dyDescent="0.25">
      <c r="A78">
        <v>19</v>
      </c>
      <c r="W78" t="s">
        <v>607</v>
      </c>
      <c r="X78">
        <v>19</v>
      </c>
    </row>
    <row r="79" spans="1:26" x14ac:dyDescent="0.25">
      <c r="A79">
        <v>20</v>
      </c>
      <c r="W79" t="s">
        <v>607</v>
      </c>
      <c r="X79">
        <v>20</v>
      </c>
    </row>
    <row r="80" spans="1:26" x14ac:dyDescent="0.25">
      <c r="A80">
        <v>21</v>
      </c>
      <c r="W80" t="s">
        <v>607</v>
      </c>
      <c r="X80">
        <v>21</v>
      </c>
    </row>
    <row r="81" spans="1:24" x14ac:dyDescent="0.25">
      <c r="A81">
        <v>22</v>
      </c>
      <c r="W81" t="s">
        <v>607</v>
      </c>
      <c r="X81">
        <v>22</v>
      </c>
    </row>
    <row r="82" spans="1:24" x14ac:dyDescent="0.25">
      <c r="A82">
        <v>23</v>
      </c>
      <c r="W82" t="s">
        <v>607</v>
      </c>
      <c r="X82">
        <v>23</v>
      </c>
    </row>
    <row r="83" spans="1:24" x14ac:dyDescent="0.25">
      <c r="A83">
        <v>24</v>
      </c>
      <c r="W83" t="s">
        <v>607</v>
      </c>
      <c r="X83">
        <v>24</v>
      </c>
    </row>
    <row r="84" spans="1:24" x14ac:dyDescent="0.25">
      <c r="A84">
        <v>25</v>
      </c>
      <c r="W84" t="s">
        <v>607</v>
      </c>
      <c r="X84">
        <v>25</v>
      </c>
    </row>
    <row r="85" spans="1:24" x14ac:dyDescent="0.25">
      <c r="A85">
        <v>26</v>
      </c>
      <c r="W85" t="s">
        <v>607</v>
      </c>
      <c r="X85">
        <v>26</v>
      </c>
    </row>
    <row r="86" spans="1:24" x14ac:dyDescent="0.25">
      <c r="A86">
        <v>27</v>
      </c>
      <c r="W86" t="s">
        <v>607</v>
      </c>
      <c r="X86">
        <v>27</v>
      </c>
    </row>
    <row r="87" spans="1:24" x14ac:dyDescent="0.25">
      <c r="A87">
        <v>28</v>
      </c>
      <c r="W87" t="s">
        <v>607</v>
      </c>
      <c r="X87">
        <v>28</v>
      </c>
    </row>
    <row r="88" spans="1:24" x14ac:dyDescent="0.25">
      <c r="A88">
        <v>29</v>
      </c>
      <c r="W88" t="s">
        <v>607</v>
      </c>
      <c r="X88">
        <v>29</v>
      </c>
    </row>
    <row r="89" spans="1:24" x14ac:dyDescent="0.25">
      <c r="A89">
        <v>30</v>
      </c>
      <c r="W89" t="s">
        <v>607</v>
      </c>
      <c r="X89">
        <v>30</v>
      </c>
    </row>
    <row r="90" spans="1:24" x14ac:dyDescent="0.25">
      <c r="A90">
        <v>31</v>
      </c>
      <c r="W90" t="s">
        <v>607</v>
      </c>
      <c r="X90">
        <v>31</v>
      </c>
    </row>
    <row r="91" spans="1:24" x14ac:dyDescent="0.25">
      <c r="A91">
        <v>32</v>
      </c>
      <c r="W91" t="s">
        <v>607</v>
      </c>
      <c r="X91">
        <v>32</v>
      </c>
    </row>
    <row r="92" spans="1:24" x14ac:dyDescent="0.25">
      <c r="A92">
        <v>33</v>
      </c>
      <c r="W92" t="s">
        <v>607</v>
      </c>
      <c r="X92">
        <v>33</v>
      </c>
    </row>
    <row r="93" spans="1:24" x14ac:dyDescent="0.25">
      <c r="A93">
        <v>34</v>
      </c>
      <c r="W93" t="s">
        <v>607</v>
      </c>
      <c r="X93">
        <v>34</v>
      </c>
    </row>
    <row r="94" spans="1:24" x14ac:dyDescent="0.25">
      <c r="A94">
        <v>35</v>
      </c>
      <c r="W94" t="s">
        <v>607</v>
      </c>
      <c r="X94">
        <v>35</v>
      </c>
    </row>
    <row r="95" spans="1:24" x14ac:dyDescent="0.25">
      <c r="A95">
        <v>36</v>
      </c>
      <c r="W95" t="s">
        <v>607</v>
      </c>
      <c r="X95">
        <v>36</v>
      </c>
    </row>
    <row r="96" spans="1:24" x14ac:dyDescent="0.25">
      <c r="A96">
        <v>37</v>
      </c>
      <c r="W96" t="s">
        <v>607</v>
      </c>
      <c r="X96">
        <v>37</v>
      </c>
    </row>
    <row r="97" spans="1:24" x14ac:dyDescent="0.25">
      <c r="A97">
        <v>38</v>
      </c>
      <c r="W97" t="s">
        <v>607</v>
      </c>
      <c r="X97">
        <v>38</v>
      </c>
    </row>
    <row r="98" spans="1:24" x14ac:dyDescent="0.25">
      <c r="A98">
        <v>39</v>
      </c>
      <c r="W98" t="s">
        <v>607</v>
      </c>
      <c r="X98">
        <v>39</v>
      </c>
    </row>
    <row r="99" spans="1:24" x14ac:dyDescent="0.25">
      <c r="A99">
        <v>40</v>
      </c>
      <c r="W99" t="s">
        <v>607</v>
      </c>
      <c r="X99">
        <v>40</v>
      </c>
    </row>
    <row r="100" spans="1:24" x14ac:dyDescent="0.25">
      <c r="A100">
        <v>41</v>
      </c>
      <c r="W100" t="s">
        <v>607</v>
      </c>
      <c r="X100">
        <v>41</v>
      </c>
    </row>
    <row r="101" spans="1:24" x14ac:dyDescent="0.25">
      <c r="A101">
        <v>42</v>
      </c>
      <c r="W101" t="s">
        <v>607</v>
      </c>
      <c r="X101">
        <v>42</v>
      </c>
    </row>
    <row r="102" spans="1:24" x14ac:dyDescent="0.25">
      <c r="A102">
        <v>43</v>
      </c>
      <c r="W102" t="s">
        <v>607</v>
      </c>
      <c r="X102">
        <v>43</v>
      </c>
    </row>
    <row r="103" spans="1:24" x14ac:dyDescent="0.25">
      <c r="A103">
        <v>44</v>
      </c>
      <c r="W103" t="s">
        <v>607</v>
      </c>
      <c r="X103">
        <v>44</v>
      </c>
    </row>
    <row r="104" spans="1:24" x14ac:dyDescent="0.25">
      <c r="A104">
        <v>45</v>
      </c>
      <c r="W104" t="s">
        <v>607</v>
      </c>
      <c r="X104">
        <v>45</v>
      </c>
    </row>
    <row r="105" spans="1:24" x14ac:dyDescent="0.25">
      <c r="A105">
        <v>46</v>
      </c>
      <c r="W105" t="s">
        <v>607</v>
      </c>
      <c r="X105">
        <v>46</v>
      </c>
    </row>
    <row r="106" spans="1:24" x14ac:dyDescent="0.25">
      <c r="A106">
        <v>47</v>
      </c>
      <c r="W106" t="s">
        <v>607</v>
      </c>
      <c r="X106">
        <v>47</v>
      </c>
    </row>
    <row r="107" spans="1:24" x14ac:dyDescent="0.25">
      <c r="A107">
        <v>48</v>
      </c>
      <c r="W107" t="s">
        <v>607</v>
      </c>
      <c r="X107">
        <v>48</v>
      </c>
    </row>
    <row r="108" spans="1:24" x14ac:dyDescent="0.25">
      <c r="A108">
        <v>49</v>
      </c>
      <c r="W108" t="s">
        <v>607</v>
      </c>
      <c r="X108">
        <v>49</v>
      </c>
    </row>
    <row r="109" spans="1:24" x14ac:dyDescent="0.25">
      <c r="A109">
        <v>50</v>
      </c>
      <c r="W109" t="s">
        <v>607</v>
      </c>
      <c r="X109">
        <v>50</v>
      </c>
    </row>
    <row r="110" spans="1:24" x14ac:dyDescent="0.25">
      <c r="A110">
        <v>51</v>
      </c>
      <c r="W110" t="s">
        <v>607</v>
      </c>
      <c r="X110">
        <v>51</v>
      </c>
    </row>
    <row r="111" spans="1:24" x14ac:dyDescent="0.25">
      <c r="A111">
        <v>52</v>
      </c>
      <c r="W111" t="s">
        <v>607</v>
      </c>
      <c r="X111">
        <v>52</v>
      </c>
    </row>
    <row r="112" spans="1:24" x14ac:dyDescent="0.25">
      <c r="A112">
        <v>53</v>
      </c>
      <c r="W112" t="s">
        <v>607</v>
      </c>
      <c r="X112">
        <v>53</v>
      </c>
    </row>
    <row r="113" spans="1:24" x14ac:dyDescent="0.25">
      <c r="A113">
        <v>54</v>
      </c>
      <c r="W113" t="s">
        <v>607</v>
      </c>
      <c r="X113">
        <v>54</v>
      </c>
    </row>
    <row r="114" spans="1:24" x14ac:dyDescent="0.25">
      <c r="A114">
        <v>55</v>
      </c>
      <c r="W114" t="s">
        <v>607</v>
      </c>
      <c r="X114">
        <v>55</v>
      </c>
    </row>
    <row r="115" spans="1:24" x14ac:dyDescent="0.25">
      <c r="A115">
        <v>56</v>
      </c>
      <c r="W115" t="s">
        <v>607</v>
      </c>
      <c r="X115">
        <v>56</v>
      </c>
    </row>
    <row r="116" spans="1:24" x14ac:dyDescent="0.25">
      <c r="A116">
        <v>57</v>
      </c>
      <c r="W116" t="s">
        <v>607</v>
      </c>
      <c r="X116">
        <v>57</v>
      </c>
    </row>
    <row r="117" spans="1:24" x14ac:dyDescent="0.25">
      <c r="A117">
        <v>58</v>
      </c>
      <c r="W117" t="s">
        <v>607</v>
      </c>
      <c r="X117">
        <v>58</v>
      </c>
    </row>
    <row r="118" spans="1:24" x14ac:dyDescent="0.25">
      <c r="A118">
        <v>59</v>
      </c>
      <c r="W118" t="s">
        <v>607</v>
      </c>
      <c r="X118">
        <v>59</v>
      </c>
    </row>
    <row r="119" spans="1:24" x14ac:dyDescent="0.25">
      <c r="A119">
        <v>60</v>
      </c>
      <c r="W119" t="s">
        <v>607</v>
      </c>
      <c r="X119">
        <v>60</v>
      </c>
    </row>
    <row r="120" spans="1:24" x14ac:dyDescent="0.25">
      <c r="A120">
        <v>61</v>
      </c>
      <c r="W120" t="s">
        <v>607</v>
      </c>
      <c r="X120">
        <v>61</v>
      </c>
    </row>
    <row r="121" spans="1:24" x14ac:dyDescent="0.25">
      <c r="A121">
        <v>62</v>
      </c>
      <c r="W121" t="s">
        <v>607</v>
      </c>
      <c r="X121">
        <v>62</v>
      </c>
    </row>
    <row r="122" spans="1:24" x14ac:dyDescent="0.25">
      <c r="A122">
        <v>63</v>
      </c>
      <c r="W122" t="s">
        <v>607</v>
      </c>
      <c r="X122">
        <v>63</v>
      </c>
    </row>
    <row r="123" spans="1:24" x14ac:dyDescent="0.25">
      <c r="A123">
        <v>64</v>
      </c>
      <c r="W123" t="s">
        <v>607</v>
      </c>
      <c r="X123">
        <v>64</v>
      </c>
    </row>
    <row r="124" spans="1:24" x14ac:dyDescent="0.25">
      <c r="A124">
        <v>65</v>
      </c>
      <c r="W124" t="s">
        <v>607</v>
      </c>
      <c r="X124">
        <v>65</v>
      </c>
    </row>
    <row r="125" spans="1:24" x14ac:dyDescent="0.25">
      <c r="A125">
        <v>66</v>
      </c>
      <c r="W125" t="s">
        <v>607</v>
      </c>
      <c r="X125">
        <v>66</v>
      </c>
    </row>
    <row r="126" spans="1:24" x14ac:dyDescent="0.25">
      <c r="A126">
        <v>67</v>
      </c>
      <c r="W126" t="s">
        <v>607</v>
      </c>
      <c r="X126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SD</vt:lpstr>
      <vt:lpstr>SD (AU)</vt:lpstr>
      <vt:lpstr>Level</vt:lpstr>
      <vt:lpstr>Level Wise PSI</vt:lpstr>
      <vt:lpstr>Lap</vt:lpstr>
      <vt:lpstr>Grade</vt:lpstr>
      <vt:lpstr>Coupler</vt:lpstr>
      <vt:lpstr>Data</vt:lpstr>
      <vt:lpstr>Ties</vt:lpstr>
      <vt:lpstr>Take-off</vt:lpstr>
      <vt:lpstr>Take-off-Edit</vt:lpstr>
      <vt:lpstr>Soule</vt:lpstr>
      <vt:lpstr>TiesFinal</vt:lpstr>
      <vt:lpstr>A615GR100</vt:lpstr>
      <vt:lpstr>A615GR60</vt:lpstr>
      <vt:lpstr>A615GR75</vt:lpstr>
      <vt:lpstr>A615GR80</vt:lpstr>
      <vt:lpstr>A706GR60</vt:lpstr>
      <vt:lpstr>A706GR80</vt:lpstr>
      <vt:lpstr>BCName</vt:lpstr>
      <vt:lpstr>BSize</vt:lpstr>
      <vt:lpstr>BSizeO</vt:lpstr>
      <vt:lpstr>CBSize</vt:lpstr>
      <vt:lpstr>CCFCoupler</vt:lpstr>
      <vt:lpstr>CCMFM</vt:lpstr>
      <vt:lpstr>CCName</vt:lpstr>
      <vt:lpstr>CCoupler</vt:lpstr>
      <vt:lpstr>CLop</vt:lpstr>
      <vt:lpstr>CLPR</vt:lpstr>
      <vt:lpstr>CName</vt:lpstr>
      <vt:lpstr>ColumnSize</vt:lpstr>
      <vt:lpstr>ColumnType</vt:lpstr>
      <vt:lpstr>CountZone</vt:lpstr>
      <vt:lpstr>Coupler</vt:lpstr>
      <vt:lpstr>Customername</vt:lpstr>
      <vt:lpstr>DwlEndCon</vt:lpstr>
      <vt:lpstr>ElementName</vt:lpstr>
      <vt:lpstr>EName</vt:lpstr>
      <vt:lpstr>EndType</vt:lpstr>
      <vt:lpstr>Grade</vt:lpstr>
      <vt:lpstr>Grade_VT</vt:lpstr>
      <vt:lpstr>Lap</vt:lpstr>
      <vt:lpstr>LEVEL</vt:lpstr>
      <vt:lpstr>Lift</vt:lpstr>
      <vt:lpstr>LiftO</vt:lpstr>
      <vt:lpstr>PSI</vt:lpstr>
      <vt:lpstr>PSIPL</vt:lpstr>
      <vt:lpstr>Quantity</vt:lpstr>
      <vt:lpstr>S135Range</vt:lpstr>
      <vt:lpstr>S180Range</vt:lpstr>
      <vt:lpstr>S90Range</vt:lpstr>
      <vt:lpstr>SAC</vt:lpstr>
      <vt:lpstr>TCName</vt:lpstr>
      <vt:lpstr>TData</vt:lpstr>
      <vt:lpstr>TDBarSize</vt:lpstr>
      <vt:lpstr>TDBarSizeStatus</vt:lpstr>
      <vt:lpstr>TDL</vt:lpstr>
      <vt:lpstr>TDLevel</vt:lpstr>
      <vt:lpstr>TDLevelStatus</vt:lpstr>
      <vt:lpstr>TDQTY</vt:lpstr>
      <vt:lpstr>TDTH</vt:lpstr>
      <vt:lpstr>TDVertBars</vt:lpstr>
      <vt:lpstr>TDwlBSize</vt:lpstr>
      <vt:lpstr>TDwlCount</vt:lpstr>
      <vt:lpstr>THead</vt:lpstr>
      <vt:lpstr>Ties_Type01</vt:lpstr>
      <vt:lpstr>TiesType</vt:lpstr>
      <vt:lpstr>TopEnd</vt:lpstr>
      <vt:lpstr>TSize</vt:lpstr>
      <vt:lpstr>Unit_Wt</vt:lpstr>
      <vt:lpstr>VDBarSize</vt:lpstr>
      <vt:lpstr>VDBarSizeStatus</vt:lpstr>
      <vt:lpstr>VDLevel</vt:lpstr>
      <vt:lpstr>VDLevelStatus</vt:lpstr>
      <vt:lpstr>verticalDowel</vt:lpstr>
      <vt:lpstr>Zone</vt:lpstr>
      <vt:lpstr>Zone_V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 J</dc:creator>
  <cp:lastModifiedBy>Kartickraj A</cp:lastModifiedBy>
  <dcterms:created xsi:type="dcterms:W3CDTF">2024-03-25T11:18:21Z</dcterms:created>
  <dcterms:modified xsi:type="dcterms:W3CDTF">2025-09-19T15:00:11Z</dcterms:modified>
</cp:coreProperties>
</file>